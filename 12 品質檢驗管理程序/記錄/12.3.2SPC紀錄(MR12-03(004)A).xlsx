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800" windowHeight="11925" activeTab="6"/>
  </bookViews>
  <sheets>
    <sheet name="MR12-03(004)總結報告" sheetId="7" r:id="rId1"/>
    <sheet name="Summary" sheetId="1" r:id="rId2"/>
    <sheet name="Settings" sheetId="2" r:id="rId3"/>
    <sheet name="Raw_Data" sheetId="3" r:id="rId4"/>
    <sheet name="AOI_u_Laney" sheetId="4" r:id="rId5"/>
    <sheet name="Thickness_IMR" sheetId="5" r:id="rId6"/>
    <sheet name="TTV_IMR" sheetId="6" r:id="rId7"/>
  </sheets>
  <calcPr calcId="162913"/>
</workbook>
</file>

<file path=xl/calcChain.xml><?xml version="1.0" encoding="utf-8"?>
<calcChain xmlns="http://schemas.openxmlformats.org/spreadsheetml/2006/main">
  <c r="I20" i="7" l="1"/>
  <c r="H20" i="7"/>
  <c r="I19" i="7"/>
  <c r="H19" i="7"/>
  <c r="I18" i="7"/>
  <c r="H18" i="7"/>
  <c r="G10" i="6" l="1"/>
  <c r="G11" i="5"/>
  <c r="G10" i="5"/>
  <c r="F6" i="4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L113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I65" i="6"/>
  <c r="C65" i="6"/>
  <c r="C64" i="6"/>
  <c r="C63" i="6"/>
  <c r="C62" i="6"/>
  <c r="I61" i="6"/>
  <c r="C61" i="6"/>
  <c r="C60" i="6"/>
  <c r="C59" i="6"/>
  <c r="C58" i="6"/>
  <c r="C57" i="6"/>
  <c r="C56" i="6"/>
  <c r="C55" i="6"/>
  <c r="C54" i="6"/>
  <c r="C53" i="6"/>
  <c r="I52" i="6"/>
  <c r="C52" i="6"/>
  <c r="C51" i="6"/>
  <c r="C50" i="6"/>
  <c r="C49" i="6"/>
  <c r="C48" i="6"/>
  <c r="C47" i="6"/>
  <c r="C46" i="6"/>
  <c r="C45" i="6"/>
  <c r="C44" i="6"/>
  <c r="C43" i="6"/>
  <c r="I42" i="6"/>
  <c r="C42" i="6"/>
  <c r="C41" i="6"/>
  <c r="C40" i="6"/>
  <c r="C39" i="6"/>
  <c r="I38" i="6"/>
  <c r="C38" i="6"/>
  <c r="C37" i="6"/>
  <c r="C36" i="6"/>
  <c r="C35" i="6"/>
  <c r="I34" i="6"/>
  <c r="C34" i="6"/>
  <c r="C33" i="6"/>
  <c r="C32" i="6"/>
  <c r="C31" i="6"/>
  <c r="I30" i="6"/>
  <c r="C30" i="6"/>
  <c r="C29" i="6"/>
  <c r="C28" i="6"/>
  <c r="C27" i="6"/>
  <c r="I26" i="6"/>
  <c r="C26" i="6"/>
  <c r="C25" i="6"/>
  <c r="C24" i="6"/>
  <c r="C23" i="6"/>
  <c r="I22" i="6"/>
  <c r="C22" i="6"/>
  <c r="C21" i="6"/>
  <c r="C20" i="6"/>
  <c r="I19" i="6"/>
  <c r="C19" i="6"/>
  <c r="I18" i="6"/>
  <c r="G18" i="6"/>
  <c r="I69" i="6" s="1"/>
  <c r="C18" i="6"/>
  <c r="K18" i="6" s="1"/>
  <c r="I17" i="6"/>
  <c r="C17" i="6"/>
  <c r="I16" i="6"/>
  <c r="C16" i="6"/>
  <c r="I15" i="6"/>
  <c r="C15" i="6"/>
  <c r="I14" i="6"/>
  <c r="C14" i="6"/>
  <c r="I13" i="6"/>
  <c r="J11" i="6"/>
  <c r="G7" i="6"/>
  <c r="G6" i="6"/>
  <c r="L145" i="6"/>
  <c r="B5" i="6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I57" i="5"/>
  <c r="C57" i="5"/>
  <c r="C56" i="5"/>
  <c r="C55" i="5"/>
  <c r="C54" i="5"/>
  <c r="I53" i="5"/>
  <c r="C53" i="5"/>
  <c r="C52" i="5"/>
  <c r="C51" i="5"/>
  <c r="C50" i="5"/>
  <c r="I49" i="5"/>
  <c r="C49" i="5"/>
  <c r="C48" i="5"/>
  <c r="C47" i="5"/>
  <c r="C46" i="5"/>
  <c r="I45" i="5"/>
  <c r="C45" i="5"/>
  <c r="C44" i="5"/>
  <c r="C43" i="5"/>
  <c r="C42" i="5"/>
  <c r="I41" i="5"/>
  <c r="C41" i="5"/>
  <c r="C40" i="5"/>
  <c r="C39" i="5"/>
  <c r="C38" i="5"/>
  <c r="I37" i="5"/>
  <c r="C37" i="5"/>
  <c r="C36" i="5"/>
  <c r="C35" i="5"/>
  <c r="C34" i="5"/>
  <c r="I33" i="5"/>
  <c r="C33" i="5"/>
  <c r="C32" i="5"/>
  <c r="C31" i="5"/>
  <c r="C30" i="5"/>
  <c r="I29" i="5"/>
  <c r="C29" i="5"/>
  <c r="C28" i="5"/>
  <c r="C27" i="5"/>
  <c r="C26" i="5"/>
  <c r="I25" i="5"/>
  <c r="C25" i="5"/>
  <c r="C24" i="5"/>
  <c r="C23" i="5"/>
  <c r="C22" i="5"/>
  <c r="I21" i="5"/>
  <c r="C21" i="5"/>
  <c r="C20" i="5"/>
  <c r="C19" i="5"/>
  <c r="G18" i="5"/>
  <c r="I13" i="5" s="1"/>
  <c r="C18" i="5"/>
  <c r="I17" i="5"/>
  <c r="C17" i="5"/>
  <c r="C16" i="5"/>
  <c r="C15" i="5"/>
  <c r="C14" i="5"/>
  <c r="G7" i="5"/>
  <c r="G6" i="5"/>
  <c r="D5" i="5"/>
  <c r="B5" i="5"/>
  <c r="D610" i="4"/>
  <c r="O609" i="4"/>
  <c r="D609" i="4"/>
  <c r="D608" i="4"/>
  <c r="O608" i="4" s="1"/>
  <c r="O607" i="4"/>
  <c r="D607" i="4"/>
  <c r="D606" i="4"/>
  <c r="O606" i="4" s="1"/>
  <c r="D605" i="4"/>
  <c r="D604" i="4"/>
  <c r="O605" i="4" s="1"/>
  <c r="D603" i="4"/>
  <c r="D602" i="4"/>
  <c r="D601" i="4"/>
  <c r="O600" i="4"/>
  <c r="D600" i="4"/>
  <c r="D599" i="4"/>
  <c r="O598" i="4"/>
  <c r="D598" i="4"/>
  <c r="D597" i="4"/>
  <c r="O596" i="4"/>
  <c r="D596" i="4"/>
  <c r="D595" i="4"/>
  <c r="O594" i="4"/>
  <c r="D594" i="4"/>
  <c r="D593" i="4"/>
  <c r="O592" i="4"/>
  <c r="D592" i="4"/>
  <c r="D591" i="4"/>
  <c r="O590" i="4"/>
  <c r="D590" i="4"/>
  <c r="D589" i="4"/>
  <c r="O588" i="4"/>
  <c r="D588" i="4"/>
  <c r="D587" i="4"/>
  <c r="O586" i="4"/>
  <c r="D586" i="4"/>
  <c r="D585" i="4"/>
  <c r="O584" i="4"/>
  <c r="D584" i="4"/>
  <c r="D583" i="4"/>
  <c r="O582" i="4"/>
  <c r="D582" i="4"/>
  <c r="D581" i="4"/>
  <c r="O580" i="4"/>
  <c r="D580" i="4"/>
  <c r="D579" i="4"/>
  <c r="O578" i="4"/>
  <c r="D578" i="4"/>
  <c r="D577" i="4"/>
  <c r="O576" i="4"/>
  <c r="D576" i="4"/>
  <c r="D575" i="4"/>
  <c r="O574" i="4"/>
  <c r="D574" i="4"/>
  <c r="D573" i="4"/>
  <c r="O572" i="4"/>
  <c r="D572" i="4"/>
  <c r="D571" i="4"/>
  <c r="O570" i="4"/>
  <c r="D570" i="4"/>
  <c r="D569" i="4"/>
  <c r="O568" i="4"/>
  <c r="D568" i="4"/>
  <c r="E567" i="4"/>
  <c r="D567" i="4"/>
  <c r="O566" i="4"/>
  <c r="D566" i="4"/>
  <c r="D565" i="4"/>
  <c r="O564" i="4"/>
  <c r="D564" i="4"/>
  <c r="D563" i="4"/>
  <c r="O562" i="4"/>
  <c r="D562" i="4"/>
  <c r="D561" i="4"/>
  <c r="O560" i="4"/>
  <c r="D560" i="4"/>
  <c r="D559" i="4"/>
  <c r="O558" i="4"/>
  <c r="D558" i="4"/>
  <c r="D557" i="4"/>
  <c r="O556" i="4"/>
  <c r="D556" i="4"/>
  <c r="D555" i="4"/>
  <c r="O554" i="4"/>
  <c r="D554" i="4"/>
  <c r="D553" i="4"/>
  <c r="O552" i="4"/>
  <c r="D552" i="4"/>
  <c r="D551" i="4"/>
  <c r="O550" i="4"/>
  <c r="D550" i="4"/>
  <c r="D549" i="4"/>
  <c r="O548" i="4"/>
  <c r="D548" i="4"/>
  <c r="D547" i="4"/>
  <c r="O546" i="4"/>
  <c r="D546" i="4"/>
  <c r="D545" i="4"/>
  <c r="O544" i="4"/>
  <c r="D544" i="4"/>
  <c r="D543" i="4"/>
  <c r="O542" i="4"/>
  <c r="D542" i="4"/>
  <c r="D541" i="4"/>
  <c r="O540" i="4"/>
  <c r="D540" i="4"/>
  <c r="D539" i="4"/>
  <c r="O538" i="4"/>
  <c r="D538" i="4"/>
  <c r="D537" i="4"/>
  <c r="O536" i="4"/>
  <c r="D536" i="4"/>
  <c r="D535" i="4"/>
  <c r="D534" i="4"/>
  <c r="D533" i="4"/>
  <c r="D532" i="4"/>
  <c r="D531" i="4"/>
  <c r="G530" i="4"/>
  <c r="D530" i="4"/>
  <c r="D529" i="4"/>
  <c r="D528" i="4"/>
  <c r="D527" i="4"/>
  <c r="D526" i="4"/>
  <c r="D525" i="4"/>
  <c r="D524" i="4"/>
  <c r="D523" i="4"/>
  <c r="D522" i="4"/>
  <c r="D521" i="4"/>
  <c r="O520" i="4"/>
  <c r="D520" i="4"/>
  <c r="D519" i="4"/>
  <c r="D518" i="4"/>
  <c r="O518" i="4" s="1"/>
  <c r="D517" i="4"/>
  <c r="D516" i="4"/>
  <c r="O516" i="4" s="1"/>
  <c r="D515" i="4"/>
  <c r="D514" i="4"/>
  <c r="O514" i="4" s="1"/>
  <c r="D513" i="4"/>
  <c r="O512" i="4"/>
  <c r="D512" i="4"/>
  <c r="D511" i="4"/>
  <c r="D510" i="4"/>
  <c r="O510" i="4" s="1"/>
  <c r="D509" i="4"/>
  <c r="D508" i="4"/>
  <c r="D507" i="4"/>
  <c r="O506" i="4"/>
  <c r="D506" i="4"/>
  <c r="O505" i="4"/>
  <c r="D505" i="4"/>
  <c r="O504" i="4"/>
  <c r="D504" i="4"/>
  <c r="O503" i="4"/>
  <c r="D503" i="4"/>
  <c r="O502" i="4"/>
  <c r="D502" i="4"/>
  <c r="O501" i="4"/>
  <c r="D501" i="4"/>
  <c r="O500" i="4"/>
  <c r="D500" i="4"/>
  <c r="O499" i="4"/>
  <c r="D499" i="4"/>
  <c r="O498" i="4"/>
  <c r="D498" i="4"/>
  <c r="O497" i="4"/>
  <c r="D497" i="4"/>
  <c r="O496" i="4"/>
  <c r="D496" i="4"/>
  <c r="O495" i="4"/>
  <c r="D495" i="4"/>
  <c r="O494" i="4"/>
  <c r="D494" i="4"/>
  <c r="O493" i="4"/>
  <c r="D493" i="4"/>
  <c r="O492" i="4"/>
  <c r="D492" i="4"/>
  <c r="O491" i="4"/>
  <c r="D491" i="4"/>
  <c r="O490" i="4"/>
  <c r="D490" i="4"/>
  <c r="O489" i="4"/>
  <c r="D489" i="4"/>
  <c r="O488" i="4"/>
  <c r="D488" i="4"/>
  <c r="O487" i="4"/>
  <c r="D487" i="4"/>
  <c r="O486" i="4"/>
  <c r="D486" i="4"/>
  <c r="O485" i="4"/>
  <c r="D485" i="4"/>
  <c r="O484" i="4"/>
  <c r="D484" i="4"/>
  <c r="O483" i="4"/>
  <c r="D483" i="4"/>
  <c r="O482" i="4"/>
  <c r="D482" i="4"/>
  <c r="O481" i="4"/>
  <c r="D481" i="4"/>
  <c r="O480" i="4"/>
  <c r="D480" i="4"/>
  <c r="O479" i="4"/>
  <c r="D479" i="4"/>
  <c r="O478" i="4"/>
  <c r="D478" i="4"/>
  <c r="O477" i="4"/>
  <c r="D477" i="4"/>
  <c r="O476" i="4"/>
  <c r="D476" i="4"/>
  <c r="O475" i="4"/>
  <c r="D475" i="4"/>
  <c r="O474" i="4"/>
  <c r="D474" i="4"/>
  <c r="O473" i="4"/>
  <c r="D473" i="4"/>
  <c r="O472" i="4"/>
  <c r="D472" i="4"/>
  <c r="O471" i="4"/>
  <c r="D471" i="4"/>
  <c r="O470" i="4"/>
  <c r="D470" i="4"/>
  <c r="O469" i="4"/>
  <c r="D469" i="4"/>
  <c r="O468" i="4"/>
  <c r="D468" i="4"/>
  <c r="O467" i="4"/>
  <c r="D467" i="4"/>
  <c r="O466" i="4"/>
  <c r="D466" i="4"/>
  <c r="O465" i="4"/>
  <c r="D465" i="4"/>
  <c r="O464" i="4"/>
  <c r="D464" i="4"/>
  <c r="O463" i="4"/>
  <c r="D463" i="4"/>
  <c r="O462" i="4"/>
  <c r="D462" i="4"/>
  <c r="O461" i="4"/>
  <c r="D461" i="4"/>
  <c r="O460" i="4"/>
  <c r="D460" i="4"/>
  <c r="O459" i="4"/>
  <c r="D459" i="4"/>
  <c r="O458" i="4"/>
  <c r="D458" i="4"/>
  <c r="O457" i="4"/>
  <c r="D457" i="4"/>
  <c r="O456" i="4"/>
  <c r="D456" i="4"/>
  <c r="O455" i="4"/>
  <c r="D455" i="4"/>
  <c r="D454" i="4"/>
  <c r="O453" i="4"/>
  <c r="D453" i="4"/>
  <c r="D452" i="4"/>
  <c r="O451" i="4"/>
  <c r="D451" i="4"/>
  <c r="D450" i="4"/>
  <c r="O449" i="4"/>
  <c r="D449" i="4"/>
  <c r="D448" i="4"/>
  <c r="O447" i="4"/>
  <c r="D447" i="4"/>
  <c r="D446" i="4"/>
  <c r="O445" i="4"/>
  <c r="D445" i="4"/>
  <c r="D444" i="4"/>
  <c r="O443" i="4"/>
  <c r="D443" i="4"/>
  <c r="D442" i="4"/>
  <c r="O441" i="4"/>
  <c r="D441" i="4"/>
  <c r="D440" i="4"/>
  <c r="O439" i="4"/>
  <c r="D439" i="4"/>
  <c r="D438" i="4"/>
  <c r="O437" i="4"/>
  <c r="D437" i="4"/>
  <c r="D436" i="4"/>
  <c r="O435" i="4"/>
  <c r="D435" i="4"/>
  <c r="D434" i="4"/>
  <c r="O433" i="4"/>
  <c r="D433" i="4"/>
  <c r="D432" i="4"/>
  <c r="O431" i="4"/>
  <c r="D431" i="4"/>
  <c r="D430" i="4"/>
  <c r="O429" i="4"/>
  <c r="D429" i="4"/>
  <c r="D428" i="4"/>
  <c r="O427" i="4"/>
  <c r="D427" i="4"/>
  <c r="D426" i="4"/>
  <c r="O425" i="4"/>
  <c r="D425" i="4"/>
  <c r="D424" i="4"/>
  <c r="O423" i="4"/>
  <c r="D423" i="4"/>
  <c r="D422" i="4"/>
  <c r="O421" i="4"/>
  <c r="D421" i="4"/>
  <c r="D420" i="4"/>
  <c r="O419" i="4"/>
  <c r="D419" i="4"/>
  <c r="D418" i="4"/>
  <c r="O417" i="4"/>
  <c r="D417" i="4"/>
  <c r="D416" i="4"/>
  <c r="O415" i="4"/>
  <c r="D415" i="4"/>
  <c r="D414" i="4"/>
  <c r="O413" i="4"/>
  <c r="D413" i="4"/>
  <c r="D412" i="4"/>
  <c r="O411" i="4"/>
  <c r="D411" i="4"/>
  <c r="D410" i="4"/>
  <c r="O409" i="4"/>
  <c r="D409" i="4"/>
  <c r="D408" i="4"/>
  <c r="O407" i="4"/>
  <c r="D407" i="4"/>
  <c r="D406" i="4"/>
  <c r="O405" i="4"/>
  <c r="D405" i="4"/>
  <c r="D404" i="4"/>
  <c r="O403" i="4"/>
  <c r="D403" i="4"/>
  <c r="D402" i="4"/>
  <c r="O401" i="4"/>
  <c r="D401" i="4"/>
  <c r="D400" i="4"/>
  <c r="O399" i="4"/>
  <c r="D399" i="4"/>
  <c r="D398" i="4"/>
  <c r="O397" i="4"/>
  <c r="D397" i="4"/>
  <c r="D396" i="4"/>
  <c r="O395" i="4"/>
  <c r="D395" i="4"/>
  <c r="D394" i="4"/>
  <c r="O393" i="4"/>
  <c r="D393" i="4"/>
  <c r="D392" i="4"/>
  <c r="O391" i="4"/>
  <c r="D391" i="4"/>
  <c r="D390" i="4"/>
  <c r="O389" i="4"/>
  <c r="D389" i="4"/>
  <c r="D388" i="4"/>
  <c r="O387" i="4"/>
  <c r="D387" i="4"/>
  <c r="D386" i="4"/>
  <c r="O385" i="4"/>
  <c r="D385" i="4"/>
  <c r="D384" i="4"/>
  <c r="O383" i="4"/>
  <c r="D383" i="4"/>
  <c r="D382" i="4"/>
  <c r="O381" i="4"/>
  <c r="D381" i="4"/>
  <c r="D380" i="4"/>
  <c r="O379" i="4"/>
  <c r="D379" i="4"/>
  <c r="D378" i="4"/>
  <c r="O377" i="4"/>
  <c r="D377" i="4"/>
  <c r="D376" i="4"/>
  <c r="O375" i="4"/>
  <c r="D375" i="4"/>
  <c r="D374" i="4"/>
  <c r="O373" i="4"/>
  <c r="D373" i="4"/>
  <c r="D372" i="4"/>
  <c r="O371" i="4"/>
  <c r="D371" i="4"/>
  <c r="D370" i="4"/>
  <c r="D369" i="4"/>
  <c r="D368" i="4"/>
  <c r="D367" i="4"/>
  <c r="D366" i="4"/>
  <c r="D365" i="4"/>
  <c r="O365" i="4" s="1"/>
  <c r="O364" i="4"/>
  <c r="D364" i="4"/>
  <c r="O363" i="4"/>
  <c r="D363" i="4"/>
  <c r="D362" i="4"/>
  <c r="D361" i="4"/>
  <c r="D360" i="4"/>
  <c r="D359" i="4"/>
  <c r="D358" i="4"/>
  <c r="D357" i="4"/>
  <c r="O357" i="4" s="1"/>
  <c r="D356" i="4"/>
  <c r="O356" i="4" s="1"/>
  <c r="D355" i="4"/>
  <c r="O354" i="4"/>
  <c r="D354" i="4"/>
  <c r="D353" i="4"/>
  <c r="O353" i="4" s="1"/>
  <c r="D352" i="4"/>
  <c r="O352" i="4" s="1"/>
  <c r="D351" i="4"/>
  <c r="O350" i="4"/>
  <c r="D350" i="4"/>
  <c r="K349" i="4"/>
  <c r="D349" i="4"/>
  <c r="O349" i="4" s="1"/>
  <c r="D348" i="4"/>
  <c r="O348" i="4" s="1"/>
  <c r="D347" i="4"/>
  <c r="O346" i="4"/>
  <c r="D346" i="4"/>
  <c r="D345" i="4"/>
  <c r="O345" i="4" s="1"/>
  <c r="D344" i="4"/>
  <c r="O344" i="4" s="1"/>
  <c r="D343" i="4"/>
  <c r="O342" i="4"/>
  <c r="D342" i="4"/>
  <c r="D341" i="4"/>
  <c r="O341" i="4" s="1"/>
  <c r="G340" i="4"/>
  <c r="D340" i="4"/>
  <c r="O340" i="4" s="1"/>
  <c r="D339" i="4"/>
  <c r="O338" i="4"/>
  <c r="D338" i="4"/>
  <c r="D337" i="4"/>
  <c r="O337" i="4" s="1"/>
  <c r="D336" i="4"/>
  <c r="O336" i="4" s="1"/>
  <c r="D335" i="4"/>
  <c r="O334" i="4"/>
  <c r="D334" i="4"/>
  <c r="D333" i="4"/>
  <c r="O333" i="4" s="1"/>
  <c r="D332" i="4"/>
  <c r="O332" i="4" s="1"/>
  <c r="D331" i="4"/>
  <c r="O330" i="4"/>
  <c r="D330" i="4"/>
  <c r="D329" i="4"/>
  <c r="O329" i="4" s="1"/>
  <c r="D328" i="4"/>
  <c r="O328" i="4" s="1"/>
  <c r="D327" i="4"/>
  <c r="O326" i="4"/>
  <c r="D326" i="4"/>
  <c r="D325" i="4"/>
  <c r="O325" i="4" s="1"/>
  <c r="D324" i="4"/>
  <c r="O324" i="4" s="1"/>
  <c r="D323" i="4"/>
  <c r="O322" i="4"/>
  <c r="D322" i="4"/>
  <c r="D321" i="4"/>
  <c r="O321" i="4" s="1"/>
  <c r="D320" i="4"/>
  <c r="O320" i="4" s="1"/>
  <c r="D319" i="4"/>
  <c r="O319" i="4" s="1"/>
  <c r="O318" i="4"/>
  <c r="G318" i="4"/>
  <c r="D318" i="4"/>
  <c r="D317" i="4"/>
  <c r="O317" i="4" s="1"/>
  <c r="O316" i="4"/>
  <c r="D316" i="4"/>
  <c r="D315" i="4"/>
  <c r="O315" i="4" s="1"/>
  <c r="O314" i="4"/>
  <c r="D314" i="4"/>
  <c r="D313" i="4"/>
  <c r="O313" i="4" s="1"/>
  <c r="O312" i="4"/>
  <c r="D312" i="4"/>
  <c r="D311" i="4"/>
  <c r="O311" i="4" s="1"/>
  <c r="O310" i="4"/>
  <c r="D310" i="4"/>
  <c r="D309" i="4"/>
  <c r="O309" i="4" s="1"/>
  <c r="O308" i="4"/>
  <c r="D308" i="4"/>
  <c r="D307" i="4"/>
  <c r="O307" i="4" s="1"/>
  <c r="O306" i="4"/>
  <c r="D306" i="4"/>
  <c r="K305" i="4"/>
  <c r="D305" i="4"/>
  <c r="O305" i="4" s="1"/>
  <c r="O304" i="4"/>
  <c r="D304" i="4"/>
  <c r="D303" i="4"/>
  <c r="O303" i="4" s="1"/>
  <c r="O302" i="4"/>
  <c r="G302" i="4"/>
  <c r="D302" i="4"/>
  <c r="D301" i="4"/>
  <c r="O301" i="4" s="1"/>
  <c r="O300" i="4"/>
  <c r="D300" i="4"/>
  <c r="D299" i="4"/>
  <c r="O299" i="4" s="1"/>
  <c r="O298" i="4"/>
  <c r="D298" i="4"/>
  <c r="D297" i="4"/>
  <c r="O297" i="4" s="1"/>
  <c r="O296" i="4"/>
  <c r="D296" i="4"/>
  <c r="D295" i="4"/>
  <c r="O295" i="4" s="1"/>
  <c r="O294" i="4"/>
  <c r="D294" i="4"/>
  <c r="D293" i="4"/>
  <c r="O293" i="4" s="1"/>
  <c r="O292" i="4"/>
  <c r="D292" i="4"/>
  <c r="D291" i="4"/>
  <c r="O291" i="4" s="1"/>
  <c r="O290" i="4"/>
  <c r="D290" i="4"/>
  <c r="K289" i="4"/>
  <c r="D289" i="4"/>
  <c r="O289" i="4" s="1"/>
  <c r="O288" i="4"/>
  <c r="D288" i="4"/>
  <c r="D287" i="4"/>
  <c r="O287" i="4" s="1"/>
  <c r="O286" i="4"/>
  <c r="G286" i="4"/>
  <c r="D286" i="4"/>
  <c r="D285" i="4"/>
  <c r="O285" i="4" s="1"/>
  <c r="O284" i="4"/>
  <c r="D284" i="4"/>
  <c r="D283" i="4"/>
  <c r="O283" i="4" s="1"/>
  <c r="O282" i="4"/>
  <c r="D282" i="4"/>
  <c r="D281" i="4"/>
  <c r="O281" i="4" s="1"/>
  <c r="O280" i="4"/>
  <c r="D280" i="4"/>
  <c r="D279" i="4"/>
  <c r="O279" i="4" s="1"/>
  <c r="O278" i="4"/>
  <c r="D278" i="4"/>
  <c r="D277" i="4"/>
  <c r="O277" i="4" s="1"/>
  <c r="O276" i="4"/>
  <c r="D276" i="4"/>
  <c r="D275" i="4"/>
  <c r="O275" i="4" s="1"/>
  <c r="O274" i="4"/>
  <c r="D274" i="4"/>
  <c r="K273" i="4"/>
  <c r="D273" i="4"/>
  <c r="O273" i="4" s="1"/>
  <c r="O272" i="4"/>
  <c r="D272" i="4"/>
  <c r="D271" i="4"/>
  <c r="O271" i="4" s="1"/>
  <c r="O270" i="4"/>
  <c r="G270" i="4"/>
  <c r="D270" i="4"/>
  <c r="D269" i="4"/>
  <c r="O269" i="4" s="1"/>
  <c r="O268" i="4"/>
  <c r="D268" i="4"/>
  <c r="D267" i="4"/>
  <c r="O267" i="4" s="1"/>
  <c r="O266" i="4"/>
  <c r="D266" i="4"/>
  <c r="D265" i="4"/>
  <c r="O265" i="4" s="1"/>
  <c r="O264" i="4"/>
  <c r="D264" i="4"/>
  <c r="D263" i="4"/>
  <c r="O263" i="4" s="1"/>
  <c r="O262" i="4"/>
  <c r="D262" i="4"/>
  <c r="D261" i="4"/>
  <c r="O261" i="4" s="1"/>
  <c r="O260" i="4"/>
  <c r="D260" i="4"/>
  <c r="D259" i="4"/>
  <c r="O259" i="4" s="1"/>
  <c r="O258" i="4"/>
  <c r="D258" i="4"/>
  <c r="K257" i="4"/>
  <c r="D257" i="4"/>
  <c r="O257" i="4" s="1"/>
  <c r="O256" i="4"/>
  <c r="D256" i="4"/>
  <c r="D255" i="4"/>
  <c r="O255" i="4" s="1"/>
  <c r="O254" i="4"/>
  <c r="G254" i="4"/>
  <c r="D254" i="4"/>
  <c r="D253" i="4"/>
  <c r="O253" i="4" s="1"/>
  <c r="O252" i="4"/>
  <c r="D252" i="4"/>
  <c r="D251" i="4"/>
  <c r="O251" i="4" s="1"/>
  <c r="O250" i="4"/>
  <c r="D250" i="4"/>
  <c r="D249" i="4"/>
  <c r="O249" i="4" s="1"/>
  <c r="O248" i="4"/>
  <c r="D248" i="4"/>
  <c r="D247" i="4"/>
  <c r="O247" i="4" s="1"/>
  <c r="O246" i="4"/>
  <c r="D246" i="4"/>
  <c r="D245" i="4"/>
  <c r="O245" i="4" s="1"/>
  <c r="O244" i="4"/>
  <c r="D244" i="4"/>
  <c r="D243" i="4"/>
  <c r="O243" i="4" s="1"/>
  <c r="O242" i="4"/>
  <c r="D242" i="4"/>
  <c r="K241" i="4"/>
  <c r="D241" i="4"/>
  <c r="O241" i="4" s="1"/>
  <c r="O240" i="4"/>
  <c r="D240" i="4"/>
  <c r="D239" i="4"/>
  <c r="O239" i="4" s="1"/>
  <c r="O238" i="4"/>
  <c r="G238" i="4"/>
  <c r="D238" i="4"/>
  <c r="D237" i="4"/>
  <c r="O237" i="4" s="1"/>
  <c r="O236" i="4"/>
  <c r="D236" i="4"/>
  <c r="D235" i="4"/>
  <c r="O235" i="4" s="1"/>
  <c r="O234" i="4"/>
  <c r="D234" i="4"/>
  <c r="D233" i="4"/>
  <c r="O233" i="4" s="1"/>
  <c r="O232" i="4"/>
  <c r="D232" i="4"/>
  <c r="D231" i="4"/>
  <c r="O231" i="4" s="1"/>
  <c r="O230" i="4"/>
  <c r="D230" i="4"/>
  <c r="D229" i="4"/>
  <c r="O229" i="4" s="1"/>
  <c r="O228" i="4"/>
  <c r="D228" i="4"/>
  <c r="D227" i="4"/>
  <c r="O227" i="4" s="1"/>
  <c r="O226" i="4"/>
  <c r="D226" i="4"/>
  <c r="K225" i="4"/>
  <c r="D225" i="4"/>
  <c r="O225" i="4" s="1"/>
  <c r="O224" i="4"/>
  <c r="D224" i="4"/>
  <c r="D223" i="4"/>
  <c r="O223" i="4" s="1"/>
  <c r="O222" i="4"/>
  <c r="G222" i="4"/>
  <c r="D222" i="4"/>
  <c r="D221" i="4"/>
  <c r="O221" i="4" s="1"/>
  <c r="O220" i="4"/>
  <c r="D220" i="4"/>
  <c r="D219" i="4"/>
  <c r="O219" i="4" s="1"/>
  <c r="O218" i="4"/>
  <c r="D218" i="4"/>
  <c r="D217" i="4"/>
  <c r="O217" i="4" s="1"/>
  <c r="O216" i="4"/>
  <c r="D216" i="4"/>
  <c r="D215" i="4"/>
  <c r="O215" i="4" s="1"/>
  <c r="O214" i="4"/>
  <c r="D214" i="4"/>
  <c r="D213" i="4"/>
  <c r="O213" i="4" s="1"/>
  <c r="O212" i="4"/>
  <c r="D212" i="4"/>
  <c r="D211" i="4"/>
  <c r="O211" i="4" s="1"/>
  <c r="O210" i="4"/>
  <c r="D210" i="4"/>
  <c r="K209" i="4"/>
  <c r="D209" i="4"/>
  <c r="D208" i="4"/>
  <c r="D207" i="4"/>
  <c r="O207" i="4" s="1"/>
  <c r="D206" i="4"/>
  <c r="O206" i="4" s="1"/>
  <c r="H205" i="4"/>
  <c r="D205" i="4"/>
  <c r="D204" i="4"/>
  <c r="K203" i="4"/>
  <c r="D203" i="4"/>
  <c r="H203" i="4" s="1"/>
  <c r="D202" i="4"/>
  <c r="D201" i="4"/>
  <c r="D200" i="4"/>
  <c r="D199" i="4"/>
  <c r="G198" i="4"/>
  <c r="D198" i="4"/>
  <c r="D197" i="4"/>
  <c r="H196" i="4"/>
  <c r="D196" i="4"/>
  <c r="O196" i="4" s="1"/>
  <c r="D195" i="4"/>
  <c r="D194" i="4"/>
  <c r="H194" i="4" s="1"/>
  <c r="D193" i="4"/>
  <c r="O192" i="4"/>
  <c r="D192" i="4"/>
  <c r="D191" i="4"/>
  <c r="H191" i="4" s="1"/>
  <c r="D190" i="4"/>
  <c r="O190" i="4" s="1"/>
  <c r="H189" i="4"/>
  <c r="D189" i="4"/>
  <c r="D188" i="4"/>
  <c r="K187" i="4"/>
  <c r="D187" i="4"/>
  <c r="H187" i="4" s="1"/>
  <c r="D186" i="4"/>
  <c r="D185" i="4"/>
  <c r="D184" i="4"/>
  <c r="D183" i="4"/>
  <c r="G182" i="4"/>
  <c r="D182" i="4"/>
  <c r="D181" i="4"/>
  <c r="H180" i="4"/>
  <c r="D180" i="4"/>
  <c r="O180" i="4" s="1"/>
  <c r="D179" i="4"/>
  <c r="D178" i="4"/>
  <c r="H178" i="4" s="1"/>
  <c r="D177" i="4"/>
  <c r="D176" i="4"/>
  <c r="D175" i="4"/>
  <c r="D174" i="4"/>
  <c r="O174" i="4" s="1"/>
  <c r="H173" i="4"/>
  <c r="D173" i="4"/>
  <c r="D172" i="4"/>
  <c r="K171" i="4"/>
  <c r="D171" i="4"/>
  <c r="H171" i="4" s="1"/>
  <c r="D170" i="4"/>
  <c r="D169" i="4"/>
  <c r="D168" i="4"/>
  <c r="D167" i="4"/>
  <c r="G166" i="4"/>
  <c r="D166" i="4"/>
  <c r="D165" i="4"/>
  <c r="H164" i="4"/>
  <c r="D164" i="4"/>
  <c r="O164" i="4" s="1"/>
  <c r="D163" i="4"/>
  <c r="D162" i="4"/>
  <c r="H162" i="4" s="1"/>
  <c r="D161" i="4"/>
  <c r="O160" i="4"/>
  <c r="D160" i="4"/>
  <c r="D159" i="4"/>
  <c r="H159" i="4" s="1"/>
  <c r="D158" i="4"/>
  <c r="O158" i="4" s="1"/>
  <c r="H157" i="4"/>
  <c r="D157" i="4"/>
  <c r="D156" i="4"/>
  <c r="K155" i="4"/>
  <c r="D155" i="4"/>
  <c r="H155" i="4" s="1"/>
  <c r="D154" i="4"/>
  <c r="D153" i="4"/>
  <c r="D152" i="4"/>
  <c r="O152" i="4" s="1"/>
  <c r="D151" i="4"/>
  <c r="D150" i="4"/>
  <c r="O150" i="4" s="1"/>
  <c r="H149" i="4"/>
  <c r="D149" i="4"/>
  <c r="D148" i="4"/>
  <c r="H148" i="4" s="1"/>
  <c r="D147" i="4"/>
  <c r="D146" i="4"/>
  <c r="O146" i="4" s="1"/>
  <c r="D145" i="4"/>
  <c r="F144" i="4"/>
  <c r="D144" i="4"/>
  <c r="O145" i="4" s="1"/>
  <c r="D143" i="4"/>
  <c r="O143" i="4" s="1"/>
  <c r="F142" i="4"/>
  <c r="D142" i="4"/>
  <c r="H142" i="4" s="1"/>
  <c r="D141" i="4"/>
  <c r="O141" i="4" s="1"/>
  <c r="F140" i="4"/>
  <c r="D140" i="4"/>
  <c r="H140" i="4" s="1"/>
  <c r="D139" i="4"/>
  <c r="O139" i="4" s="1"/>
  <c r="F138" i="4"/>
  <c r="D138" i="4"/>
  <c r="H138" i="4" s="1"/>
  <c r="D137" i="4"/>
  <c r="O137" i="4" s="1"/>
  <c r="F136" i="4"/>
  <c r="D136" i="4"/>
  <c r="H136" i="4" s="1"/>
  <c r="D135" i="4"/>
  <c r="O135" i="4" s="1"/>
  <c r="F134" i="4"/>
  <c r="D134" i="4"/>
  <c r="H134" i="4" s="1"/>
  <c r="D133" i="4"/>
  <c r="O133" i="4" s="1"/>
  <c r="F132" i="4"/>
  <c r="D132" i="4"/>
  <c r="H132" i="4" s="1"/>
  <c r="D131" i="4"/>
  <c r="O131" i="4" s="1"/>
  <c r="F130" i="4"/>
  <c r="D130" i="4"/>
  <c r="H130" i="4" s="1"/>
  <c r="D129" i="4"/>
  <c r="O129" i="4" s="1"/>
  <c r="F128" i="4"/>
  <c r="D128" i="4"/>
  <c r="H128" i="4" s="1"/>
  <c r="D127" i="4"/>
  <c r="O127" i="4" s="1"/>
  <c r="F126" i="4"/>
  <c r="D126" i="4"/>
  <c r="H126" i="4" s="1"/>
  <c r="D125" i="4"/>
  <c r="O125" i="4" s="1"/>
  <c r="F124" i="4"/>
  <c r="D124" i="4"/>
  <c r="H124" i="4" s="1"/>
  <c r="D123" i="4"/>
  <c r="O123" i="4" s="1"/>
  <c r="F122" i="4"/>
  <c r="D122" i="4"/>
  <c r="H122" i="4" s="1"/>
  <c r="D121" i="4"/>
  <c r="O121" i="4" s="1"/>
  <c r="F120" i="4"/>
  <c r="D120" i="4"/>
  <c r="H120" i="4" s="1"/>
  <c r="D119" i="4"/>
  <c r="O119" i="4" s="1"/>
  <c r="F118" i="4"/>
  <c r="D118" i="4"/>
  <c r="H118" i="4" s="1"/>
  <c r="D117" i="4"/>
  <c r="O117" i="4" s="1"/>
  <c r="F116" i="4"/>
  <c r="D116" i="4"/>
  <c r="H116" i="4" s="1"/>
  <c r="D115" i="4"/>
  <c r="O115" i="4" s="1"/>
  <c r="F114" i="4"/>
  <c r="D114" i="4"/>
  <c r="H114" i="4" s="1"/>
  <c r="D113" i="4"/>
  <c r="O113" i="4" s="1"/>
  <c r="F112" i="4"/>
  <c r="D112" i="4"/>
  <c r="H112" i="4" s="1"/>
  <c r="D111" i="4"/>
  <c r="O111" i="4" s="1"/>
  <c r="F110" i="4"/>
  <c r="D110" i="4"/>
  <c r="H110" i="4" s="1"/>
  <c r="D109" i="4"/>
  <c r="O109" i="4" s="1"/>
  <c r="F108" i="4"/>
  <c r="D108" i="4"/>
  <c r="H108" i="4" s="1"/>
  <c r="D107" i="4"/>
  <c r="O107" i="4" s="1"/>
  <c r="F106" i="4"/>
  <c r="D106" i="4"/>
  <c r="H106" i="4" s="1"/>
  <c r="D105" i="4"/>
  <c r="O105" i="4" s="1"/>
  <c r="F104" i="4"/>
  <c r="D104" i="4"/>
  <c r="H104" i="4" s="1"/>
  <c r="D103" i="4"/>
  <c r="O103" i="4" s="1"/>
  <c r="F102" i="4"/>
  <c r="D102" i="4"/>
  <c r="H102" i="4" s="1"/>
  <c r="D101" i="4"/>
  <c r="O101" i="4" s="1"/>
  <c r="F100" i="4"/>
  <c r="D100" i="4"/>
  <c r="H100" i="4" s="1"/>
  <c r="D99" i="4"/>
  <c r="O99" i="4" s="1"/>
  <c r="F98" i="4"/>
  <c r="D98" i="4"/>
  <c r="H98" i="4" s="1"/>
  <c r="D97" i="4"/>
  <c r="O97" i="4" s="1"/>
  <c r="F96" i="4"/>
  <c r="D96" i="4"/>
  <c r="H96" i="4" s="1"/>
  <c r="D95" i="4"/>
  <c r="O95" i="4" s="1"/>
  <c r="F94" i="4"/>
  <c r="D94" i="4"/>
  <c r="H94" i="4" s="1"/>
  <c r="D93" i="4"/>
  <c r="O93" i="4" s="1"/>
  <c r="F92" i="4"/>
  <c r="D92" i="4"/>
  <c r="H92" i="4" s="1"/>
  <c r="D91" i="4"/>
  <c r="O91" i="4" s="1"/>
  <c r="F90" i="4"/>
  <c r="D90" i="4"/>
  <c r="H90" i="4" s="1"/>
  <c r="D89" i="4"/>
  <c r="O89" i="4" s="1"/>
  <c r="F88" i="4"/>
  <c r="D88" i="4"/>
  <c r="H88" i="4" s="1"/>
  <c r="D87" i="4"/>
  <c r="O87" i="4" s="1"/>
  <c r="F86" i="4"/>
  <c r="D86" i="4"/>
  <c r="H86" i="4" s="1"/>
  <c r="D85" i="4"/>
  <c r="O85" i="4" s="1"/>
  <c r="F84" i="4"/>
  <c r="D84" i="4"/>
  <c r="H84" i="4" s="1"/>
  <c r="D83" i="4"/>
  <c r="O83" i="4" s="1"/>
  <c r="F82" i="4"/>
  <c r="D82" i="4"/>
  <c r="H82" i="4" s="1"/>
  <c r="D81" i="4"/>
  <c r="O81" i="4" s="1"/>
  <c r="F80" i="4"/>
  <c r="D80" i="4"/>
  <c r="H80" i="4" s="1"/>
  <c r="D79" i="4"/>
  <c r="O79" i="4" s="1"/>
  <c r="F78" i="4"/>
  <c r="D78" i="4"/>
  <c r="H78" i="4" s="1"/>
  <c r="D77" i="4"/>
  <c r="O77" i="4" s="1"/>
  <c r="F76" i="4"/>
  <c r="D76" i="4"/>
  <c r="H76" i="4" s="1"/>
  <c r="D75" i="4"/>
  <c r="O75" i="4" s="1"/>
  <c r="F74" i="4"/>
  <c r="D74" i="4"/>
  <c r="H74" i="4" s="1"/>
  <c r="D73" i="4"/>
  <c r="O73" i="4" s="1"/>
  <c r="F72" i="4"/>
  <c r="D72" i="4"/>
  <c r="H72" i="4" s="1"/>
  <c r="D71" i="4"/>
  <c r="O71" i="4" s="1"/>
  <c r="F70" i="4"/>
  <c r="D70" i="4"/>
  <c r="H70" i="4" s="1"/>
  <c r="D69" i="4"/>
  <c r="O69" i="4" s="1"/>
  <c r="F68" i="4"/>
  <c r="D68" i="4"/>
  <c r="H68" i="4" s="1"/>
  <c r="D67" i="4"/>
  <c r="O67" i="4" s="1"/>
  <c r="F66" i="4"/>
  <c r="D66" i="4"/>
  <c r="H66" i="4" s="1"/>
  <c r="D65" i="4"/>
  <c r="O65" i="4" s="1"/>
  <c r="F64" i="4"/>
  <c r="D64" i="4"/>
  <c r="H64" i="4" s="1"/>
  <c r="D63" i="4"/>
  <c r="O63" i="4" s="1"/>
  <c r="F62" i="4"/>
  <c r="D62" i="4"/>
  <c r="H62" i="4" s="1"/>
  <c r="D61" i="4"/>
  <c r="O61" i="4" s="1"/>
  <c r="F60" i="4"/>
  <c r="D60" i="4"/>
  <c r="H60" i="4" s="1"/>
  <c r="D59" i="4"/>
  <c r="O59" i="4" s="1"/>
  <c r="F58" i="4"/>
  <c r="D58" i="4"/>
  <c r="H58" i="4" s="1"/>
  <c r="D57" i="4"/>
  <c r="O57" i="4" s="1"/>
  <c r="F56" i="4"/>
  <c r="D56" i="4"/>
  <c r="H56" i="4" s="1"/>
  <c r="D55" i="4"/>
  <c r="O55" i="4" s="1"/>
  <c r="F54" i="4"/>
  <c r="D54" i="4"/>
  <c r="H54" i="4" s="1"/>
  <c r="D53" i="4"/>
  <c r="O53" i="4" s="1"/>
  <c r="F52" i="4"/>
  <c r="D52" i="4"/>
  <c r="H52" i="4" s="1"/>
  <c r="D51" i="4"/>
  <c r="O51" i="4" s="1"/>
  <c r="F50" i="4"/>
  <c r="D50" i="4"/>
  <c r="H50" i="4" s="1"/>
  <c r="D49" i="4"/>
  <c r="O49" i="4" s="1"/>
  <c r="F48" i="4"/>
  <c r="D48" i="4"/>
  <c r="H48" i="4" s="1"/>
  <c r="D47" i="4"/>
  <c r="O47" i="4" s="1"/>
  <c r="F46" i="4"/>
  <c r="D46" i="4"/>
  <c r="H46" i="4" s="1"/>
  <c r="D45" i="4"/>
  <c r="O45" i="4" s="1"/>
  <c r="F44" i="4"/>
  <c r="D44" i="4"/>
  <c r="H44" i="4" s="1"/>
  <c r="D43" i="4"/>
  <c r="O43" i="4" s="1"/>
  <c r="F42" i="4"/>
  <c r="D42" i="4"/>
  <c r="H42" i="4" s="1"/>
  <c r="D41" i="4"/>
  <c r="O41" i="4" s="1"/>
  <c r="F40" i="4"/>
  <c r="D40" i="4"/>
  <c r="H40" i="4" s="1"/>
  <c r="D39" i="4"/>
  <c r="O39" i="4" s="1"/>
  <c r="F38" i="4"/>
  <c r="D38" i="4"/>
  <c r="H38" i="4" s="1"/>
  <c r="D37" i="4"/>
  <c r="O37" i="4" s="1"/>
  <c r="F36" i="4"/>
  <c r="D36" i="4"/>
  <c r="H36" i="4" s="1"/>
  <c r="D35" i="4"/>
  <c r="O35" i="4" s="1"/>
  <c r="F34" i="4"/>
  <c r="D34" i="4"/>
  <c r="H34" i="4" s="1"/>
  <c r="D33" i="4"/>
  <c r="O33" i="4" s="1"/>
  <c r="F32" i="4"/>
  <c r="D32" i="4"/>
  <c r="H32" i="4" s="1"/>
  <c r="D31" i="4"/>
  <c r="O31" i="4" s="1"/>
  <c r="F30" i="4"/>
  <c r="D30" i="4"/>
  <c r="H30" i="4" s="1"/>
  <c r="D29" i="4"/>
  <c r="O29" i="4" s="1"/>
  <c r="F28" i="4"/>
  <c r="D28" i="4"/>
  <c r="H28" i="4" s="1"/>
  <c r="D27" i="4"/>
  <c r="O27" i="4" s="1"/>
  <c r="F26" i="4"/>
  <c r="D26" i="4"/>
  <c r="H26" i="4" s="1"/>
  <c r="D25" i="4"/>
  <c r="O25" i="4" s="1"/>
  <c r="F24" i="4"/>
  <c r="D24" i="4"/>
  <c r="H24" i="4" s="1"/>
  <c r="D23" i="4"/>
  <c r="O23" i="4" s="1"/>
  <c r="F22" i="4"/>
  <c r="D22" i="4"/>
  <c r="H22" i="4" s="1"/>
  <c r="D21" i="4"/>
  <c r="O21" i="4" s="1"/>
  <c r="F20" i="4"/>
  <c r="D20" i="4"/>
  <c r="H20" i="4" s="1"/>
  <c r="D19" i="4"/>
  <c r="O19" i="4" s="1"/>
  <c r="F18" i="4"/>
  <c r="D18" i="4"/>
  <c r="H18" i="4" s="1"/>
  <c r="D17" i="4"/>
  <c r="O17" i="4" s="1"/>
  <c r="F16" i="4"/>
  <c r="D16" i="4"/>
  <c r="H16" i="4" s="1"/>
  <c r="D15" i="4"/>
  <c r="O15" i="4" s="1"/>
  <c r="F14" i="4"/>
  <c r="D14" i="4"/>
  <c r="H14" i="4" s="1"/>
  <c r="D13" i="4"/>
  <c r="O13" i="4" s="1"/>
  <c r="F12" i="4"/>
  <c r="D12" i="4"/>
  <c r="H12" i="4" s="1"/>
  <c r="D11" i="4"/>
  <c r="F5" i="4"/>
  <c r="E583" i="4" s="1"/>
  <c r="D5" i="4"/>
  <c r="B5" i="4"/>
  <c r="F6" i="1"/>
  <c r="E6" i="1"/>
  <c r="D6" i="1"/>
  <c r="F5" i="1"/>
  <c r="E5" i="1"/>
  <c r="D5" i="1"/>
  <c r="F4" i="1"/>
  <c r="E4" i="1"/>
  <c r="D4" i="1"/>
  <c r="H4" i="1"/>
  <c r="L53" i="6" l="1"/>
  <c r="L129" i="6"/>
  <c r="I609" i="4"/>
  <c r="I607" i="4"/>
  <c r="I605" i="4"/>
  <c r="I603" i="4"/>
  <c r="I601" i="4"/>
  <c r="I599" i="4"/>
  <c r="I597" i="4"/>
  <c r="I595" i="4"/>
  <c r="I593" i="4"/>
  <c r="I591" i="4"/>
  <c r="I589" i="4"/>
  <c r="I587" i="4"/>
  <c r="I585" i="4"/>
  <c r="I610" i="4"/>
  <c r="I608" i="4"/>
  <c r="I606" i="4"/>
  <c r="I604" i="4"/>
  <c r="I600" i="4"/>
  <c r="I598" i="4"/>
  <c r="I596" i="4"/>
  <c r="I594" i="4"/>
  <c r="I592" i="4"/>
  <c r="I590" i="4"/>
  <c r="I588" i="4"/>
  <c r="I586" i="4"/>
  <c r="I602" i="4"/>
  <c r="I584" i="4"/>
  <c r="I571" i="4"/>
  <c r="I568" i="4"/>
  <c r="I555" i="4"/>
  <c r="I552" i="4"/>
  <c r="I539" i="4"/>
  <c r="I536" i="4"/>
  <c r="I532" i="4"/>
  <c r="I531" i="4"/>
  <c r="I516" i="4"/>
  <c r="I515" i="4"/>
  <c r="I581" i="4"/>
  <c r="I578" i="4"/>
  <c r="I565" i="4"/>
  <c r="I562" i="4"/>
  <c r="I549" i="4"/>
  <c r="I546" i="4"/>
  <c r="I518" i="4"/>
  <c r="I517" i="4"/>
  <c r="I506" i="4"/>
  <c r="I504" i="4"/>
  <c r="I502" i="4"/>
  <c r="I500" i="4"/>
  <c r="I498" i="4"/>
  <c r="I496" i="4"/>
  <c r="I494" i="4"/>
  <c r="I492" i="4"/>
  <c r="I490" i="4"/>
  <c r="I488" i="4"/>
  <c r="I486" i="4"/>
  <c r="I484" i="4"/>
  <c r="I482" i="4"/>
  <c r="I480" i="4"/>
  <c r="I478" i="4"/>
  <c r="I476" i="4"/>
  <c r="I474" i="4"/>
  <c r="I472" i="4"/>
  <c r="I470" i="4"/>
  <c r="I468" i="4"/>
  <c r="I466" i="4"/>
  <c r="I464" i="4"/>
  <c r="I462" i="4"/>
  <c r="I460" i="4"/>
  <c r="I458" i="4"/>
  <c r="I456" i="4"/>
  <c r="I454" i="4"/>
  <c r="I452" i="4"/>
  <c r="I450" i="4"/>
  <c r="I448" i="4"/>
  <c r="I446" i="4"/>
  <c r="I444" i="4"/>
  <c r="I442" i="4"/>
  <c r="I440" i="4"/>
  <c r="I438" i="4"/>
  <c r="I436" i="4"/>
  <c r="I434" i="4"/>
  <c r="I432" i="4"/>
  <c r="I430" i="4"/>
  <c r="I428" i="4"/>
  <c r="I426" i="4"/>
  <c r="I424" i="4"/>
  <c r="I422" i="4"/>
  <c r="I420" i="4"/>
  <c r="I418" i="4"/>
  <c r="I416" i="4"/>
  <c r="I414" i="4"/>
  <c r="I412" i="4"/>
  <c r="I410" i="4"/>
  <c r="I408" i="4"/>
  <c r="I406" i="4"/>
  <c r="I404" i="4"/>
  <c r="I402" i="4"/>
  <c r="I400" i="4"/>
  <c r="I398" i="4"/>
  <c r="I396" i="4"/>
  <c r="I394" i="4"/>
  <c r="I392" i="4"/>
  <c r="I390" i="4"/>
  <c r="I388" i="4"/>
  <c r="I386" i="4"/>
  <c r="I384" i="4"/>
  <c r="I382" i="4"/>
  <c r="I380" i="4"/>
  <c r="I378" i="4"/>
  <c r="I376" i="4"/>
  <c r="I374" i="4"/>
  <c r="I372" i="4"/>
  <c r="I370" i="4"/>
  <c r="I368" i="4"/>
  <c r="I366" i="4"/>
  <c r="I364" i="4"/>
  <c r="I362" i="4"/>
  <c r="I360" i="4"/>
  <c r="I358" i="4"/>
  <c r="I356" i="4"/>
  <c r="I354" i="4"/>
  <c r="I352" i="4"/>
  <c r="I350" i="4"/>
  <c r="I348" i="4"/>
  <c r="I346" i="4"/>
  <c r="I344" i="4"/>
  <c r="I342" i="4"/>
  <c r="I340" i="4"/>
  <c r="I338" i="4"/>
  <c r="I336" i="4"/>
  <c r="I334" i="4"/>
  <c r="I332" i="4"/>
  <c r="I330" i="4"/>
  <c r="I328" i="4"/>
  <c r="I326" i="4"/>
  <c r="I324" i="4"/>
  <c r="I322" i="4"/>
  <c r="I320" i="4"/>
  <c r="I575" i="4"/>
  <c r="I572" i="4"/>
  <c r="I559" i="4"/>
  <c r="I556" i="4"/>
  <c r="I543" i="4"/>
  <c r="I540" i="4"/>
  <c r="I528" i="4"/>
  <c r="I527" i="4"/>
  <c r="I520" i="4"/>
  <c r="I519" i="4"/>
  <c r="I582" i="4"/>
  <c r="I569" i="4"/>
  <c r="I566" i="4"/>
  <c r="I553" i="4"/>
  <c r="I550" i="4"/>
  <c r="I537" i="4"/>
  <c r="I534" i="4"/>
  <c r="I533" i="4"/>
  <c r="I522" i="4"/>
  <c r="I521" i="4"/>
  <c r="I579" i="4"/>
  <c r="I576" i="4"/>
  <c r="I563" i="4"/>
  <c r="I560" i="4"/>
  <c r="I547" i="4"/>
  <c r="I544" i="4"/>
  <c r="I524" i="4"/>
  <c r="I523" i="4"/>
  <c r="I508" i="4"/>
  <c r="I573" i="4"/>
  <c r="I570" i="4"/>
  <c r="I557" i="4"/>
  <c r="I554" i="4"/>
  <c r="I541" i="4"/>
  <c r="I538" i="4"/>
  <c r="I530" i="4"/>
  <c r="I529" i="4"/>
  <c r="I510" i="4"/>
  <c r="I509" i="4"/>
  <c r="I507" i="4"/>
  <c r="I505" i="4"/>
  <c r="I503" i="4"/>
  <c r="I501" i="4"/>
  <c r="I499" i="4"/>
  <c r="I497" i="4"/>
  <c r="I495" i="4"/>
  <c r="I493" i="4"/>
  <c r="I491" i="4"/>
  <c r="I489" i="4"/>
  <c r="I487" i="4"/>
  <c r="I485" i="4"/>
  <c r="I483" i="4"/>
  <c r="I481" i="4"/>
  <c r="I479" i="4"/>
  <c r="I477" i="4"/>
  <c r="I475" i="4"/>
  <c r="I473" i="4"/>
  <c r="I471" i="4"/>
  <c r="I469" i="4"/>
  <c r="I467" i="4"/>
  <c r="I465" i="4"/>
  <c r="I463" i="4"/>
  <c r="I461" i="4"/>
  <c r="I459" i="4"/>
  <c r="I457" i="4"/>
  <c r="I455" i="4"/>
  <c r="I453" i="4"/>
  <c r="I451" i="4"/>
  <c r="I449" i="4"/>
  <c r="I447" i="4"/>
  <c r="I445" i="4"/>
  <c r="I443" i="4"/>
  <c r="I441" i="4"/>
  <c r="I439" i="4"/>
  <c r="I437" i="4"/>
  <c r="I435" i="4"/>
  <c r="I433" i="4"/>
  <c r="I431" i="4"/>
  <c r="I429" i="4"/>
  <c r="I427" i="4"/>
  <c r="I425" i="4"/>
  <c r="I423" i="4"/>
  <c r="I421" i="4"/>
  <c r="I419" i="4"/>
  <c r="I417" i="4"/>
  <c r="I415" i="4"/>
  <c r="I413" i="4"/>
  <c r="I411" i="4"/>
  <c r="I409" i="4"/>
  <c r="I407" i="4"/>
  <c r="I405" i="4"/>
  <c r="I403" i="4"/>
  <c r="I401" i="4"/>
  <c r="I399" i="4"/>
  <c r="I397" i="4"/>
  <c r="I395" i="4"/>
  <c r="I393" i="4"/>
  <c r="I391" i="4"/>
  <c r="I389" i="4"/>
  <c r="I387" i="4"/>
  <c r="I385" i="4"/>
  <c r="I383" i="4"/>
  <c r="I381" i="4"/>
  <c r="I379" i="4"/>
  <c r="I377" i="4"/>
  <c r="I375" i="4"/>
  <c r="I373" i="4"/>
  <c r="I371" i="4"/>
  <c r="I369" i="4"/>
  <c r="I367" i="4"/>
  <c r="I365" i="4"/>
  <c r="I363" i="4"/>
  <c r="I361" i="4"/>
  <c r="I359" i="4"/>
  <c r="I357" i="4"/>
  <c r="I355" i="4"/>
  <c r="I353" i="4"/>
  <c r="I351" i="4"/>
  <c r="I349" i="4"/>
  <c r="I347" i="4"/>
  <c r="I345" i="4"/>
  <c r="I343" i="4"/>
  <c r="I341" i="4"/>
  <c r="I339" i="4"/>
  <c r="I337" i="4"/>
  <c r="I335" i="4"/>
  <c r="I333" i="4"/>
  <c r="I331" i="4"/>
  <c r="I329" i="4"/>
  <c r="I327" i="4"/>
  <c r="I325" i="4"/>
  <c r="I323" i="4"/>
  <c r="I321" i="4"/>
  <c r="I583" i="4"/>
  <c r="I580" i="4"/>
  <c r="I567" i="4"/>
  <c r="I564" i="4"/>
  <c r="I551" i="4"/>
  <c r="I548" i="4"/>
  <c r="I535" i="4"/>
  <c r="I512" i="4"/>
  <c r="I511" i="4"/>
  <c r="I574" i="4"/>
  <c r="I558" i="4"/>
  <c r="I542" i="4"/>
  <c r="I319" i="4"/>
  <c r="I317" i="4"/>
  <c r="I315" i="4"/>
  <c r="I313" i="4"/>
  <c r="I311" i="4"/>
  <c r="I309" i="4"/>
  <c r="I307" i="4"/>
  <c r="I305" i="4"/>
  <c r="I303" i="4"/>
  <c r="I301" i="4"/>
  <c r="I299" i="4"/>
  <c r="I297" i="4"/>
  <c r="I295" i="4"/>
  <c r="I293" i="4"/>
  <c r="I291" i="4"/>
  <c r="I289" i="4"/>
  <c r="I287" i="4"/>
  <c r="I285" i="4"/>
  <c r="I283" i="4"/>
  <c r="I281" i="4"/>
  <c r="I279" i="4"/>
  <c r="I277" i="4"/>
  <c r="I275" i="4"/>
  <c r="I273" i="4"/>
  <c r="I271" i="4"/>
  <c r="I269" i="4"/>
  <c r="I267" i="4"/>
  <c r="I265" i="4"/>
  <c r="I263" i="4"/>
  <c r="I261" i="4"/>
  <c r="I259" i="4"/>
  <c r="I257" i="4"/>
  <c r="I255" i="4"/>
  <c r="I253" i="4"/>
  <c r="I251" i="4"/>
  <c r="I249" i="4"/>
  <c r="I247" i="4"/>
  <c r="I245" i="4"/>
  <c r="I243" i="4"/>
  <c r="I241" i="4"/>
  <c r="I239" i="4"/>
  <c r="I237" i="4"/>
  <c r="I235" i="4"/>
  <c r="I233" i="4"/>
  <c r="I231" i="4"/>
  <c r="I229" i="4"/>
  <c r="I227" i="4"/>
  <c r="I225" i="4"/>
  <c r="I223" i="4"/>
  <c r="I221" i="4"/>
  <c r="I219" i="4"/>
  <c r="I217" i="4"/>
  <c r="I215" i="4"/>
  <c r="I213" i="4"/>
  <c r="I211" i="4"/>
  <c r="I209" i="4"/>
  <c r="I207" i="4"/>
  <c r="I205" i="4"/>
  <c r="I203" i="4"/>
  <c r="I201" i="4"/>
  <c r="I199" i="4"/>
  <c r="I197" i="4"/>
  <c r="I195" i="4"/>
  <c r="I193" i="4"/>
  <c r="I191" i="4"/>
  <c r="I189" i="4"/>
  <c r="I187" i="4"/>
  <c r="I185" i="4"/>
  <c r="I183" i="4"/>
  <c r="I181" i="4"/>
  <c r="I179" i="4"/>
  <c r="I177" i="4"/>
  <c r="I175" i="4"/>
  <c r="I173" i="4"/>
  <c r="I171" i="4"/>
  <c r="I169" i="4"/>
  <c r="I167" i="4"/>
  <c r="I165" i="4"/>
  <c r="I163" i="4"/>
  <c r="I161" i="4"/>
  <c r="I159" i="4"/>
  <c r="I157" i="4"/>
  <c r="I155" i="4"/>
  <c r="I153" i="4"/>
  <c r="I514" i="4"/>
  <c r="I577" i="4"/>
  <c r="I561" i="4"/>
  <c r="I545" i="4"/>
  <c r="I513" i="4"/>
  <c r="I526" i="4"/>
  <c r="I318" i="4"/>
  <c r="I316" i="4"/>
  <c r="I314" i="4"/>
  <c r="I312" i="4"/>
  <c r="I310" i="4"/>
  <c r="I308" i="4"/>
  <c r="I306" i="4"/>
  <c r="I304" i="4"/>
  <c r="I302" i="4"/>
  <c r="I300" i="4"/>
  <c r="I298" i="4"/>
  <c r="I296" i="4"/>
  <c r="I294" i="4"/>
  <c r="I292" i="4"/>
  <c r="I290" i="4"/>
  <c r="I288" i="4"/>
  <c r="I286" i="4"/>
  <c r="I284" i="4"/>
  <c r="I282" i="4"/>
  <c r="I280" i="4"/>
  <c r="I278" i="4"/>
  <c r="I276" i="4"/>
  <c r="I274" i="4"/>
  <c r="I272" i="4"/>
  <c r="I270" i="4"/>
  <c r="I268" i="4"/>
  <c r="I266" i="4"/>
  <c r="I264" i="4"/>
  <c r="I262" i="4"/>
  <c r="I260" i="4"/>
  <c r="I258" i="4"/>
  <c r="I256" i="4"/>
  <c r="I254" i="4"/>
  <c r="I252" i="4"/>
  <c r="I250" i="4"/>
  <c r="I248" i="4"/>
  <c r="I246" i="4"/>
  <c r="I244" i="4"/>
  <c r="I242" i="4"/>
  <c r="I240" i="4"/>
  <c r="I238" i="4"/>
  <c r="I236" i="4"/>
  <c r="I234" i="4"/>
  <c r="I232" i="4"/>
  <c r="I230" i="4"/>
  <c r="I228" i="4"/>
  <c r="I226" i="4"/>
  <c r="I224" i="4"/>
  <c r="I222" i="4"/>
  <c r="I220" i="4"/>
  <c r="I218" i="4"/>
  <c r="I216" i="4"/>
  <c r="I214" i="4"/>
  <c r="I212" i="4"/>
  <c r="I210" i="4"/>
  <c r="I208" i="4"/>
  <c r="I206" i="4"/>
  <c r="I204" i="4"/>
  <c r="I202" i="4"/>
  <c r="I200" i="4"/>
  <c r="I198" i="4"/>
  <c r="I196" i="4"/>
  <c r="I194" i="4"/>
  <c r="I192" i="4"/>
  <c r="I190" i="4"/>
  <c r="I188" i="4"/>
  <c r="I186" i="4"/>
  <c r="I184" i="4"/>
  <c r="I182" i="4"/>
  <c r="I180" i="4"/>
  <c r="I178" i="4"/>
  <c r="I176" i="4"/>
  <c r="I174" i="4"/>
  <c r="I172" i="4"/>
  <c r="I170" i="4"/>
  <c r="I168" i="4"/>
  <c r="I166" i="4"/>
  <c r="I164" i="4"/>
  <c r="I162" i="4"/>
  <c r="I160" i="4"/>
  <c r="I158" i="4"/>
  <c r="I156" i="4"/>
  <c r="I154" i="4"/>
  <c r="I152" i="4"/>
  <c r="I150" i="4"/>
  <c r="I148" i="4"/>
  <c r="I146" i="4"/>
  <c r="J89" i="4"/>
  <c r="N89" i="4" s="1"/>
  <c r="J75" i="4"/>
  <c r="N75" i="4" s="1"/>
  <c r="J55" i="4"/>
  <c r="N55" i="4" s="1"/>
  <c r="J35" i="4"/>
  <c r="J17" i="4"/>
  <c r="I151" i="4"/>
  <c r="I147" i="4"/>
  <c r="I46" i="4"/>
  <c r="I28" i="4"/>
  <c r="I20" i="4"/>
  <c r="L185" i="4"/>
  <c r="L169" i="4"/>
  <c r="J139" i="4"/>
  <c r="J133" i="4"/>
  <c r="J127" i="4"/>
  <c r="J119" i="4"/>
  <c r="J111" i="4"/>
  <c r="N111" i="4" s="1"/>
  <c r="J67" i="4"/>
  <c r="N67" i="4" s="1"/>
  <c r="J49" i="4"/>
  <c r="N49" i="4" s="1"/>
  <c r="I70" i="4"/>
  <c r="I62" i="4"/>
  <c r="I60" i="4"/>
  <c r="I58" i="4"/>
  <c r="I56" i="4"/>
  <c r="I54" i="4"/>
  <c r="I50" i="4"/>
  <c r="I48" i="4"/>
  <c r="I44" i="4"/>
  <c r="I40" i="4"/>
  <c r="I36" i="4"/>
  <c r="I34" i="4"/>
  <c r="I30" i="4"/>
  <c r="I26" i="4"/>
  <c r="I22" i="4"/>
  <c r="I18" i="4"/>
  <c r="I14" i="4"/>
  <c r="L150" i="4"/>
  <c r="J95" i="4"/>
  <c r="J71" i="4"/>
  <c r="J53" i="4"/>
  <c r="J47" i="4"/>
  <c r="N47" i="4" s="1"/>
  <c r="J33" i="4"/>
  <c r="N33" i="4" s="1"/>
  <c r="I144" i="4"/>
  <c r="I142" i="4"/>
  <c r="I140" i="4"/>
  <c r="I138" i="4"/>
  <c r="I136" i="4"/>
  <c r="I134" i="4"/>
  <c r="I132" i="4"/>
  <c r="I130" i="4"/>
  <c r="I128" i="4"/>
  <c r="I126" i="4"/>
  <c r="I124" i="4"/>
  <c r="I122" i="4"/>
  <c r="I120" i="4"/>
  <c r="I118" i="4"/>
  <c r="I116" i="4"/>
  <c r="I114" i="4"/>
  <c r="I112" i="4"/>
  <c r="I110" i="4"/>
  <c r="I108" i="4"/>
  <c r="I106" i="4"/>
  <c r="I104" i="4"/>
  <c r="I102" i="4"/>
  <c r="I100" i="4"/>
  <c r="I98" i="4"/>
  <c r="I96" i="4"/>
  <c r="I94" i="4"/>
  <c r="I92" i="4"/>
  <c r="I90" i="4"/>
  <c r="I88" i="4"/>
  <c r="I86" i="4"/>
  <c r="I84" i="4"/>
  <c r="I82" i="4"/>
  <c r="I80" i="4"/>
  <c r="I78" i="4"/>
  <c r="I76" i="4"/>
  <c r="I74" i="4"/>
  <c r="I72" i="4"/>
  <c r="I68" i="4"/>
  <c r="I66" i="4"/>
  <c r="I64" i="4"/>
  <c r="I52" i="4"/>
  <c r="I42" i="4"/>
  <c r="I38" i="4"/>
  <c r="I32" i="4"/>
  <c r="I24" i="4"/>
  <c r="I16" i="4"/>
  <c r="I12" i="4"/>
  <c r="L146" i="4"/>
  <c r="N146" i="4" s="1"/>
  <c r="J103" i="4"/>
  <c r="N103" i="4" s="1"/>
  <c r="J97" i="4"/>
  <c r="J91" i="4"/>
  <c r="J85" i="4"/>
  <c r="J69" i="4"/>
  <c r="J65" i="4"/>
  <c r="J57" i="4"/>
  <c r="N57" i="4" s="1"/>
  <c r="J39" i="4"/>
  <c r="J29" i="4"/>
  <c r="J19" i="4"/>
  <c r="I11" i="4"/>
  <c r="I525" i="4"/>
  <c r="J135" i="4"/>
  <c r="J125" i="4"/>
  <c r="J113" i="4"/>
  <c r="J99" i="4"/>
  <c r="N99" i="4" s="1"/>
  <c r="J87" i="4"/>
  <c r="N87" i="4" s="1"/>
  <c r="J77" i="4"/>
  <c r="J61" i="4"/>
  <c r="J59" i="4"/>
  <c r="J31" i="4"/>
  <c r="J25" i="4"/>
  <c r="I149" i="4"/>
  <c r="L194" i="4"/>
  <c r="N194" i="4" s="1"/>
  <c r="L178" i="4"/>
  <c r="N178" i="4" s="1"/>
  <c r="L153" i="4"/>
  <c r="J145" i="4"/>
  <c r="J129" i="4"/>
  <c r="J107" i="4"/>
  <c r="J105" i="4"/>
  <c r="J83" i="4"/>
  <c r="N83" i="4" s="1"/>
  <c r="J81" i="4"/>
  <c r="N81" i="4" s="1"/>
  <c r="J79" i="4"/>
  <c r="N79" i="4" s="1"/>
  <c r="J73" i="4"/>
  <c r="J63" i="4"/>
  <c r="J45" i="4"/>
  <c r="J41" i="4"/>
  <c r="J27" i="4"/>
  <c r="J23" i="4"/>
  <c r="J13" i="4"/>
  <c r="I145" i="4"/>
  <c r="I143" i="4"/>
  <c r="I141" i="4"/>
  <c r="I139" i="4"/>
  <c r="I137" i="4"/>
  <c r="I135" i="4"/>
  <c r="I133" i="4"/>
  <c r="I131" i="4"/>
  <c r="I129" i="4"/>
  <c r="I127" i="4"/>
  <c r="I125" i="4"/>
  <c r="I123" i="4"/>
  <c r="I121" i="4"/>
  <c r="I119" i="4"/>
  <c r="I117" i="4"/>
  <c r="I115" i="4"/>
  <c r="I113" i="4"/>
  <c r="I111" i="4"/>
  <c r="I109" i="4"/>
  <c r="I107" i="4"/>
  <c r="I105" i="4"/>
  <c r="I103" i="4"/>
  <c r="I101" i="4"/>
  <c r="I99" i="4"/>
  <c r="I97" i="4"/>
  <c r="I95" i="4"/>
  <c r="I93" i="4"/>
  <c r="I91" i="4"/>
  <c r="I89" i="4"/>
  <c r="I87" i="4"/>
  <c r="I85" i="4"/>
  <c r="I83" i="4"/>
  <c r="I81" i="4"/>
  <c r="I79" i="4"/>
  <c r="I77" i="4"/>
  <c r="I75" i="4"/>
  <c r="I73" i="4"/>
  <c r="I71" i="4"/>
  <c r="I69" i="4"/>
  <c r="I67" i="4"/>
  <c r="I65" i="4"/>
  <c r="I63" i="4"/>
  <c r="I61" i="4"/>
  <c r="I59" i="4"/>
  <c r="I57" i="4"/>
  <c r="I55" i="4"/>
  <c r="I53" i="4"/>
  <c r="I51" i="4"/>
  <c r="I49" i="4"/>
  <c r="I47" i="4"/>
  <c r="I45" i="4"/>
  <c r="I43" i="4"/>
  <c r="I41" i="4"/>
  <c r="I39" i="4"/>
  <c r="I37" i="4"/>
  <c r="I35" i="4"/>
  <c r="I33" i="4"/>
  <c r="I31" i="4"/>
  <c r="I29" i="4"/>
  <c r="I27" i="4"/>
  <c r="I25" i="4"/>
  <c r="I23" i="4"/>
  <c r="I21" i="4"/>
  <c r="I19" i="4"/>
  <c r="I17" i="4"/>
  <c r="I15" i="4"/>
  <c r="I13" i="4"/>
  <c r="L201" i="4"/>
  <c r="L162" i="4"/>
  <c r="J143" i="4"/>
  <c r="J141" i="4"/>
  <c r="J137" i="4"/>
  <c r="J131" i="4"/>
  <c r="J123" i="4"/>
  <c r="J121" i="4"/>
  <c r="J117" i="4"/>
  <c r="J115" i="4"/>
  <c r="J109" i="4"/>
  <c r="J101" i="4"/>
  <c r="N101" i="4" s="1"/>
  <c r="J93" i="4"/>
  <c r="J51" i="4"/>
  <c r="N51" i="4" s="1"/>
  <c r="J43" i="4"/>
  <c r="J37" i="4"/>
  <c r="J21" i="4"/>
  <c r="J15" i="4"/>
  <c r="H5" i="1"/>
  <c r="H6" i="1"/>
  <c r="O175" i="4"/>
  <c r="G11" i="4"/>
  <c r="L12" i="4"/>
  <c r="L14" i="4"/>
  <c r="L16" i="4"/>
  <c r="H17" i="4"/>
  <c r="H23" i="4"/>
  <c r="L24" i="4"/>
  <c r="H29" i="4"/>
  <c r="L30" i="4"/>
  <c r="H39" i="4"/>
  <c r="L40" i="4"/>
  <c r="H43" i="4"/>
  <c r="H53" i="4"/>
  <c r="L54" i="4"/>
  <c r="H61" i="4"/>
  <c r="L62" i="4"/>
  <c r="H65" i="4"/>
  <c r="L66" i="4"/>
  <c r="H69" i="4"/>
  <c r="L70" i="4"/>
  <c r="H77" i="4"/>
  <c r="L78" i="4"/>
  <c r="H83" i="4"/>
  <c r="H11" i="4"/>
  <c r="E12" i="4"/>
  <c r="M12" i="4" s="1"/>
  <c r="E14" i="4"/>
  <c r="M14" i="4" s="1"/>
  <c r="E16" i="4"/>
  <c r="M16" i="4" s="1"/>
  <c r="E18" i="4"/>
  <c r="M18" i="4" s="1"/>
  <c r="E20" i="4"/>
  <c r="M20" i="4" s="1"/>
  <c r="E22" i="4"/>
  <c r="M22" i="4" s="1"/>
  <c r="E24" i="4"/>
  <c r="M24" i="4" s="1"/>
  <c r="E26" i="4"/>
  <c r="M26" i="4" s="1"/>
  <c r="E28" i="4"/>
  <c r="M28" i="4" s="1"/>
  <c r="E30" i="4"/>
  <c r="M30" i="4" s="1"/>
  <c r="E32" i="4"/>
  <c r="M32" i="4" s="1"/>
  <c r="E34" i="4"/>
  <c r="M34" i="4" s="1"/>
  <c r="E36" i="4"/>
  <c r="M36" i="4" s="1"/>
  <c r="E38" i="4"/>
  <c r="M38" i="4" s="1"/>
  <c r="E40" i="4"/>
  <c r="M40" i="4" s="1"/>
  <c r="E42" i="4"/>
  <c r="M42" i="4" s="1"/>
  <c r="E44" i="4"/>
  <c r="M44" i="4" s="1"/>
  <c r="E46" i="4"/>
  <c r="M46" i="4" s="1"/>
  <c r="E48" i="4"/>
  <c r="M48" i="4" s="1"/>
  <c r="E50" i="4"/>
  <c r="M50" i="4" s="1"/>
  <c r="E52" i="4"/>
  <c r="M52" i="4" s="1"/>
  <c r="E54" i="4"/>
  <c r="M54" i="4" s="1"/>
  <c r="E56" i="4"/>
  <c r="M56" i="4" s="1"/>
  <c r="E58" i="4"/>
  <c r="M58" i="4" s="1"/>
  <c r="E60" i="4"/>
  <c r="M60" i="4" s="1"/>
  <c r="E62" i="4"/>
  <c r="M62" i="4" s="1"/>
  <c r="E64" i="4"/>
  <c r="M64" i="4" s="1"/>
  <c r="E66" i="4"/>
  <c r="M66" i="4" s="1"/>
  <c r="E68" i="4"/>
  <c r="M68" i="4" s="1"/>
  <c r="E70" i="4"/>
  <c r="M70" i="4" s="1"/>
  <c r="E72" i="4"/>
  <c r="M72" i="4" s="1"/>
  <c r="E74" i="4"/>
  <c r="M74" i="4" s="1"/>
  <c r="E76" i="4"/>
  <c r="M76" i="4" s="1"/>
  <c r="E78" i="4"/>
  <c r="M78" i="4" s="1"/>
  <c r="E80" i="4"/>
  <c r="M80" i="4" s="1"/>
  <c r="E82" i="4"/>
  <c r="M82" i="4" s="1"/>
  <c r="E84" i="4"/>
  <c r="M84" i="4" s="1"/>
  <c r="E86" i="4"/>
  <c r="M86" i="4" s="1"/>
  <c r="E88" i="4"/>
  <c r="M88" i="4" s="1"/>
  <c r="E90" i="4"/>
  <c r="M90" i="4" s="1"/>
  <c r="E92" i="4"/>
  <c r="M92" i="4" s="1"/>
  <c r="E94" i="4"/>
  <c r="M94" i="4" s="1"/>
  <c r="E96" i="4"/>
  <c r="M96" i="4" s="1"/>
  <c r="E98" i="4"/>
  <c r="M98" i="4" s="1"/>
  <c r="E100" i="4"/>
  <c r="M100" i="4" s="1"/>
  <c r="E102" i="4"/>
  <c r="M102" i="4" s="1"/>
  <c r="E104" i="4"/>
  <c r="M104" i="4" s="1"/>
  <c r="E106" i="4"/>
  <c r="M106" i="4" s="1"/>
  <c r="E108" i="4"/>
  <c r="M108" i="4" s="1"/>
  <c r="E110" i="4"/>
  <c r="M110" i="4" s="1"/>
  <c r="E112" i="4"/>
  <c r="M112" i="4" s="1"/>
  <c r="E114" i="4"/>
  <c r="M114" i="4" s="1"/>
  <c r="E116" i="4"/>
  <c r="M116" i="4" s="1"/>
  <c r="E118" i="4"/>
  <c r="M118" i="4" s="1"/>
  <c r="E120" i="4"/>
  <c r="M120" i="4" s="1"/>
  <c r="E122" i="4"/>
  <c r="M122" i="4" s="1"/>
  <c r="E124" i="4"/>
  <c r="M124" i="4" s="1"/>
  <c r="E126" i="4"/>
  <c r="M126" i="4" s="1"/>
  <c r="E128" i="4"/>
  <c r="M128" i="4" s="1"/>
  <c r="E130" i="4"/>
  <c r="M130" i="4" s="1"/>
  <c r="E132" i="4"/>
  <c r="M132" i="4" s="1"/>
  <c r="E134" i="4"/>
  <c r="M134" i="4" s="1"/>
  <c r="E136" i="4"/>
  <c r="M136" i="4" s="1"/>
  <c r="E138" i="4"/>
  <c r="M138" i="4" s="1"/>
  <c r="E140" i="4"/>
  <c r="M140" i="4" s="1"/>
  <c r="E142" i="4"/>
  <c r="M142" i="4" s="1"/>
  <c r="E144" i="4"/>
  <c r="M144" i="4" s="1"/>
  <c r="H146" i="4"/>
  <c r="L147" i="4"/>
  <c r="O149" i="4"/>
  <c r="H150" i="4"/>
  <c r="L151" i="4"/>
  <c r="N151" i="4" s="1"/>
  <c r="K153" i="4"/>
  <c r="O157" i="4"/>
  <c r="L160" i="4"/>
  <c r="G164" i="4"/>
  <c r="L167" i="4"/>
  <c r="K169" i="4"/>
  <c r="O173" i="4"/>
  <c r="L176" i="4"/>
  <c r="N176" i="4" s="1"/>
  <c r="G180" i="4"/>
  <c r="L183" i="4"/>
  <c r="K185" i="4"/>
  <c r="O189" i="4"/>
  <c r="L192" i="4"/>
  <c r="G196" i="4"/>
  <c r="L199" i="4"/>
  <c r="N199" i="4" s="1"/>
  <c r="K201" i="4"/>
  <c r="O205" i="4"/>
  <c r="O209" i="4"/>
  <c r="G212" i="4"/>
  <c r="K215" i="4"/>
  <c r="G228" i="4"/>
  <c r="K231" i="4"/>
  <c r="G244" i="4"/>
  <c r="K247" i="4"/>
  <c r="G260" i="4"/>
  <c r="K263" i="4"/>
  <c r="G276" i="4"/>
  <c r="K279" i="4"/>
  <c r="G292" i="4"/>
  <c r="K295" i="4"/>
  <c r="G308" i="4"/>
  <c r="K311" i="4"/>
  <c r="K321" i="4"/>
  <c r="G344" i="4"/>
  <c r="K353" i="4"/>
  <c r="K368" i="4"/>
  <c r="G403" i="4"/>
  <c r="K422" i="4"/>
  <c r="G505" i="4"/>
  <c r="E551" i="4"/>
  <c r="H359" i="4"/>
  <c r="O359" i="4"/>
  <c r="O360" i="4"/>
  <c r="J11" i="4"/>
  <c r="G12" i="4"/>
  <c r="O12" i="4"/>
  <c r="K13" i="4"/>
  <c r="G14" i="4"/>
  <c r="O14" i="4"/>
  <c r="K15" i="4"/>
  <c r="G16" i="4"/>
  <c r="O16" i="4"/>
  <c r="K17" i="4"/>
  <c r="G18" i="4"/>
  <c r="O18" i="4"/>
  <c r="K19" i="4"/>
  <c r="G20" i="4"/>
  <c r="O20" i="4"/>
  <c r="K21" i="4"/>
  <c r="G22" i="4"/>
  <c r="O22" i="4"/>
  <c r="K23" i="4"/>
  <c r="G24" i="4"/>
  <c r="O24" i="4"/>
  <c r="K25" i="4"/>
  <c r="G26" i="4"/>
  <c r="O26" i="4"/>
  <c r="K27" i="4"/>
  <c r="G28" i="4"/>
  <c r="O28" i="4"/>
  <c r="K29" i="4"/>
  <c r="G30" i="4"/>
  <c r="O30" i="4"/>
  <c r="K31" i="4"/>
  <c r="G32" i="4"/>
  <c r="O32" i="4"/>
  <c r="K33" i="4"/>
  <c r="G34" i="4"/>
  <c r="O34" i="4"/>
  <c r="K35" i="4"/>
  <c r="G36" i="4"/>
  <c r="O36" i="4"/>
  <c r="K37" i="4"/>
  <c r="G38" i="4"/>
  <c r="O38" i="4"/>
  <c r="K39" i="4"/>
  <c r="G40" i="4"/>
  <c r="O40" i="4"/>
  <c r="K41" i="4"/>
  <c r="G42" i="4"/>
  <c r="O42" i="4"/>
  <c r="K43" i="4"/>
  <c r="G44" i="4"/>
  <c r="O44" i="4"/>
  <c r="K45" i="4"/>
  <c r="G46" i="4"/>
  <c r="O46" i="4"/>
  <c r="K47" i="4"/>
  <c r="G48" i="4"/>
  <c r="O48" i="4"/>
  <c r="K49" i="4"/>
  <c r="G50" i="4"/>
  <c r="O50" i="4"/>
  <c r="K51" i="4"/>
  <c r="G52" i="4"/>
  <c r="O52" i="4"/>
  <c r="K53" i="4"/>
  <c r="G54" i="4"/>
  <c r="O54" i="4"/>
  <c r="K55" i="4"/>
  <c r="G56" i="4"/>
  <c r="O56" i="4"/>
  <c r="K57" i="4"/>
  <c r="G58" i="4"/>
  <c r="O58" i="4"/>
  <c r="K59" i="4"/>
  <c r="G60" i="4"/>
  <c r="O60" i="4"/>
  <c r="K61" i="4"/>
  <c r="G62" i="4"/>
  <c r="O62" i="4"/>
  <c r="K63" i="4"/>
  <c r="G64" i="4"/>
  <c r="O64" i="4"/>
  <c r="K65" i="4"/>
  <c r="G66" i="4"/>
  <c r="O66" i="4"/>
  <c r="K67" i="4"/>
  <c r="G68" i="4"/>
  <c r="O68" i="4"/>
  <c r="K69" i="4"/>
  <c r="G70" i="4"/>
  <c r="O70" i="4"/>
  <c r="K71" i="4"/>
  <c r="G72" i="4"/>
  <c r="O72" i="4"/>
  <c r="K73" i="4"/>
  <c r="G74" i="4"/>
  <c r="O74" i="4"/>
  <c r="K75" i="4"/>
  <c r="G76" i="4"/>
  <c r="O76" i="4"/>
  <c r="K77" i="4"/>
  <c r="G78" i="4"/>
  <c r="O78" i="4"/>
  <c r="K79" i="4"/>
  <c r="G80" i="4"/>
  <c r="O80" i="4"/>
  <c r="K81" i="4"/>
  <c r="G82" i="4"/>
  <c r="O82" i="4"/>
  <c r="K83" i="4"/>
  <c r="G84" i="4"/>
  <c r="O84" i="4"/>
  <c r="K85" i="4"/>
  <c r="G86" i="4"/>
  <c r="O86" i="4"/>
  <c r="K87" i="4"/>
  <c r="G88" i="4"/>
  <c r="O88" i="4"/>
  <c r="K89" i="4"/>
  <c r="G90" i="4"/>
  <c r="O90" i="4"/>
  <c r="K91" i="4"/>
  <c r="G92" i="4"/>
  <c r="O92" i="4"/>
  <c r="K93" i="4"/>
  <c r="G94" i="4"/>
  <c r="O94" i="4"/>
  <c r="K95" i="4"/>
  <c r="G96" i="4"/>
  <c r="O96" i="4"/>
  <c r="K97" i="4"/>
  <c r="G98" i="4"/>
  <c r="O98" i="4"/>
  <c r="K99" i="4"/>
  <c r="G100" i="4"/>
  <c r="O100" i="4"/>
  <c r="K101" i="4"/>
  <c r="G102" i="4"/>
  <c r="O102" i="4"/>
  <c r="K103" i="4"/>
  <c r="G104" i="4"/>
  <c r="O104" i="4"/>
  <c r="K105" i="4"/>
  <c r="G106" i="4"/>
  <c r="O106" i="4"/>
  <c r="K107" i="4"/>
  <c r="G108" i="4"/>
  <c r="O108" i="4"/>
  <c r="K109" i="4"/>
  <c r="G110" i="4"/>
  <c r="O110" i="4"/>
  <c r="K111" i="4"/>
  <c r="G112" i="4"/>
  <c r="O112" i="4"/>
  <c r="K113" i="4"/>
  <c r="G114" i="4"/>
  <c r="O114" i="4"/>
  <c r="K115" i="4"/>
  <c r="G116" i="4"/>
  <c r="O116" i="4"/>
  <c r="K117" i="4"/>
  <c r="G118" i="4"/>
  <c r="O118" i="4"/>
  <c r="K119" i="4"/>
  <c r="G120" i="4"/>
  <c r="O120" i="4"/>
  <c r="K121" i="4"/>
  <c r="G122" i="4"/>
  <c r="O122" i="4"/>
  <c r="K123" i="4"/>
  <c r="G124" i="4"/>
  <c r="O124" i="4"/>
  <c r="K125" i="4"/>
  <c r="G126" i="4"/>
  <c r="O126" i="4"/>
  <c r="K127" i="4"/>
  <c r="G128" i="4"/>
  <c r="O128" i="4"/>
  <c r="K129" i="4"/>
  <c r="G130" i="4"/>
  <c r="O130" i="4"/>
  <c r="K131" i="4"/>
  <c r="G132" i="4"/>
  <c r="O132" i="4"/>
  <c r="K133" i="4"/>
  <c r="G134" i="4"/>
  <c r="O134" i="4"/>
  <c r="K135" i="4"/>
  <c r="G136" i="4"/>
  <c r="O136" i="4"/>
  <c r="K137" i="4"/>
  <c r="G138" i="4"/>
  <c r="O138" i="4"/>
  <c r="K139" i="4"/>
  <c r="G140" i="4"/>
  <c r="O140" i="4"/>
  <c r="K141" i="4"/>
  <c r="G142" i="4"/>
  <c r="O142" i="4"/>
  <c r="K143" i="4"/>
  <c r="G144" i="4"/>
  <c r="O144" i="4"/>
  <c r="K145" i="4"/>
  <c r="E148" i="4"/>
  <c r="G152" i="4"/>
  <c r="L155" i="4"/>
  <c r="K157" i="4"/>
  <c r="O161" i="4"/>
  <c r="O162" i="4"/>
  <c r="L164" i="4"/>
  <c r="H166" i="4"/>
  <c r="G168" i="4"/>
  <c r="L171" i="4"/>
  <c r="K173" i="4"/>
  <c r="H175" i="4"/>
  <c r="O177" i="4"/>
  <c r="O178" i="4"/>
  <c r="L180" i="4"/>
  <c r="H182" i="4"/>
  <c r="G184" i="4"/>
  <c r="L187" i="4"/>
  <c r="K189" i="4"/>
  <c r="O193" i="4"/>
  <c r="O194" i="4"/>
  <c r="L196" i="4"/>
  <c r="H198" i="4"/>
  <c r="G200" i="4"/>
  <c r="L203" i="4"/>
  <c r="K205" i="4"/>
  <c r="H207" i="4"/>
  <c r="G216" i="4"/>
  <c r="K219" i="4"/>
  <c r="G232" i="4"/>
  <c r="K235" i="4"/>
  <c r="G248" i="4"/>
  <c r="K251" i="4"/>
  <c r="G264" i="4"/>
  <c r="K267" i="4"/>
  <c r="G280" i="4"/>
  <c r="K283" i="4"/>
  <c r="G296" i="4"/>
  <c r="K299" i="4"/>
  <c r="G312" i="4"/>
  <c r="K315" i="4"/>
  <c r="G336" i="4"/>
  <c r="K345" i="4"/>
  <c r="K374" i="4"/>
  <c r="G419" i="4"/>
  <c r="K438" i="4"/>
  <c r="G457" i="4"/>
  <c r="L609" i="4"/>
  <c r="L607" i="4"/>
  <c r="L605" i="4"/>
  <c r="F610" i="4"/>
  <c r="J609" i="4"/>
  <c r="N609" i="4" s="1"/>
  <c r="F608" i="4"/>
  <c r="J607" i="4"/>
  <c r="F606" i="4"/>
  <c r="J605" i="4"/>
  <c r="F604" i="4"/>
  <c r="J603" i="4"/>
  <c r="N603" i="4" s="1"/>
  <c r="E610" i="4"/>
  <c r="E608" i="4"/>
  <c r="E606" i="4"/>
  <c r="E604" i="4"/>
  <c r="E602" i="4"/>
  <c r="L610" i="4"/>
  <c r="L608" i="4"/>
  <c r="L606" i="4"/>
  <c r="N606" i="4" s="1"/>
  <c r="L604" i="4"/>
  <c r="N604" i="4" s="1"/>
  <c r="F602" i="4"/>
  <c r="E600" i="4"/>
  <c r="E598" i="4"/>
  <c r="E596" i="4"/>
  <c r="E594" i="4"/>
  <c r="E592" i="4"/>
  <c r="E590" i="4"/>
  <c r="E588" i="4"/>
  <c r="E586" i="4"/>
  <c r="K610" i="4"/>
  <c r="K609" i="4"/>
  <c r="K608" i="4"/>
  <c r="K607" i="4"/>
  <c r="K606" i="4"/>
  <c r="K605" i="4"/>
  <c r="K604" i="4"/>
  <c r="L600" i="4"/>
  <c r="N600" i="4" s="1"/>
  <c r="L598" i="4"/>
  <c r="L596" i="4"/>
  <c r="L594" i="4"/>
  <c r="L592" i="4"/>
  <c r="L590" i="4"/>
  <c r="L588" i="4"/>
  <c r="L586" i="4"/>
  <c r="L584" i="4"/>
  <c r="N584" i="4" s="1"/>
  <c r="L582" i="4"/>
  <c r="L580" i="4"/>
  <c r="L578" i="4"/>
  <c r="L576" i="4"/>
  <c r="L574" i="4"/>
  <c r="L572" i="4"/>
  <c r="L570" i="4"/>
  <c r="N570" i="4" s="1"/>
  <c r="L568" i="4"/>
  <c r="N568" i="4" s="1"/>
  <c r="L566" i="4"/>
  <c r="L564" i="4"/>
  <c r="L562" i="4"/>
  <c r="L560" i="4"/>
  <c r="L558" i="4"/>
  <c r="L556" i="4"/>
  <c r="L554" i="4"/>
  <c r="L552" i="4"/>
  <c r="N552" i="4" s="1"/>
  <c r="L550" i="4"/>
  <c r="L548" i="4"/>
  <c r="L546" i="4"/>
  <c r="L544" i="4"/>
  <c r="L542" i="4"/>
  <c r="L540" i="4"/>
  <c r="L538" i="4"/>
  <c r="N538" i="4" s="1"/>
  <c r="L536" i="4"/>
  <c r="N536" i="4" s="1"/>
  <c r="L534" i="4"/>
  <c r="L532" i="4"/>
  <c r="L530" i="4"/>
  <c r="L528" i="4"/>
  <c r="L526" i="4"/>
  <c r="L524" i="4"/>
  <c r="J610" i="4"/>
  <c r="N610" i="4" s="1"/>
  <c r="H609" i="4"/>
  <c r="J608" i="4"/>
  <c r="H607" i="4"/>
  <c r="J606" i="4"/>
  <c r="H605" i="4"/>
  <c r="J604" i="4"/>
  <c r="L603" i="4"/>
  <c r="L602" i="4"/>
  <c r="G601" i="4"/>
  <c r="K600" i="4"/>
  <c r="G599" i="4"/>
  <c r="K598" i="4"/>
  <c r="G597" i="4"/>
  <c r="K596" i="4"/>
  <c r="G595" i="4"/>
  <c r="K594" i="4"/>
  <c r="G593" i="4"/>
  <c r="K592" i="4"/>
  <c r="G591" i="4"/>
  <c r="K590" i="4"/>
  <c r="G589" i="4"/>
  <c r="K588" i="4"/>
  <c r="G587" i="4"/>
  <c r="K586" i="4"/>
  <c r="G585" i="4"/>
  <c r="K584" i="4"/>
  <c r="G583" i="4"/>
  <c r="M583" i="4" s="1"/>
  <c r="K582" i="4"/>
  <c r="G581" i="4"/>
  <c r="K580" i="4"/>
  <c r="G579" i="4"/>
  <c r="K578" i="4"/>
  <c r="G577" i="4"/>
  <c r="K576" i="4"/>
  <c r="G575" i="4"/>
  <c r="K574" i="4"/>
  <c r="G573" i="4"/>
  <c r="K572" i="4"/>
  <c r="G571" i="4"/>
  <c r="K570" i="4"/>
  <c r="G569" i="4"/>
  <c r="K568" i="4"/>
  <c r="G567" i="4"/>
  <c r="M567" i="4" s="1"/>
  <c r="K566" i="4"/>
  <c r="G565" i="4"/>
  <c r="K564" i="4"/>
  <c r="G563" i="4"/>
  <c r="K562" i="4"/>
  <c r="G561" i="4"/>
  <c r="K560" i="4"/>
  <c r="G559" i="4"/>
  <c r="K558" i="4"/>
  <c r="G557" i="4"/>
  <c r="K556" i="4"/>
  <c r="G555" i="4"/>
  <c r="K554" i="4"/>
  <c r="G553" i="4"/>
  <c r="K552" i="4"/>
  <c r="G551" i="4"/>
  <c r="K550" i="4"/>
  <c r="G549" i="4"/>
  <c r="K548" i="4"/>
  <c r="G547" i="4"/>
  <c r="K546" i="4"/>
  <c r="G545" i="4"/>
  <c r="K544" i="4"/>
  <c r="G543" i="4"/>
  <c r="K542" i="4"/>
  <c r="G541" i="4"/>
  <c r="K540" i="4"/>
  <c r="G539" i="4"/>
  <c r="K538" i="4"/>
  <c r="G537" i="4"/>
  <c r="K536" i="4"/>
  <c r="G535" i="4"/>
  <c r="K534" i="4"/>
  <c r="G533" i="4"/>
  <c r="K532" i="4"/>
  <c r="G531" i="4"/>
  <c r="K530" i="4"/>
  <c r="G529" i="4"/>
  <c r="K528" i="4"/>
  <c r="G527" i="4"/>
  <c r="K526" i="4"/>
  <c r="G525" i="4"/>
  <c r="K524" i="4"/>
  <c r="G523" i="4"/>
  <c r="K522" i="4"/>
  <c r="G521" i="4"/>
  <c r="K520" i="4"/>
  <c r="G519" i="4"/>
  <c r="K518" i="4"/>
  <c r="G517" i="4"/>
  <c r="K516" i="4"/>
  <c r="G515" i="4"/>
  <c r="K514" i="4"/>
  <c r="G513" i="4"/>
  <c r="K512" i="4"/>
  <c r="G511" i="4"/>
  <c r="K510" i="4"/>
  <c r="G509" i="4"/>
  <c r="K508" i="4"/>
  <c r="G609" i="4"/>
  <c r="G607" i="4"/>
  <c r="G605" i="4"/>
  <c r="K603" i="4"/>
  <c r="K602" i="4"/>
  <c r="F601" i="4"/>
  <c r="J600" i="4"/>
  <c r="F599" i="4"/>
  <c r="J598" i="4"/>
  <c r="F597" i="4"/>
  <c r="J596" i="4"/>
  <c r="N596" i="4" s="1"/>
  <c r="F595" i="4"/>
  <c r="J594" i="4"/>
  <c r="F593" i="4"/>
  <c r="J592" i="4"/>
  <c r="F591" i="4"/>
  <c r="J590" i="4"/>
  <c r="F589" i="4"/>
  <c r="J588" i="4"/>
  <c r="N588" i="4" s="1"/>
  <c r="F587" i="4"/>
  <c r="J586" i="4"/>
  <c r="F585" i="4"/>
  <c r="J584" i="4"/>
  <c r="F583" i="4"/>
  <c r="J582" i="4"/>
  <c r="F581" i="4"/>
  <c r="J580" i="4"/>
  <c r="F579" i="4"/>
  <c r="J578" i="4"/>
  <c r="F577" i="4"/>
  <c r="J576" i="4"/>
  <c r="F575" i="4"/>
  <c r="J574" i="4"/>
  <c r="F573" i="4"/>
  <c r="J572" i="4"/>
  <c r="N572" i="4" s="1"/>
  <c r="F571" i="4"/>
  <c r="J570" i="4"/>
  <c r="F569" i="4"/>
  <c r="J568" i="4"/>
  <c r="F567" i="4"/>
  <c r="J566" i="4"/>
  <c r="N566" i="4" s="1"/>
  <c r="F565" i="4"/>
  <c r="J564" i="4"/>
  <c r="N564" i="4" s="1"/>
  <c r="F563" i="4"/>
  <c r="J562" i="4"/>
  <c r="F561" i="4"/>
  <c r="J560" i="4"/>
  <c r="F559" i="4"/>
  <c r="J558" i="4"/>
  <c r="N558" i="4" s="1"/>
  <c r="F557" i="4"/>
  <c r="J556" i="4"/>
  <c r="N556" i="4" s="1"/>
  <c r="F555" i="4"/>
  <c r="J554" i="4"/>
  <c r="F553" i="4"/>
  <c r="J552" i="4"/>
  <c r="F551" i="4"/>
  <c r="J550" i="4"/>
  <c r="N550" i="4" s="1"/>
  <c r="F549" i="4"/>
  <c r="J548" i="4"/>
  <c r="N548" i="4" s="1"/>
  <c r="F547" i="4"/>
  <c r="J546" i="4"/>
  <c r="F545" i="4"/>
  <c r="J544" i="4"/>
  <c r="F543" i="4"/>
  <c r="J542" i="4"/>
  <c r="N542" i="4" s="1"/>
  <c r="F541" i="4"/>
  <c r="J540" i="4"/>
  <c r="N540" i="4" s="1"/>
  <c r="F539" i="4"/>
  <c r="J538" i="4"/>
  <c r="F537" i="4"/>
  <c r="J536" i="4"/>
  <c r="F535" i="4"/>
  <c r="J534" i="4"/>
  <c r="N534" i="4" s="1"/>
  <c r="F533" i="4"/>
  <c r="J532" i="4"/>
  <c r="N532" i="4" s="1"/>
  <c r="F531" i="4"/>
  <c r="J530" i="4"/>
  <c r="F529" i="4"/>
  <c r="J528" i="4"/>
  <c r="F527" i="4"/>
  <c r="J526" i="4"/>
  <c r="F525" i="4"/>
  <c r="J524" i="4"/>
  <c r="N524" i="4" s="1"/>
  <c r="F523" i="4"/>
  <c r="J522" i="4"/>
  <c r="F521" i="4"/>
  <c r="J520" i="4"/>
  <c r="F519" i="4"/>
  <c r="J518" i="4"/>
  <c r="N518" i="4" s="1"/>
  <c r="F517" i="4"/>
  <c r="J516" i="4"/>
  <c r="N516" i="4" s="1"/>
  <c r="F515" i="4"/>
  <c r="J514" i="4"/>
  <c r="F513" i="4"/>
  <c r="J512" i="4"/>
  <c r="F511" i="4"/>
  <c r="J510" i="4"/>
  <c r="N510" i="4" s="1"/>
  <c r="F509" i="4"/>
  <c r="J508" i="4"/>
  <c r="N508" i="4" s="1"/>
  <c r="G610" i="4"/>
  <c r="F609" i="4"/>
  <c r="G608" i="4"/>
  <c r="F607" i="4"/>
  <c r="G606" i="4"/>
  <c r="F605" i="4"/>
  <c r="J602" i="4"/>
  <c r="N602" i="4" s="1"/>
  <c r="E601" i="4"/>
  <c r="M601" i="4" s="1"/>
  <c r="E599" i="4"/>
  <c r="M599" i="4" s="1"/>
  <c r="E597" i="4"/>
  <c r="M597" i="4" s="1"/>
  <c r="E595" i="4"/>
  <c r="M595" i="4" s="1"/>
  <c r="E593" i="4"/>
  <c r="M593" i="4" s="1"/>
  <c r="E591" i="4"/>
  <c r="M591" i="4" s="1"/>
  <c r="E589" i="4"/>
  <c r="M589" i="4" s="1"/>
  <c r="E587" i="4"/>
  <c r="M587" i="4" s="1"/>
  <c r="E585" i="4"/>
  <c r="M585" i="4" s="1"/>
  <c r="E609" i="4"/>
  <c r="M609" i="4" s="1"/>
  <c r="E607" i="4"/>
  <c r="E605" i="4"/>
  <c r="M605" i="4" s="1"/>
  <c r="G604" i="4"/>
  <c r="G603" i="4"/>
  <c r="L601" i="4"/>
  <c r="H600" i="4"/>
  <c r="L599" i="4"/>
  <c r="N599" i="4" s="1"/>
  <c r="H598" i="4"/>
  <c r="L597" i="4"/>
  <c r="H596" i="4"/>
  <c r="L595" i="4"/>
  <c r="H594" i="4"/>
  <c r="L593" i="4"/>
  <c r="N593" i="4" s="1"/>
  <c r="H592" i="4"/>
  <c r="L591" i="4"/>
  <c r="N591" i="4" s="1"/>
  <c r="H590" i="4"/>
  <c r="L589" i="4"/>
  <c r="H588" i="4"/>
  <c r="L587" i="4"/>
  <c r="H586" i="4"/>
  <c r="L585" i="4"/>
  <c r="H584" i="4"/>
  <c r="L583" i="4"/>
  <c r="N583" i="4" s="1"/>
  <c r="H582" i="4"/>
  <c r="L581" i="4"/>
  <c r="H580" i="4"/>
  <c r="L579" i="4"/>
  <c r="H578" i="4"/>
  <c r="L577" i="4"/>
  <c r="N577" i="4" s="1"/>
  <c r="H576" i="4"/>
  <c r="L575" i="4"/>
  <c r="N575" i="4" s="1"/>
  <c r="H574" i="4"/>
  <c r="L573" i="4"/>
  <c r="H572" i="4"/>
  <c r="L571" i="4"/>
  <c r="H570" i="4"/>
  <c r="L569" i="4"/>
  <c r="H568" i="4"/>
  <c r="L567" i="4"/>
  <c r="N567" i="4" s="1"/>
  <c r="H566" i="4"/>
  <c r="L565" i="4"/>
  <c r="H564" i="4"/>
  <c r="L563" i="4"/>
  <c r="H562" i="4"/>
  <c r="L561" i="4"/>
  <c r="N561" i="4" s="1"/>
  <c r="H560" i="4"/>
  <c r="L559" i="4"/>
  <c r="N559" i="4" s="1"/>
  <c r="H558" i="4"/>
  <c r="L557" i="4"/>
  <c r="H556" i="4"/>
  <c r="L555" i="4"/>
  <c r="H554" i="4"/>
  <c r="L553" i="4"/>
  <c r="H552" i="4"/>
  <c r="L551" i="4"/>
  <c r="N551" i="4" s="1"/>
  <c r="H550" i="4"/>
  <c r="L549" i="4"/>
  <c r="H548" i="4"/>
  <c r="L547" i="4"/>
  <c r="H546" i="4"/>
  <c r="L545" i="4"/>
  <c r="N545" i="4" s="1"/>
  <c r="H544" i="4"/>
  <c r="L543" i="4"/>
  <c r="N543" i="4" s="1"/>
  <c r="H542" i="4"/>
  <c r="L541" i="4"/>
  <c r="H540" i="4"/>
  <c r="L539" i="4"/>
  <c r="H538" i="4"/>
  <c r="L537" i="4"/>
  <c r="H536" i="4"/>
  <c r="L535" i="4"/>
  <c r="N535" i="4" s="1"/>
  <c r="E603" i="4"/>
  <c r="G602" i="4"/>
  <c r="J601" i="4"/>
  <c r="F600" i="4"/>
  <c r="J599" i="4"/>
  <c r="F598" i="4"/>
  <c r="J597" i="4"/>
  <c r="N597" i="4" s="1"/>
  <c r="F596" i="4"/>
  <c r="J595" i="4"/>
  <c r="F594" i="4"/>
  <c r="J593" i="4"/>
  <c r="F592" i="4"/>
  <c r="J591" i="4"/>
  <c r="F590" i="4"/>
  <c r="J589" i="4"/>
  <c r="F588" i="4"/>
  <c r="J587" i="4"/>
  <c r="F586" i="4"/>
  <c r="J585" i="4"/>
  <c r="F584" i="4"/>
  <c r="J583" i="4"/>
  <c r="F582" i="4"/>
  <c r="J581" i="4"/>
  <c r="N581" i="4" s="1"/>
  <c r="F580" i="4"/>
  <c r="J579" i="4"/>
  <c r="F578" i="4"/>
  <c r="J577" i="4"/>
  <c r="F576" i="4"/>
  <c r="J575" i="4"/>
  <c r="F574" i="4"/>
  <c r="J573" i="4"/>
  <c r="F572" i="4"/>
  <c r="J571" i="4"/>
  <c r="F570" i="4"/>
  <c r="J569" i="4"/>
  <c r="F568" i="4"/>
  <c r="J567" i="4"/>
  <c r="F566" i="4"/>
  <c r="J565" i="4"/>
  <c r="N565" i="4" s="1"/>
  <c r="F564" i="4"/>
  <c r="J563" i="4"/>
  <c r="F562" i="4"/>
  <c r="J561" i="4"/>
  <c r="F560" i="4"/>
  <c r="J559" i="4"/>
  <c r="F558" i="4"/>
  <c r="J557" i="4"/>
  <c r="F556" i="4"/>
  <c r="J555" i="4"/>
  <c r="F554" i="4"/>
  <c r="J553" i="4"/>
  <c r="F552" i="4"/>
  <c r="J551" i="4"/>
  <c r="F550" i="4"/>
  <c r="J549" i="4"/>
  <c r="N549" i="4" s="1"/>
  <c r="F548" i="4"/>
  <c r="J547" i="4"/>
  <c r="F546" i="4"/>
  <c r="J545" i="4"/>
  <c r="F544" i="4"/>
  <c r="J543" i="4"/>
  <c r="F542" i="4"/>
  <c r="J541" i="4"/>
  <c r="F540" i="4"/>
  <c r="J539" i="4"/>
  <c r="F538" i="4"/>
  <c r="J537" i="4"/>
  <c r="F536" i="4"/>
  <c r="J535" i="4"/>
  <c r="F534" i="4"/>
  <c r="J533" i="4"/>
  <c r="F532" i="4"/>
  <c r="J531" i="4"/>
  <c r="F530" i="4"/>
  <c r="J529" i="4"/>
  <c r="F528" i="4"/>
  <c r="J527" i="4"/>
  <c r="F526" i="4"/>
  <c r="J525" i="4"/>
  <c r="F524" i="4"/>
  <c r="J523" i="4"/>
  <c r="F522" i="4"/>
  <c r="J521" i="4"/>
  <c r="F520" i="4"/>
  <c r="J519" i="4"/>
  <c r="F518" i="4"/>
  <c r="J517" i="4"/>
  <c r="N517" i="4" s="1"/>
  <c r="F516" i="4"/>
  <c r="J515" i="4"/>
  <c r="F514" i="4"/>
  <c r="J513" i="4"/>
  <c r="F512" i="4"/>
  <c r="J511" i="4"/>
  <c r="F510" i="4"/>
  <c r="J509" i="4"/>
  <c r="N509" i="4" s="1"/>
  <c r="F508" i="4"/>
  <c r="G600" i="4"/>
  <c r="K587" i="4"/>
  <c r="K581" i="4"/>
  <c r="E580" i="4"/>
  <c r="E577" i="4"/>
  <c r="M577" i="4" s="1"/>
  <c r="G574" i="4"/>
  <c r="K565" i="4"/>
  <c r="E564" i="4"/>
  <c r="E561" i="4"/>
  <c r="M561" i="4" s="1"/>
  <c r="G558" i="4"/>
  <c r="K549" i="4"/>
  <c r="E548" i="4"/>
  <c r="E545" i="4"/>
  <c r="M545" i="4" s="1"/>
  <c r="G542" i="4"/>
  <c r="E530" i="4"/>
  <c r="M530" i="4" s="1"/>
  <c r="L527" i="4"/>
  <c r="H526" i="4"/>
  <c r="E525" i="4"/>
  <c r="L519" i="4"/>
  <c r="L518" i="4"/>
  <c r="K517" i="4"/>
  <c r="G512" i="4"/>
  <c r="E511" i="4"/>
  <c r="M511" i="4" s="1"/>
  <c r="E510" i="4"/>
  <c r="F507" i="4"/>
  <c r="J506" i="4"/>
  <c r="F505" i="4"/>
  <c r="J504" i="4"/>
  <c r="F503" i="4"/>
  <c r="J502" i="4"/>
  <c r="F501" i="4"/>
  <c r="J500" i="4"/>
  <c r="F499" i="4"/>
  <c r="J498" i="4"/>
  <c r="F497" i="4"/>
  <c r="J496" i="4"/>
  <c r="F495" i="4"/>
  <c r="J494" i="4"/>
  <c r="F493" i="4"/>
  <c r="J492" i="4"/>
  <c r="F491" i="4"/>
  <c r="J490" i="4"/>
  <c r="F489" i="4"/>
  <c r="J488" i="4"/>
  <c r="F487" i="4"/>
  <c r="J486" i="4"/>
  <c r="F485" i="4"/>
  <c r="J484" i="4"/>
  <c r="F483" i="4"/>
  <c r="J482" i="4"/>
  <c r="F481" i="4"/>
  <c r="J480" i="4"/>
  <c r="F479" i="4"/>
  <c r="J478" i="4"/>
  <c r="N478" i="4" s="1"/>
  <c r="F477" i="4"/>
  <c r="J476" i="4"/>
  <c r="N476" i="4" s="1"/>
  <c r="F475" i="4"/>
  <c r="J474" i="4"/>
  <c r="F473" i="4"/>
  <c r="J472" i="4"/>
  <c r="F471" i="4"/>
  <c r="J470" i="4"/>
  <c r="N470" i="4" s="1"/>
  <c r="F469" i="4"/>
  <c r="J468" i="4"/>
  <c r="N468" i="4" s="1"/>
  <c r="F467" i="4"/>
  <c r="J466" i="4"/>
  <c r="F465" i="4"/>
  <c r="J464" i="4"/>
  <c r="F463" i="4"/>
  <c r="J462" i="4"/>
  <c r="F461" i="4"/>
  <c r="J460" i="4"/>
  <c r="N460" i="4" s="1"/>
  <c r="F459" i="4"/>
  <c r="J458" i="4"/>
  <c r="F457" i="4"/>
  <c r="J456" i="4"/>
  <c r="F455" i="4"/>
  <c r="J454" i="4"/>
  <c r="N454" i="4" s="1"/>
  <c r="F453" i="4"/>
  <c r="J452" i="4"/>
  <c r="N452" i="4" s="1"/>
  <c r="F451" i="4"/>
  <c r="J450" i="4"/>
  <c r="F449" i="4"/>
  <c r="J448" i="4"/>
  <c r="F447" i="4"/>
  <c r="J446" i="4"/>
  <c r="F445" i="4"/>
  <c r="J444" i="4"/>
  <c r="N444" i="4" s="1"/>
  <c r="F443" i="4"/>
  <c r="J442" i="4"/>
  <c r="F441" i="4"/>
  <c r="J440" i="4"/>
  <c r="F439" i="4"/>
  <c r="J438" i="4"/>
  <c r="N438" i="4" s="1"/>
  <c r="F437" i="4"/>
  <c r="J436" i="4"/>
  <c r="N436" i="4" s="1"/>
  <c r="F435" i="4"/>
  <c r="J434" i="4"/>
  <c r="F433" i="4"/>
  <c r="J432" i="4"/>
  <c r="F431" i="4"/>
  <c r="J430" i="4"/>
  <c r="N430" i="4" s="1"/>
  <c r="F429" i="4"/>
  <c r="J428" i="4"/>
  <c r="N428" i="4" s="1"/>
  <c r="F427" i="4"/>
  <c r="J426" i="4"/>
  <c r="F425" i="4"/>
  <c r="J424" i="4"/>
  <c r="F423" i="4"/>
  <c r="J422" i="4"/>
  <c r="F421" i="4"/>
  <c r="J420" i="4"/>
  <c r="F419" i="4"/>
  <c r="J418" i="4"/>
  <c r="F417" i="4"/>
  <c r="J416" i="4"/>
  <c r="F415" i="4"/>
  <c r="J414" i="4"/>
  <c r="N414" i="4" s="1"/>
  <c r="F413" i="4"/>
  <c r="J412" i="4"/>
  <c r="N412" i="4" s="1"/>
  <c r="F411" i="4"/>
  <c r="J410" i="4"/>
  <c r="F409" i="4"/>
  <c r="J408" i="4"/>
  <c r="F407" i="4"/>
  <c r="J406" i="4"/>
  <c r="F405" i="4"/>
  <c r="J404" i="4"/>
  <c r="N404" i="4" s="1"/>
  <c r="F403" i="4"/>
  <c r="J402" i="4"/>
  <c r="F401" i="4"/>
  <c r="J400" i="4"/>
  <c r="F399" i="4"/>
  <c r="J398" i="4"/>
  <c r="F397" i="4"/>
  <c r="J396" i="4"/>
  <c r="N396" i="4" s="1"/>
  <c r="F395" i="4"/>
  <c r="J394" i="4"/>
  <c r="F393" i="4"/>
  <c r="J392" i="4"/>
  <c r="F391" i="4"/>
  <c r="J390" i="4"/>
  <c r="N390" i="4" s="1"/>
  <c r="F389" i="4"/>
  <c r="J388" i="4"/>
  <c r="N388" i="4" s="1"/>
  <c r="F387" i="4"/>
  <c r="J386" i="4"/>
  <c r="F385" i="4"/>
  <c r="J384" i="4"/>
  <c r="F383" i="4"/>
  <c r="J382" i="4"/>
  <c r="F381" i="4"/>
  <c r="J380" i="4"/>
  <c r="N380" i="4" s="1"/>
  <c r="F379" i="4"/>
  <c r="J378" i="4"/>
  <c r="F377" i="4"/>
  <c r="J376" i="4"/>
  <c r="F375" i="4"/>
  <c r="J374" i="4"/>
  <c r="N374" i="4" s="1"/>
  <c r="F373" i="4"/>
  <c r="J372" i="4"/>
  <c r="N372" i="4" s="1"/>
  <c r="F371" i="4"/>
  <c r="J370" i="4"/>
  <c r="F369" i="4"/>
  <c r="J368" i="4"/>
  <c r="F367" i="4"/>
  <c r="J366" i="4"/>
  <c r="N366" i="4" s="1"/>
  <c r="F365" i="4"/>
  <c r="J364" i="4"/>
  <c r="N364" i="4" s="1"/>
  <c r="F363" i="4"/>
  <c r="J362" i="4"/>
  <c r="F361" i="4"/>
  <c r="J360" i="4"/>
  <c r="F359" i="4"/>
  <c r="J358" i="4"/>
  <c r="N358" i="4" s="1"/>
  <c r="F357" i="4"/>
  <c r="J356" i="4"/>
  <c r="N356" i="4" s="1"/>
  <c r="F355" i="4"/>
  <c r="J354" i="4"/>
  <c r="F353" i="4"/>
  <c r="J352" i="4"/>
  <c r="F351" i="4"/>
  <c r="J350" i="4"/>
  <c r="N350" i="4" s="1"/>
  <c r="F349" i="4"/>
  <c r="J348" i="4"/>
  <c r="N348" i="4" s="1"/>
  <c r="F347" i="4"/>
  <c r="J346" i="4"/>
  <c r="F345" i="4"/>
  <c r="J344" i="4"/>
  <c r="F343" i="4"/>
  <c r="J342" i="4"/>
  <c r="F341" i="4"/>
  <c r="J340" i="4"/>
  <c r="N340" i="4" s="1"/>
  <c r="F339" i="4"/>
  <c r="J338" i="4"/>
  <c r="F337" i="4"/>
  <c r="J336" i="4"/>
  <c r="F335" i="4"/>
  <c r="J334" i="4"/>
  <c r="N334" i="4" s="1"/>
  <c r="F333" i="4"/>
  <c r="J332" i="4"/>
  <c r="N332" i="4" s="1"/>
  <c r="F331" i="4"/>
  <c r="J330" i="4"/>
  <c r="F329" i="4"/>
  <c r="J328" i="4"/>
  <c r="F327" i="4"/>
  <c r="J326" i="4"/>
  <c r="F325" i="4"/>
  <c r="J324" i="4"/>
  <c r="N324" i="4" s="1"/>
  <c r="F323" i="4"/>
  <c r="J322" i="4"/>
  <c r="F321" i="4"/>
  <c r="F603" i="4"/>
  <c r="K593" i="4"/>
  <c r="G590" i="4"/>
  <c r="G584" i="4"/>
  <c r="K575" i="4"/>
  <c r="E574" i="4"/>
  <c r="M574" i="4" s="1"/>
  <c r="E571" i="4"/>
  <c r="M571" i="4" s="1"/>
  <c r="G568" i="4"/>
  <c r="K559" i="4"/>
  <c r="E558" i="4"/>
  <c r="M558" i="4" s="1"/>
  <c r="E555" i="4"/>
  <c r="M555" i="4" s="1"/>
  <c r="G552" i="4"/>
  <c r="K543" i="4"/>
  <c r="E542" i="4"/>
  <c r="M542" i="4" s="1"/>
  <c r="E539" i="4"/>
  <c r="M539" i="4" s="1"/>
  <c r="G536" i="4"/>
  <c r="L533" i="4"/>
  <c r="H532" i="4"/>
  <c r="E531" i="4"/>
  <c r="K527" i="4"/>
  <c r="G526" i="4"/>
  <c r="L521" i="4"/>
  <c r="L520" i="4"/>
  <c r="K519" i="4"/>
  <c r="G514" i="4"/>
  <c r="E513" i="4"/>
  <c r="M513" i="4" s="1"/>
  <c r="E512" i="4"/>
  <c r="E507" i="4"/>
  <c r="E505" i="4"/>
  <c r="E503" i="4"/>
  <c r="E501" i="4"/>
  <c r="E499" i="4"/>
  <c r="E497" i="4"/>
  <c r="E495" i="4"/>
  <c r="E493" i="4"/>
  <c r="E491" i="4"/>
  <c r="E489" i="4"/>
  <c r="E487" i="4"/>
  <c r="E485" i="4"/>
  <c r="E483" i="4"/>
  <c r="E481" i="4"/>
  <c r="E479" i="4"/>
  <c r="E477" i="4"/>
  <c r="E475" i="4"/>
  <c r="E473" i="4"/>
  <c r="E471" i="4"/>
  <c r="E469" i="4"/>
  <c r="E467" i="4"/>
  <c r="E465" i="4"/>
  <c r="E463" i="4"/>
  <c r="E461" i="4"/>
  <c r="E459" i="4"/>
  <c r="E457" i="4"/>
  <c r="E455" i="4"/>
  <c r="E453" i="4"/>
  <c r="E451" i="4"/>
  <c r="E449" i="4"/>
  <c r="E447" i="4"/>
  <c r="E445" i="4"/>
  <c r="E443" i="4"/>
  <c r="E441" i="4"/>
  <c r="E439" i="4"/>
  <c r="E437" i="4"/>
  <c r="E435" i="4"/>
  <c r="E433" i="4"/>
  <c r="E431" i="4"/>
  <c r="E429" i="4"/>
  <c r="E427" i="4"/>
  <c r="E425" i="4"/>
  <c r="E423" i="4"/>
  <c r="E421" i="4"/>
  <c r="E419" i="4"/>
  <c r="E417" i="4"/>
  <c r="E415" i="4"/>
  <c r="E413" i="4"/>
  <c r="E411" i="4"/>
  <c r="E409" i="4"/>
  <c r="E407" i="4"/>
  <c r="E405" i="4"/>
  <c r="E403" i="4"/>
  <c r="E401" i="4"/>
  <c r="E399" i="4"/>
  <c r="E397" i="4"/>
  <c r="E395" i="4"/>
  <c r="E393" i="4"/>
  <c r="E391" i="4"/>
  <c r="E389" i="4"/>
  <c r="E387" i="4"/>
  <c r="E385" i="4"/>
  <c r="E383" i="4"/>
  <c r="E381" i="4"/>
  <c r="E379" i="4"/>
  <c r="E377" i="4"/>
  <c r="E375" i="4"/>
  <c r="E373" i="4"/>
  <c r="E371" i="4"/>
  <c r="E369" i="4"/>
  <c r="E367" i="4"/>
  <c r="E365" i="4"/>
  <c r="E363" i="4"/>
  <c r="E361" i="4"/>
  <c r="E359" i="4"/>
  <c r="M359" i="4" s="1"/>
  <c r="E357" i="4"/>
  <c r="E355" i="4"/>
  <c r="E353" i="4"/>
  <c r="E351" i="4"/>
  <c r="E349" i="4"/>
  <c r="E347" i="4"/>
  <c r="E345" i="4"/>
  <c r="E343" i="4"/>
  <c r="E341" i="4"/>
  <c r="E339" i="4"/>
  <c r="E337" i="4"/>
  <c r="E335" i="4"/>
  <c r="E333" i="4"/>
  <c r="E331" i="4"/>
  <c r="E329" i="4"/>
  <c r="E327" i="4"/>
  <c r="E325" i="4"/>
  <c r="E323" i="4"/>
  <c r="E321" i="4"/>
  <c r="K599" i="4"/>
  <c r="G596" i="4"/>
  <c r="E584" i="4"/>
  <c r="M584" i="4" s="1"/>
  <c r="E581" i="4"/>
  <c r="M581" i="4" s="1"/>
  <c r="G578" i="4"/>
  <c r="K569" i="4"/>
  <c r="E568" i="4"/>
  <c r="M568" i="4" s="1"/>
  <c r="E565" i="4"/>
  <c r="M565" i="4" s="1"/>
  <c r="G562" i="4"/>
  <c r="K553" i="4"/>
  <c r="E552" i="4"/>
  <c r="M552" i="4" s="1"/>
  <c r="E549" i="4"/>
  <c r="M549" i="4" s="1"/>
  <c r="G546" i="4"/>
  <c r="K537" i="4"/>
  <c r="E536" i="4"/>
  <c r="M536" i="4" s="1"/>
  <c r="K533" i="4"/>
  <c r="G532" i="4"/>
  <c r="E526" i="4"/>
  <c r="M526" i="4" s="1"/>
  <c r="L523" i="4"/>
  <c r="L522" i="4"/>
  <c r="N522" i="4" s="1"/>
  <c r="K521" i="4"/>
  <c r="G516" i="4"/>
  <c r="E515" i="4"/>
  <c r="E514" i="4"/>
  <c r="L507" i="4"/>
  <c r="H506" i="4"/>
  <c r="L505" i="4"/>
  <c r="N505" i="4" s="1"/>
  <c r="H504" i="4"/>
  <c r="L503" i="4"/>
  <c r="H502" i="4"/>
  <c r="L501" i="4"/>
  <c r="H500" i="4"/>
  <c r="L499" i="4"/>
  <c r="H498" i="4"/>
  <c r="L497" i="4"/>
  <c r="N497" i="4" s="1"/>
  <c r="H496" i="4"/>
  <c r="L495" i="4"/>
  <c r="H494" i="4"/>
  <c r="L493" i="4"/>
  <c r="H492" i="4"/>
  <c r="L491" i="4"/>
  <c r="H490" i="4"/>
  <c r="L489" i="4"/>
  <c r="N489" i="4" s="1"/>
  <c r="H488" i="4"/>
  <c r="L487" i="4"/>
  <c r="H486" i="4"/>
  <c r="L485" i="4"/>
  <c r="H484" i="4"/>
  <c r="L483" i="4"/>
  <c r="H482" i="4"/>
  <c r="L481" i="4"/>
  <c r="H480" i="4"/>
  <c r="L479" i="4"/>
  <c r="H478" i="4"/>
  <c r="L477" i="4"/>
  <c r="H476" i="4"/>
  <c r="L475" i="4"/>
  <c r="H474" i="4"/>
  <c r="L473" i="4"/>
  <c r="H472" i="4"/>
  <c r="L471" i="4"/>
  <c r="H470" i="4"/>
  <c r="L469" i="4"/>
  <c r="H468" i="4"/>
  <c r="L467" i="4"/>
  <c r="H466" i="4"/>
  <c r="L465" i="4"/>
  <c r="N465" i="4" s="1"/>
  <c r="H464" i="4"/>
  <c r="L463" i="4"/>
  <c r="H462" i="4"/>
  <c r="L461" i="4"/>
  <c r="H460" i="4"/>
  <c r="L459" i="4"/>
  <c r="H458" i="4"/>
  <c r="L457" i="4"/>
  <c r="N457" i="4" s="1"/>
  <c r="H456" i="4"/>
  <c r="L455" i="4"/>
  <c r="H454" i="4"/>
  <c r="L453" i="4"/>
  <c r="H452" i="4"/>
  <c r="L451" i="4"/>
  <c r="H450" i="4"/>
  <c r="L449" i="4"/>
  <c r="N449" i="4" s="1"/>
  <c r="H448" i="4"/>
  <c r="L447" i="4"/>
  <c r="H446" i="4"/>
  <c r="L445" i="4"/>
  <c r="H444" i="4"/>
  <c r="L443" i="4"/>
  <c r="H442" i="4"/>
  <c r="L441" i="4"/>
  <c r="N441" i="4" s="1"/>
  <c r="H440" i="4"/>
  <c r="L439" i="4"/>
  <c r="H438" i="4"/>
  <c r="L437" i="4"/>
  <c r="H436" i="4"/>
  <c r="L435" i="4"/>
  <c r="H434" i="4"/>
  <c r="L433" i="4"/>
  <c r="N433" i="4" s="1"/>
  <c r="H432" i="4"/>
  <c r="L431" i="4"/>
  <c r="H430" i="4"/>
  <c r="L429" i="4"/>
  <c r="H428" i="4"/>
  <c r="L427" i="4"/>
  <c r="H426" i="4"/>
  <c r="L425" i="4"/>
  <c r="N425" i="4" s="1"/>
  <c r="H424" i="4"/>
  <c r="L423" i="4"/>
  <c r="H422" i="4"/>
  <c r="L421" i="4"/>
  <c r="H420" i="4"/>
  <c r="L419" i="4"/>
  <c r="H418" i="4"/>
  <c r="L417" i="4"/>
  <c r="H416" i="4"/>
  <c r="L415" i="4"/>
  <c r="H414" i="4"/>
  <c r="L413" i="4"/>
  <c r="H412" i="4"/>
  <c r="L411" i="4"/>
  <c r="H410" i="4"/>
  <c r="L409" i="4"/>
  <c r="N409" i="4" s="1"/>
  <c r="H408" i="4"/>
  <c r="L407" i="4"/>
  <c r="H406" i="4"/>
  <c r="L405" i="4"/>
  <c r="H404" i="4"/>
  <c r="L403" i="4"/>
  <c r="H402" i="4"/>
  <c r="L401" i="4"/>
  <c r="N401" i="4" s="1"/>
  <c r="H400" i="4"/>
  <c r="L399" i="4"/>
  <c r="H398" i="4"/>
  <c r="L397" i="4"/>
  <c r="H396" i="4"/>
  <c r="L395" i="4"/>
  <c r="H394" i="4"/>
  <c r="L393" i="4"/>
  <c r="H392" i="4"/>
  <c r="L391" i="4"/>
  <c r="H390" i="4"/>
  <c r="L389" i="4"/>
  <c r="H388" i="4"/>
  <c r="L387" i="4"/>
  <c r="H386" i="4"/>
  <c r="L385" i="4"/>
  <c r="N385" i="4" s="1"/>
  <c r="H384" i="4"/>
  <c r="L383" i="4"/>
  <c r="H382" i="4"/>
  <c r="L381" i="4"/>
  <c r="H380" i="4"/>
  <c r="L379" i="4"/>
  <c r="H378" i="4"/>
  <c r="L377" i="4"/>
  <c r="N377" i="4" s="1"/>
  <c r="H376" i="4"/>
  <c r="L375" i="4"/>
  <c r="H374" i="4"/>
  <c r="L373" i="4"/>
  <c r="H602" i="4"/>
  <c r="K589" i="4"/>
  <c r="G586" i="4"/>
  <c r="K579" i="4"/>
  <c r="E578" i="4"/>
  <c r="M578" i="4" s="1"/>
  <c r="E575" i="4"/>
  <c r="M575" i="4" s="1"/>
  <c r="G572" i="4"/>
  <c r="K563" i="4"/>
  <c r="E562" i="4"/>
  <c r="E559" i="4"/>
  <c r="M559" i="4" s="1"/>
  <c r="G556" i="4"/>
  <c r="K547" i="4"/>
  <c r="E546" i="4"/>
  <c r="M546" i="4" s="1"/>
  <c r="E543" i="4"/>
  <c r="M543" i="4" s="1"/>
  <c r="G540" i="4"/>
  <c r="E532" i="4"/>
  <c r="L529" i="4"/>
  <c r="H528" i="4"/>
  <c r="E527" i="4"/>
  <c r="M527" i="4" s="1"/>
  <c r="K523" i="4"/>
  <c r="H520" i="4"/>
  <c r="H519" i="4"/>
  <c r="G518" i="4"/>
  <c r="E517" i="4"/>
  <c r="E516" i="4"/>
  <c r="L509" i="4"/>
  <c r="L508" i="4"/>
  <c r="K507" i="4"/>
  <c r="G506" i="4"/>
  <c r="K505" i="4"/>
  <c r="G504" i="4"/>
  <c r="K503" i="4"/>
  <c r="G502" i="4"/>
  <c r="K501" i="4"/>
  <c r="G500" i="4"/>
  <c r="K499" i="4"/>
  <c r="G498" i="4"/>
  <c r="K497" i="4"/>
  <c r="G496" i="4"/>
  <c r="K495" i="4"/>
  <c r="G494" i="4"/>
  <c r="K493" i="4"/>
  <c r="G492" i="4"/>
  <c r="K491" i="4"/>
  <c r="G490" i="4"/>
  <c r="K489" i="4"/>
  <c r="G488" i="4"/>
  <c r="K487" i="4"/>
  <c r="G486" i="4"/>
  <c r="K485" i="4"/>
  <c r="G484" i="4"/>
  <c r="K483" i="4"/>
  <c r="G482" i="4"/>
  <c r="K481" i="4"/>
  <c r="G480" i="4"/>
  <c r="K479" i="4"/>
  <c r="G478" i="4"/>
  <c r="K477" i="4"/>
  <c r="G476" i="4"/>
  <c r="K475" i="4"/>
  <c r="G474" i="4"/>
  <c r="K473" i="4"/>
  <c r="G472" i="4"/>
  <c r="K471" i="4"/>
  <c r="G470" i="4"/>
  <c r="K469" i="4"/>
  <c r="G468" i="4"/>
  <c r="K467" i="4"/>
  <c r="G466" i="4"/>
  <c r="K465" i="4"/>
  <c r="G464" i="4"/>
  <c r="K463" i="4"/>
  <c r="G462" i="4"/>
  <c r="K461" i="4"/>
  <c r="G460" i="4"/>
  <c r="K459" i="4"/>
  <c r="G458" i="4"/>
  <c r="K457" i="4"/>
  <c r="G456" i="4"/>
  <c r="K455" i="4"/>
  <c r="G454" i="4"/>
  <c r="K453" i="4"/>
  <c r="G452" i="4"/>
  <c r="K451" i="4"/>
  <c r="G450" i="4"/>
  <c r="K449" i="4"/>
  <c r="G448" i="4"/>
  <c r="K447" i="4"/>
  <c r="G446" i="4"/>
  <c r="K445" i="4"/>
  <c r="G444" i="4"/>
  <c r="K443" i="4"/>
  <c r="G442" i="4"/>
  <c r="K441" i="4"/>
  <c r="G440" i="4"/>
  <c r="K439" i="4"/>
  <c r="G438" i="4"/>
  <c r="K437" i="4"/>
  <c r="G436" i="4"/>
  <c r="K435" i="4"/>
  <c r="G434" i="4"/>
  <c r="K433" i="4"/>
  <c r="G432" i="4"/>
  <c r="K431" i="4"/>
  <c r="G430" i="4"/>
  <c r="K429" i="4"/>
  <c r="G428" i="4"/>
  <c r="K427" i="4"/>
  <c r="G426" i="4"/>
  <c r="K425" i="4"/>
  <c r="G424" i="4"/>
  <c r="K423" i="4"/>
  <c r="G422" i="4"/>
  <c r="K421" i="4"/>
  <c r="G420" i="4"/>
  <c r="K419" i="4"/>
  <c r="G418" i="4"/>
  <c r="K417" i="4"/>
  <c r="G416" i="4"/>
  <c r="K415" i="4"/>
  <c r="G414" i="4"/>
  <c r="K413" i="4"/>
  <c r="G412" i="4"/>
  <c r="K411" i="4"/>
  <c r="G410" i="4"/>
  <c r="K409" i="4"/>
  <c r="G408" i="4"/>
  <c r="K407" i="4"/>
  <c r="G406" i="4"/>
  <c r="K405" i="4"/>
  <c r="G404" i="4"/>
  <c r="K403" i="4"/>
  <c r="G402" i="4"/>
  <c r="K401" i="4"/>
  <c r="G400" i="4"/>
  <c r="K399" i="4"/>
  <c r="G398" i="4"/>
  <c r="K397" i="4"/>
  <c r="G396" i="4"/>
  <c r="K395" i="4"/>
  <c r="G394" i="4"/>
  <c r="K393" i="4"/>
  <c r="G392" i="4"/>
  <c r="K391" i="4"/>
  <c r="G390" i="4"/>
  <c r="K389" i="4"/>
  <c r="G388" i="4"/>
  <c r="K387" i="4"/>
  <c r="G386" i="4"/>
  <c r="K385" i="4"/>
  <c r="G384" i="4"/>
  <c r="K383" i="4"/>
  <c r="G382" i="4"/>
  <c r="K381" i="4"/>
  <c r="G380" i="4"/>
  <c r="K379" i="4"/>
  <c r="G378" i="4"/>
  <c r="K377" i="4"/>
  <c r="G376" i="4"/>
  <c r="K375" i="4"/>
  <c r="G374" i="4"/>
  <c r="K373" i="4"/>
  <c r="G372" i="4"/>
  <c r="K595" i="4"/>
  <c r="G592" i="4"/>
  <c r="G582" i="4"/>
  <c r="K573" i="4"/>
  <c r="E572" i="4"/>
  <c r="M572" i="4" s="1"/>
  <c r="E569" i="4"/>
  <c r="M569" i="4" s="1"/>
  <c r="G566" i="4"/>
  <c r="K557" i="4"/>
  <c r="E556" i="4"/>
  <c r="M556" i="4" s="1"/>
  <c r="E553" i="4"/>
  <c r="M553" i="4" s="1"/>
  <c r="G550" i="4"/>
  <c r="K541" i="4"/>
  <c r="E540" i="4"/>
  <c r="M540" i="4" s="1"/>
  <c r="E537" i="4"/>
  <c r="M537" i="4" s="1"/>
  <c r="H534" i="4"/>
  <c r="E533" i="4"/>
  <c r="K529" i="4"/>
  <c r="G528" i="4"/>
  <c r="H521" i="4"/>
  <c r="G520" i="4"/>
  <c r="E519" i="4"/>
  <c r="M519" i="4" s="1"/>
  <c r="E518" i="4"/>
  <c r="M518" i="4" s="1"/>
  <c r="L511" i="4"/>
  <c r="L510" i="4"/>
  <c r="K509" i="4"/>
  <c r="J507" i="4"/>
  <c r="N507" i="4" s="1"/>
  <c r="F506" i="4"/>
  <c r="J505" i="4"/>
  <c r="F504" i="4"/>
  <c r="J503" i="4"/>
  <c r="F502" i="4"/>
  <c r="J501" i="4"/>
  <c r="N501" i="4" s="1"/>
  <c r="F500" i="4"/>
  <c r="J499" i="4"/>
  <c r="N499" i="4" s="1"/>
  <c r="F498" i="4"/>
  <c r="J497" i="4"/>
  <c r="F496" i="4"/>
  <c r="J495" i="4"/>
  <c r="F494" i="4"/>
  <c r="J493" i="4"/>
  <c r="N493" i="4" s="1"/>
  <c r="F492" i="4"/>
  <c r="J491" i="4"/>
  <c r="N491" i="4" s="1"/>
  <c r="F490" i="4"/>
  <c r="J489" i="4"/>
  <c r="F488" i="4"/>
  <c r="J487" i="4"/>
  <c r="F486" i="4"/>
  <c r="J485" i="4"/>
  <c r="N485" i="4" s="1"/>
  <c r="F484" i="4"/>
  <c r="J483" i="4"/>
  <c r="N483" i="4" s="1"/>
  <c r="F482" i="4"/>
  <c r="J481" i="4"/>
  <c r="F480" i="4"/>
  <c r="J479" i="4"/>
  <c r="F478" i="4"/>
  <c r="J477" i="4"/>
  <c r="N477" i="4" s="1"/>
  <c r="F476" i="4"/>
  <c r="J475" i="4"/>
  <c r="N475" i="4" s="1"/>
  <c r="F474" i="4"/>
  <c r="J473" i="4"/>
  <c r="F472" i="4"/>
  <c r="J471" i="4"/>
  <c r="F470" i="4"/>
  <c r="J469" i="4"/>
  <c r="F468" i="4"/>
  <c r="J467" i="4"/>
  <c r="N467" i="4" s="1"/>
  <c r="F466" i="4"/>
  <c r="J465" i="4"/>
  <c r="F464" i="4"/>
  <c r="J463" i="4"/>
  <c r="F462" i="4"/>
  <c r="J461" i="4"/>
  <c r="F460" i="4"/>
  <c r="J459" i="4"/>
  <c r="N459" i="4" s="1"/>
  <c r="F458" i="4"/>
  <c r="J457" i="4"/>
  <c r="F456" i="4"/>
  <c r="J455" i="4"/>
  <c r="F454" i="4"/>
  <c r="J453" i="4"/>
  <c r="N453" i="4" s="1"/>
  <c r="F452" i="4"/>
  <c r="J451" i="4"/>
  <c r="N451" i="4" s="1"/>
  <c r="F450" i="4"/>
  <c r="J449" i="4"/>
  <c r="F448" i="4"/>
  <c r="J447" i="4"/>
  <c r="F446" i="4"/>
  <c r="J445" i="4"/>
  <c r="F444" i="4"/>
  <c r="J443" i="4"/>
  <c r="N443" i="4" s="1"/>
  <c r="F442" i="4"/>
  <c r="J441" i="4"/>
  <c r="F440" i="4"/>
  <c r="J439" i="4"/>
  <c r="F438" i="4"/>
  <c r="J437" i="4"/>
  <c r="F436" i="4"/>
  <c r="J435" i="4"/>
  <c r="N435" i="4" s="1"/>
  <c r="F434" i="4"/>
  <c r="J433" i="4"/>
  <c r="F432" i="4"/>
  <c r="J431" i="4"/>
  <c r="F430" i="4"/>
  <c r="J429" i="4"/>
  <c r="N429" i="4" s="1"/>
  <c r="F428" i="4"/>
  <c r="J427" i="4"/>
  <c r="N427" i="4" s="1"/>
  <c r="F426" i="4"/>
  <c r="J425" i="4"/>
  <c r="F424" i="4"/>
  <c r="J423" i="4"/>
  <c r="F422" i="4"/>
  <c r="J421" i="4"/>
  <c r="F420" i="4"/>
  <c r="J419" i="4"/>
  <c r="N419" i="4" s="1"/>
  <c r="F418" i="4"/>
  <c r="J417" i="4"/>
  <c r="F416" i="4"/>
  <c r="J415" i="4"/>
  <c r="F414" i="4"/>
  <c r="J413" i="4"/>
  <c r="N413" i="4" s="1"/>
  <c r="F412" i="4"/>
  <c r="J411" i="4"/>
  <c r="N411" i="4" s="1"/>
  <c r="F410" i="4"/>
  <c r="J409" i="4"/>
  <c r="F408" i="4"/>
  <c r="J407" i="4"/>
  <c r="F406" i="4"/>
  <c r="J405" i="4"/>
  <c r="N405" i="4" s="1"/>
  <c r="F404" i="4"/>
  <c r="J403" i="4"/>
  <c r="N403" i="4" s="1"/>
  <c r="F402" i="4"/>
  <c r="J401" i="4"/>
  <c r="F400" i="4"/>
  <c r="J399" i="4"/>
  <c r="F398" i="4"/>
  <c r="J397" i="4"/>
  <c r="N397" i="4" s="1"/>
  <c r="F396" i="4"/>
  <c r="J395" i="4"/>
  <c r="N395" i="4" s="1"/>
  <c r="F394" i="4"/>
  <c r="J393" i="4"/>
  <c r="F392" i="4"/>
  <c r="J391" i="4"/>
  <c r="F390" i="4"/>
  <c r="J389" i="4"/>
  <c r="N389" i="4" s="1"/>
  <c r="F388" i="4"/>
  <c r="J387" i="4"/>
  <c r="N387" i="4" s="1"/>
  <c r="F386" i="4"/>
  <c r="J385" i="4"/>
  <c r="F384" i="4"/>
  <c r="J383" i="4"/>
  <c r="F382" i="4"/>
  <c r="J381" i="4"/>
  <c r="N381" i="4" s="1"/>
  <c r="F380" i="4"/>
  <c r="J379" i="4"/>
  <c r="N379" i="4" s="1"/>
  <c r="F378" i="4"/>
  <c r="J377" i="4"/>
  <c r="F376" i="4"/>
  <c r="J375" i="4"/>
  <c r="F374" i="4"/>
  <c r="J373" i="4"/>
  <c r="F372" i="4"/>
  <c r="J371" i="4"/>
  <c r="N371" i="4" s="1"/>
  <c r="F370" i="4"/>
  <c r="J369" i="4"/>
  <c r="F368" i="4"/>
  <c r="J367" i="4"/>
  <c r="F366" i="4"/>
  <c r="J365" i="4"/>
  <c r="N365" i="4" s="1"/>
  <c r="F364" i="4"/>
  <c r="J363" i="4"/>
  <c r="N363" i="4" s="1"/>
  <c r="F362" i="4"/>
  <c r="J361" i="4"/>
  <c r="F360" i="4"/>
  <c r="J359" i="4"/>
  <c r="F358" i="4"/>
  <c r="J357" i="4"/>
  <c r="N357" i="4" s="1"/>
  <c r="F356" i="4"/>
  <c r="J355" i="4"/>
  <c r="N355" i="4" s="1"/>
  <c r="F354" i="4"/>
  <c r="J353" i="4"/>
  <c r="F352" i="4"/>
  <c r="J351" i="4"/>
  <c r="F350" i="4"/>
  <c r="J349" i="4"/>
  <c r="F348" i="4"/>
  <c r="J347" i="4"/>
  <c r="N347" i="4" s="1"/>
  <c r="F346" i="4"/>
  <c r="J345" i="4"/>
  <c r="F344" i="4"/>
  <c r="J343" i="4"/>
  <c r="F342" i="4"/>
  <c r="J341" i="4"/>
  <c r="N341" i="4" s="1"/>
  <c r="F340" i="4"/>
  <c r="J339" i="4"/>
  <c r="N339" i="4" s="1"/>
  <c r="F338" i="4"/>
  <c r="J337" i="4"/>
  <c r="F336" i="4"/>
  <c r="J335" i="4"/>
  <c r="F334" i="4"/>
  <c r="J333" i="4"/>
  <c r="F332" i="4"/>
  <c r="J331" i="4"/>
  <c r="N331" i="4" s="1"/>
  <c r="F330" i="4"/>
  <c r="J329" i="4"/>
  <c r="F328" i="4"/>
  <c r="J327" i="4"/>
  <c r="F326" i="4"/>
  <c r="J325" i="4"/>
  <c r="N325" i="4" s="1"/>
  <c r="F324" i="4"/>
  <c r="J323" i="4"/>
  <c r="N323" i="4" s="1"/>
  <c r="F322" i="4"/>
  <c r="J321" i="4"/>
  <c r="F320" i="4"/>
  <c r="K601" i="4"/>
  <c r="G598" i="4"/>
  <c r="K585" i="4"/>
  <c r="K583" i="4"/>
  <c r="E582" i="4"/>
  <c r="M582" i="4" s="1"/>
  <c r="E579" i="4"/>
  <c r="M579" i="4" s="1"/>
  <c r="G576" i="4"/>
  <c r="K567" i="4"/>
  <c r="E566" i="4"/>
  <c r="M566" i="4" s="1"/>
  <c r="E563" i="4"/>
  <c r="M563" i="4" s="1"/>
  <c r="G560" i="4"/>
  <c r="K551" i="4"/>
  <c r="E550" i="4"/>
  <c r="M550" i="4" s="1"/>
  <c r="E547" i="4"/>
  <c r="M547" i="4" s="1"/>
  <c r="G544" i="4"/>
  <c r="K535" i="4"/>
  <c r="G534" i="4"/>
  <c r="E528" i="4"/>
  <c r="M528" i="4" s="1"/>
  <c r="L525" i="4"/>
  <c r="H524" i="4"/>
  <c r="G522" i="4"/>
  <c r="E521" i="4"/>
  <c r="E520" i="4"/>
  <c r="L513" i="4"/>
  <c r="L512" i="4"/>
  <c r="K511" i="4"/>
  <c r="H508" i="4"/>
  <c r="E506" i="4"/>
  <c r="M506" i="4" s="1"/>
  <c r="E504" i="4"/>
  <c r="M504" i="4" s="1"/>
  <c r="E502" i="4"/>
  <c r="M502" i="4" s="1"/>
  <c r="E500" i="4"/>
  <c r="M500" i="4" s="1"/>
  <c r="E498" i="4"/>
  <c r="M498" i="4" s="1"/>
  <c r="E496" i="4"/>
  <c r="M496" i="4" s="1"/>
  <c r="E494" i="4"/>
  <c r="M494" i="4" s="1"/>
  <c r="E492" i="4"/>
  <c r="M492" i="4" s="1"/>
  <c r="E490" i="4"/>
  <c r="M490" i="4" s="1"/>
  <c r="E488" i="4"/>
  <c r="M488" i="4" s="1"/>
  <c r="E486" i="4"/>
  <c r="M486" i="4" s="1"/>
  <c r="E484" i="4"/>
  <c r="M484" i="4" s="1"/>
  <c r="E482" i="4"/>
  <c r="M482" i="4" s="1"/>
  <c r="E480" i="4"/>
  <c r="E478" i="4"/>
  <c r="E476" i="4"/>
  <c r="E474" i="4"/>
  <c r="E472" i="4"/>
  <c r="E470" i="4"/>
  <c r="E468" i="4"/>
  <c r="E466" i="4"/>
  <c r="E464" i="4"/>
  <c r="E462" i="4"/>
  <c r="E460" i="4"/>
  <c r="E458" i="4"/>
  <c r="E456" i="4"/>
  <c r="E454" i="4"/>
  <c r="E452" i="4"/>
  <c r="E450" i="4"/>
  <c r="E448" i="4"/>
  <c r="E446" i="4"/>
  <c r="E444" i="4"/>
  <c r="E442" i="4"/>
  <c r="E440" i="4"/>
  <c r="E438" i="4"/>
  <c r="E436" i="4"/>
  <c r="E434" i="4"/>
  <c r="E432" i="4"/>
  <c r="E430" i="4"/>
  <c r="E428" i="4"/>
  <c r="E426" i="4"/>
  <c r="E424" i="4"/>
  <c r="E422" i="4"/>
  <c r="E420" i="4"/>
  <c r="E418" i="4"/>
  <c r="E416" i="4"/>
  <c r="E414" i="4"/>
  <c r="E412" i="4"/>
  <c r="E410" i="4"/>
  <c r="E408" i="4"/>
  <c r="E406" i="4"/>
  <c r="E404" i="4"/>
  <c r="E402" i="4"/>
  <c r="E400" i="4"/>
  <c r="E398" i="4"/>
  <c r="E396" i="4"/>
  <c r="E394" i="4"/>
  <c r="E392" i="4"/>
  <c r="E390" i="4"/>
  <c r="E388" i="4"/>
  <c r="E386" i="4"/>
  <c r="E384" i="4"/>
  <c r="E382" i="4"/>
  <c r="E380" i="4"/>
  <c r="E378" i="4"/>
  <c r="E376" i="4"/>
  <c r="E374" i="4"/>
  <c r="E372" i="4"/>
  <c r="E370" i="4"/>
  <c r="E368" i="4"/>
  <c r="E366" i="4"/>
  <c r="E364" i="4"/>
  <c r="E362" i="4"/>
  <c r="E360" i="4"/>
  <c r="E358" i="4"/>
  <c r="E356" i="4"/>
  <c r="E354" i="4"/>
  <c r="E352" i="4"/>
  <c r="E350" i="4"/>
  <c r="E348" i="4"/>
  <c r="E346" i="4"/>
  <c r="E344" i="4"/>
  <c r="E342" i="4"/>
  <c r="E340" i="4"/>
  <c r="E338" i="4"/>
  <c r="E336" i="4"/>
  <c r="E334" i="4"/>
  <c r="E332" i="4"/>
  <c r="E330" i="4"/>
  <c r="E328" i="4"/>
  <c r="E326" i="4"/>
  <c r="E324" i="4"/>
  <c r="E322" i="4"/>
  <c r="K591" i="4"/>
  <c r="G588" i="4"/>
  <c r="K577" i="4"/>
  <c r="E576" i="4"/>
  <c r="M576" i="4" s="1"/>
  <c r="E573" i="4"/>
  <c r="M573" i="4" s="1"/>
  <c r="G570" i="4"/>
  <c r="K561" i="4"/>
  <c r="E560" i="4"/>
  <c r="E557" i="4"/>
  <c r="M557" i="4" s="1"/>
  <c r="G554" i="4"/>
  <c r="K545" i="4"/>
  <c r="E544" i="4"/>
  <c r="M544" i="4" s="1"/>
  <c r="E541" i="4"/>
  <c r="M541" i="4" s="1"/>
  <c r="G538" i="4"/>
  <c r="E534" i="4"/>
  <c r="M534" i="4" s="1"/>
  <c r="L531" i="4"/>
  <c r="H530" i="4"/>
  <c r="E529" i="4"/>
  <c r="K525" i="4"/>
  <c r="G524" i="4"/>
  <c r="E523" i="4"/>
  <c r="E522" i="4"/>
  <c r="L515" i="4"/>
  <c r="L514" i="4"/>
  <c r="K513" i="4"/>
  <c r="G508" i="4"/>
  <c r="L506" i="4"/>
  <c r="L504" i="4"/>
  <c r="L502" i="4"/>
  <c r="L500" i="4"/>
  <c r="L498" i="4"/>
  <c r="L496" i="4"/>
  <c r="L494" i="4"/>
  <c r="L492" i="4"/>
  <c r="L490" i="4"/>
  <c r="L488" i="4"/>
  <c r="L486" i="4"/>
  <c r="L484" i="4"/>
  <c r="L482" i="4"/>
  <c r="L480" i="4"/>
  <c r="L478" i="4"/>
  <c r="L476" i="4"/>
  <c r="L474" i="4"/>
  <c r="L472" i="4"/>
  <c r="N472" i="4" s="1"/>
  <c r="L470" i="4"/>
  <c r="L468" i="4"/>
  <c r="L466" i="4"/>
  <c r="L464" i="4"/>
  <c r="L462" i="4"/>
  <c r="L460" i="4"/>
  <c r="L458" i="4"/>
  <c r="N458" i="4" s="1"/>
  <c r="L456" i="4"/>
  <c r="N456" i="4" s="1"/>
  <c r="L454" i="4"/>
  <c r="L452" i="4"/>
  <c r="L450" i="4"/>
  <c r="L448" i="4"/>
  <c r="L446" i="4"/>
  <c r="L444" i="4"/>
  <c r="L442" i="4"/>
  <c r="L440" i="4"/>
  <c r="N440" i="4" s="1"/>
  <c r="L438" i="4"/>
  <c r="L436" i="4"/>
  <c r="L434" i="4"/>
  <c r="L432" i="4"/>
  <c r="L430" i="4"/>
  <c r="L428" i="4"/>
  <c r="L426" i="4"/>
  <c r="N426" i="4" s="1"/>
  <c r="L424" i="4"/>
  <c r="L422" i="4"/>
  <c r="L420" i="4"/>
  <c r="L418" i="4"/>
  <c r="L416" i="4"/>
  <c r="L414" i="4"/>
  <c r="L412" i="4"/>
  <c r="L410" i="4"/>
  <c r="N410" i="4" s="1"/>
  <c r="L408" i="4"/>
  <c r="N408" i="4" s="1"/>
  <c r="L406" i="4"/>
  <c r="N406" i="4" s="1"/>
  <c r="L404" i="4"/>
  <c r="L402" i="4"/>
  <c r="L400" i="4"/>
  <c r="L398" i="4"/>
  <c r="L396" i="4"/>
  <c r="L394" i="4"/>
  <c r="N394" i="4" s="1"/>
  <c r="L392" i="4"/>
  <c r="N392" i="4" s="1"/>
  <c r="L390" i="4"/>
  <c r="L388" i="4"/>
  <c r="L386" i="4"/>
  <c r="L384" i="4"/>
  <c r="L382" i="4"/>
  <c r="L380" i="4"/>
  <c r="L378" i="4"/>
  <c r="L376" i="4"/>
  <c r="N376" i="4" s="1"/>
  <c r="L374" i="4"/>
  <c r="L372" i="4"/>
  <c r="L370" i="4"/>
  <c r="L368" i="4"/>
  <c r="L366" i="4"/>
  <c r="L364" i="4"/>
  <c r="L362" i="4"/>
  <c r="L360" i="4"/>
  <c r="N360" i="4" s="1"/>
  <c r="L358" i="4"/>
  <c r="K597" i="4"/>
  <c r="K515" i="4"/>
  <c r="K502" i="4"/>
  <c r="K494" i="4"/>
  <c r="K486" i="4"/>
  <c r="K478" i="4"/>
  <c r="K470" i="4"/>
  <c r="K462" i="4"/>
  <c r="K444" i="4"/>
  <c r="G441" i="4"/>
  <c r="K428" i="4"/>
  <c r="G425" i="4"/>
  <c r="K412" i="4"/>
  <c r="G409" i="4"/>
  <c r="K396" i="4"/>
  <c r="G393" i="4"/>
  <c r="K380" i="4"/>
  <c r="G377" i="4"/>
  <c r="L371" i="4"/>
  <c r="H368" i="4"/>
  <c r="G365" i="4"/>
  <c r="L363" i="4"/>
  <c r="H360" i="4"/>
  <c r="L354" i="4"/>
  <c r="N354" i="4" s="1"/>
  <c r="L350" i="4"/>
  <c r="L346" i="4"/>
  <c r="L342" i="4"/>
  <c r="L338" i="4"/>
  <c r="L334" i="4"/>
  <c r="L330" i="4"/>
  <c r="N330" i="4" s="1"/>
  <c r="L326" i="4"/>
  <c r="L322" i="4"/>
  <c r="N322" i="4" s="1"/>
  <c r="G320" i="4"/>
  <c r="J319" i="4"/>
  <c r="F318" i="4"/>
  <c r="J317" i="4"/>
  <c r="F316" i="4"/>
  <c r="J315" i="4"/>
  <c r="F314" i="4"/>
  <c r="J313" i="4"/>
  <c r="F312" i="4"/>
  <c r="J311" i="4"/>
  <c r="F310" i="4"/>
  <c r="J309" i="4"/>
  <c r="F308" i="4"/>
  <c r="J307" i="4"/>
  <c r="N307" i="4" s="1"/>
  <c r="F306" i="4"/>
  <c r="J305" i="4"/>
  <c r="N305" i="4" s="1"/>
  <c r="F304" i="4"/>
  <c r="J303" i="4"/>
  <c r="F302" i="4"/>
  <c r="J301" i="4"/>
  <c r="F300" i="4"/>
  <c r="J299" i="4"/>
  <c r="F298" i="4"/>
  <c r="J297" i="4"/>
  <c r="N297" i="4" s="1"/>
  <c r="F296" i="4"/>
  <c r="J295" i="4"/>
  <c r="F294" i="4"/>
  <c r="J293" i="4"/>
  <c r="F292" i="4"/>
  <c r="J291" i="4"/>
  <c r="N291" i="4" s="1"/>
  <c r="F290" i="4"/>
  <c r="J289" i="4"/>
  <c r="N289" i="4" s="1"/>
  <c r="F288" i="4"/>
  <c r="J287" i="4"/>
  <c r="F286" i="4"/>
  <c r="J285" i="4"/>
  <c r="F284" i="4"/>
  <c r="J283" i="4"/>
  <c r="F282" i="4"/>
  <c r="J281" i="4"/>
  <c r="N281" i="4" s="1"/>
  <c r="F280" i="4"/>
  <c r="J279" i="4"/>
  <c r="F278" i="4"/>
  <c r="J277" i="4"/>
  <c r="F276" i="4"/>
  <c r="J275" i="4"/>
  <c r="N275" i="4" s="1"/>
  <c r="F274" i="4"/>
  <c r="J273" i="4"/>
  <c r="N273" i="4" s="1"/>
  <c r="F272" i="4"/>
  <c r="J271" i="4"/>
  <c r="F270" i="4"/>
  <c r="J269" i="4"/>
  <c r="F268" i="4"/>
  <c r="J267" i="4"/>
  <c r="F266" i="4"/>
  <c r="J265" i="4"/>
  <c r="N265" i="4" s="1"/>
  <c r="F264" i="4"/>
  <c r="J263" i="4"/>
  <c r="F262" i="4"/>
  <c r="J261" i="4"/>
  <c r="F260" i="4"/>
  <c r="J259" i="4"/>
  <c r="N259" i="4" s="1"/>
  <c r="F258" i="4"/>
  <c r="J257" i="4"/>
  <c r="N257" i="4" s="1"/>
  <c r="F256" i="4"/>
  <c r="J255" i="4"/>
  <c r="F254" i="4"/>
  <c r="J253" i="4"/>
  <c r="F252" i="4"/>
  <c r="J251" i="4"/>
  <c r="F250" i="4"/>
  <c r="J249" i="4"/>
  <c r="N249" i="4" s="1"/>
  <c r="F248" i="4"/>
  <c r="J247" i="4"/>
  <c r="F246" i="4"/>
  <c r="J245" i="4"/>
  <c r="F244" i="4"/>
  <c r="J243" i="4"/>
  <c r="N243" i="4" s="1"/>
  <c r="F242" i="4"/>
  <c r="J241" i="4"/>
  <c r="N241" i="4" s="1"/>
  <c r="F240" i="4"/>
  <c r="J239" i="4"/>
  <c r="F238" i="4"/>
  <c r="J237" i="4"/>
  <c r="F236" i="4"/>
  <c r="J235" i="4"/>
  <c r="F234" i="4"/>
  <c r="J233" i="4"/>
  <c r="N233" i="4" s="1"/>
  <c r="F232" i="4"/>
  <c r="J231" i="4"/>
  <c r="F230" i="4"/>
  <c r="J229" i="4"/>
  <c r="F228" i="4"/>
  <c r="J227" i="4"/>
  <c r="N227" i="4" s="1"/>
  <c r="F226" i="4"/>
  <c r="J225" i="4"/>
  <c r="N225" i="4" s="1"/>
  <c r="F224" i="4"/>
  <c r="J223" i="4"/>
  <c r="F222" i="4"/>
  <c r="J221" i="4"/>
  <c r="F220" i="4"/>
  <c r="J219" i="4"/>
  <c r="F218" i="4"/>
  <c r="J217" i="4"/>
  <c r="N217" i="4" s="1"/>
  <c r="F216" i="4"/>
  <c r="J215" i="4"/>
  <c r="F214" i="4"/>
  <c r="J213" i="4"/>
  <c r="F212" i="4"/>
  <c r="J211" i="4"/>
  <c r="N211" i="4" s="1"/>
  <c r="F210" i="4"/>
  <c r="J209" i="4"/>
  <c r="N209" i="4" s="1"/>
  <c r="F208" i="4"/>
  <c r="J207" i="4"/>
  <c r="F206" i="4"/>
  <c r="J205" i="4"/>
  <c r="F204" i="4"/>
  <c r="J203" i="4"/>
  <c r="N203" i="4" s="1"/>
  <c r="F202" i="4"/>
  <c r="J201" i="4"/>
  <c r="N201" i="4" s="1"/>
  <c r="F200" i="4"/>
  <c r="J199" i="4"/>
  <c r="F198" i="4"/>
  <c r="J197" i="4"/>
  <c r="F196" i="4"/>
  <c r="J195" i="4"/>
  <c r="F194" i="4"/>
  <c r="J193" i="4"/>
  <c r="N193" i="4" s="1"/>
  <c r="F192" i="4"/>
  <c r="J191" i="4"/>
  <c r="F190" i="4"/>
  <c r="J189" i="4"/>
  <c r="F188" i="4"/>
  <c r="J187" i="4"/>
  <c r="F186" i="4"/>
  <c r="J185" i="4"/>
  <c r="N185" i="4" s="1"/>
  <c r="F184" i="4"/>
  <c r="J183" i="4"/>
  <c r="F182" i="4"/>
  <c r="J181" i="4"/>
  <c r="F180" i="4"/>
  <c r="J179" i="4"/>
  <c r="F178" i="4"/>
  <c r="J177" i="4"/>
  <c r="N177" i="4" s="1"/>
  <c r="F176" i="4"/>
  <c r="J175" i="4"/>
  <c r="F174" i="4"/>
  <c r="J173" i="4"/>
  <c r="F172" i="4"/>
  <c r="J171" i="4"/>
  <c r="N171" i="4" s="1"/>
  <c r="F170" i="4"/>
  <c r="J169" i="4"/>
  <c r="N169" i="4" s="1"/>
  <c r="F168" i="4"/>
  <c r="J167" i="4"/>
  <c r="F166" i="4"/>
  <c r="J165" i="4"/>
  <c r="F164" i="4"/>
  <c r="J163" i="4"/>
  <c r="F162" i="4"/>
  <c r="J161" i="4"/>
  <c r="N161" i="4" s="1"/>
  <c r="F160" i="4"/>
  <c r="J159" i="4"/>
  <c r="F158" i="4"/>
  <c r="J157" i="4"/>
  <c r="F156" i="4"/>
  <c r="J155" i="4"/>
  <c r="F154" i="4"/>
  <c r="J153" i="4"/>
  <c r="N153" i="4" s="1"/>
  <c r="F152" i="4"/>
  <c r="J151" i="4"/>
  <c r="F150" i="4"/>
  <c r="J149" i="4"/>
  <c r="F148" i="4"/>
  <c r="J147" i="4"/>
  <c r="F146" i="4"/>
  <c r="E570" i="4"/>
  <c r="M570" i="4" s="1"/>
  <c r="E554" i="4"/>
  <c r="M554" i="4" s="1"/>
  <c r="E538" i="4"/>
  <c r="M538" i="4" s="1"/>
  <c r="E524" i="4"/>
  <c r="H511" i="4"/>
  <c r="G507" i="4"/>
  <c r="G499" i="4"/>
  <c r="G491" i="4"/>
  <c r="G483" i="4"/>
  <c r="G475" i="4"/>
  <c r="G467" i="4"/>
  <c r="G459" i="4"/>
  <c r="K450" i="4"/>
  <c r="G447" i="4"/>
  <c r="K434" i="4"/>
  <c r="G431" i="4"/>
  <c r="K418" i="4"/>
  <c r="G415" i="4"/>
  <c r="K402" i="4"/>
  <c r="G399" i="4"/>
  <c r="K386" i="4"/>
  <c r="G383" i="4"/>
  <c r="K371" i="4"/>
  <c r="G368" i="4"/>
  <c r="K366" i="4"/>
  <c r="K363" i="4"/>
  <c r="G360" i="4"/>
  <c r="K358" i="4"/>
  <c r="G357" i="4"/>
  <c r="K354" i="4"/>
  <c r="G353" i="4"/>
  <c r="K350" i="4"/>
  <c r="G349" i="4"/>
  <c r="K346" i="4"/>
  <c r="G345" i="4"/>
  <c r="K342" i="4"/>
  <c r="G341" i="4"/>
  <c r="K338" i="4"/>
  <c r="G337" i="4"/>
  <c r="K334" i="4"/>
  <c r="G333" i="4"/>
  <c r="K330" i="4"/>
  <c r="G329" i="4"/>
  <c r="K326" i="4"/>
  <c r="G325" i="4"/>
  <c r="K322" i="4"/>
  <c r="G321" i="4"/>
  <c r="E320" i="4"/>
  <c r="E318" i="4"/>
  <c r="E316" i="4"/>
  <c r="E314" i="4"/>
  <c r="E312" i="4"/>
  <c r="E310" i="4"/>
  <c r="E308" i="4"/>
  <c r="E306" i="4"/>
  <c r="E304" i="4"/>
  <c r="E302" i="4"/>
  <c r="E300" i="4"/>
  <c r="E298" i="4"/>
  <c r="E296" i="4"/>
  <c r="E294" i="4"/>
  <c r="E292" i="4"/>
  <c r="E290" i="4"/>
  <c r="E288" i="4"/>
  <c r="E286" i="4"/>
  <c r="E284" i="4"/>
  <c r="E282" i="4"/>
  <c r="E280" i="4"/>
  <c r="E278" i="4"/>
  <c r="E276" i="4"/>
  <c r="E274" i="4"/>
  <c r="E272" i="4"/>
  <c r="E270" i="4"/>
  <c r="E268" i="4"/>
  <c r="E266" i="4"/>
  <c r="E264" i="4"/>
  <c r="E262" i="4"/>
  <c r="E260" i="4"/>
  <c r="E258" i="4"/>
  <c r="E256" i="4"/>
  <c r="E254" i="4"/>
  <c r="E252" i="4"/>
  <c r="E250" i="4"/>
  <c r="E248" i="4"/>
  <c r="E246" i="4"/>
  <c r="E244" i="4"/>
  <c r="E242" i="4"/>
  <c r="E240" i="4"/>
  <c r="E238" i="4"/>
  <c r="E236" i="4"/>
  <c r="E234" i="4"/>
  <c r="E232" i="4"/>
  <c r="E230" i="4"/>
  <c r="E228" i="4"/>
  <c r="E226" i="4"/>
  <c r="E224" i="4"/>
  <c r="E222" i="4"/>
  <c r="E220" i="4"/>
  <c r="E218" i="4"/>
  <c r="E216" i="4"/>
  <c r="E214" i="4"/>
  <c r="E212" i="4"/>
  <c r="E210" i="4"/>
  <c r="E208" i="4"/>
  <c r="E206" i="4"/>
  <c r="E204" i="4"/>
  <c r="E202" i="4"/>
  <c r="M202" i="4" s="1"/>
  <c r="E200" i="4"/>
  <c r="M200" i="4" s="1"/>
  <c r="E198" i="4"/>
  <c r="M198" i="4" s="1"/>
  <c r="E196" i="4"/>
  <c r="E194" i="4"/>
  <c r="E192" i="4"/>
  <c r="E190" i="4"/>
  <c r="E188" i="4"/>
  <c r="E186" i="4"/>
  <c r="M186" i="4" s="1"/>
  <c r="E184" i="4"/>
  <c r="M184" i="4" s="1"/>
  <c r="E182" i="4"/>
  <c r="M182" i="4" s="1"/>
  <c r="E180" i="4"/>
  <c r="E178" i="4"/>
  <c r="E176" i="4"/>
  <c r="E174" i="4"/>
  <c r="E172" i="4"/>
  <c r="E170" i="4"/>
  <c r="M170" i="4" s="1"/>
  <c r="E168" i="4"/>
  <c r="M168" i="4" s="1"/>
  <c r="E166" i="4"/>
  <c r="M166" i="4" s="1"/>
  <c r="E164" i="4"/>
  <c r="E162" i="4"/>
  <c r="E160" i="4"/>
  <c r="E158" i="4"/>
  <c r="E156" i="4"/>
  <c r="E154" i="4"/>
  <c r="M154" i="4" s="1"/>
  <c r="E152" i="4"/>
  <c r="K504" i="4"/>
  <c r="K496" i="4"/>
  <c r="K488" i="4"/>
  <c r="K480" i="4"/>
  <c r="K472" i="4"/>
  <c r="K464" i="4"/>
  <c r="K456" i="4"/>
  <c r="G453" i="4"/>
  <c r="K440" i="4"/>
  <c r="G437" i="4"/>
  <c r="K424" i="4"/>
  <c r="G421" i="4"/>
  <c r="K408" i="4"/>
  <c r="G405" i="4"/>
  <c r="K392" i="4"/>
  <c r="G389" i="4"/>
  <c r="K376" i="4"/>
  <c r="G373" i="4"/>
  <c r="G371" i="4"/>
  <c r="L369" i="4"/>
  <c r="H366" i="4"/>
  <c r="G363" i="4"/>
  <c r="L361" i="4"/>
  <c r="H358" i="4"/>
  <c r="L355" i="4"/>
  <c r="H354" i="4"/>
  <c r="L351" i="4"/>
  <c r="H350" i="4"/>
  <c r="L347" i="4"/>
  <c r="H346" i="4"/>
  <c r="L343" i="4"/>
  <c r="H342" i="4"/>
  <c r="L339" i="4"/>
  <c r="H338" i="4"/>
  <c r="L335" i="4"/>
  <c r="H334" i="4"/>
  <c r="L331" i="4"/>
  <c r="H330" i="4"/>
  <c r="L327" i="4"/>
  <c r="H326" i="4"/>
  <c r="L323" i="4"/>
  <c r="H322" i="4"/>
  <c r="H319" i="4"/>
  <c r="L318" i="4"/>
  <c r="H317" i="4"/>
  <c r="L316" i="4"/>
  <c r="H315" i="4"/>
  <c r="L314" i="4"/>
  <c r="H313" i="4"/>
  <c r="L312" i="4"/>
  <c r="H311" i="4"/>
  <c r="L310" i="4"/>
  <c r="N310" i="4" s="1"/>
  <c r="H309" i="4"/>
  <c r="L308" i="4"/>
  <c r="H307" i="4"/>
  <c r="L306" i="4"/>
  <c r="H305" i="4"/>
  <c r="L304" i="4"/>
  <c r="H303" i="4"/>
  <c r="L302" i="4"/>
  <c r="H301" i="4"/>
  <c r="L300" i="4"/>
  <c r="H299" i="4"/>
  <c r="L298" i="4"/>
  <c r="H297" i="4"/>
  <c r="L296" i="4"/>
  <c r="H295" i="4"/>
  <c r="L294" i="4"/>
  <c r="N294" i="4" s="1"/>
  <c r="H293" i="4"/>
  <c r="L292" i="4"/>
  <c r="H291" i="4"/>
  <c r="L290" i="4"/>
  <c r="H289" i="4"/>
  <c r="L288" i="4"/>
  <c r="H287" i="4"/>
  <c r="L286" i="4"/>
  <c r="H285" i="4"/>
  <c r="L284" i="4"/>
  <c r="H283" i="4"/>
  <c r="L282" i="4"/>
  <c r="H281" i="4"/>
  <c r="L280" i="4"/>
  <c r="H279" i="4"/>
  <c r="L278" i="4"/>
  <c r="H277" i="4"/>
  <c r="L276" i="4"/>
  <c r="H275" i="4"/>
  <c r="L274" i="4"/>
  <c r="H273" i="4"/>
  <c r="L272" i="4"/>
  <c r="H271" i="4"/>
  <c r="L270" i="4"/>
  <c r="H269" i="4"/>
  <c r="L268" i="4"/>
  <c r="H267" i="4"/>
  <c r="L266" i="4"/>
  <c r="H265" i="4"/>
  <c r="L264" i="4"/>
  <c r="H263" i="4"/>
  <c r="L262" i="4"/>
  <c r="N262" i="4" s="1"/>
  <c r="H261" i="4"/>
  <c r="L260" i="4"/>
  <c r="H259" i="4"/>
  <c r="L258" i="4"/>
  <c r="H257" i="4"/>
  <c r="L256" i="4"/>
  <c r="H255" i="4"/>
  <c r="L254" i="4"/>
  <c r="H253" i="4"/>
  <c r="L252" i="4"/>
  <c r="H251" i="4"/>
  <c r="L250" i="4"/>
  <c r="H249" i="4"/>
  <c r="L248" i="4"/>
  <c r="H247" i="4"/>
  <c r="L246" i="4"/>
  <c r="N246" i="4" s="1"/>
  <c r="H245" i="4"/>
  <c r="L244" i="4"/>
  <c r="H243" i="4"/>
  <c r="L242" i="4"/>
  <c r="H241" i="4"/>
  <c r="L240" i="4"/>
  <c r="H239" i="4"/>
  <c r="L238" i="4"/>
  <c r="H237" i="4"/>
  <c r="L236" i="4"/>
  <c r="H235" i="4"/>
  <c r="L234" i="4"/>
  <c r="H233" i="4"/>
  <c r="L232" i="4"/>
  <c r="H231" i="4"/>
  <c r="L230" i="4"/>
  <c r="H229" i="4"/>
  <c r="L228" i="4"/>
  <c r="H227" i="4"/>
  <c r="L226" i="4"/>
  <c r="H225" i="4"/>
  <c r="L224" i="4"/>
  <c r="H223" i="4"/>
  <c r="L222" i="4"/>
  <c r="H221" i="4"/>
  <c r="L220" i="4"/>
  <c r="H219" i="4"/>
  <c r="L218" i="4"/>
  <c r="H217" i="4"/>
  <c r="L216" i="4"/>
  <c r="H215" i="4"/>
  <c r="L214" i="4"/>
  <c r="N214" i="4" s="1"/>
  <c r="H213" i="4"/>
  <c r="L212" i="4"/>
  <c r="H211" i="4"/>
  <c r="L210" i="4"/>
  <c r="H209" i="4"/>
  <c r="G510" i="4"/>
  <c r="G501" i="4"/>
  <c r="G493" i="4"/>
  <c r="G485" i="4"/>
  <c r="G477" i="4"/>
  <c r="G469" i="4"/>
  <c r="G461" i="4"/>
  <c r="K446" i="4"/>
  <c r="G443" i="4"/>
  <c r="K430" i="4"/>
  <c r="G427" i="4"/>
  <c r="K414" i="4"/>
  <c r="G411" i="4"/>
  <c r="K398" i="4"/>
  <c r="G395" i="4"/>
  <c r="K382" i="4"/>
  <c r="G379" i="4"/>
  <c r="K369" i="4"/>
  <c r="G366" i="4"/>
  <c r="K364" i="4"/>
  <c r="K361" i="4"/>
  <c r="G358" i="4"/>
  <c r="K355" i="4"/>
  <c r="G354" i="4"/>
  <c r="K351" i="4"/>
  <c r="G350" i="4"/>
  <c r="K347" i="4"/>
  <c r="G346" i="4"/>
  <c r="K343" i="4"/>
  <c r="G342" i="4"/>
  <c r="K339" i="4"/>
  <c r="G338" i="4"/>
  <c r="K335" i="4"/>
  <c r="G334" i="4"/>
  <c r="K331" i="4"/>
  <c r="G330" i="4"/>
  <c r="K327" i="4"/>
  <c r="G326" i="4"/>
  <c r="K323" i="4"/>
  <c r="G322" i="4"/>
  <c r="G319" i="4"/>
  <c r="K318" i="4"/>
  <c r="G317" i="4"/>
  <c r="K316" i="4"/>
  <c r="G315" i="4"/>
  <c r="K314" i="4"/>
  <c r="G313" i="4"/>
  <c r="K312" i="4"/>
  <c r="G311" i="4"/>
  <c r="K310" i="4"/>
  <c r="G309" i="4"/>
  <c r="K308" i="4"/>
  <c r="G307" i="4"/>
  <c r="K306" i="4"/>
  <c r="G305" i="4"/>
  <c r="K304" i="4"/>
  <c r="G303" i="4"/>
  <c r="K302" i="4"/>
  <c r="G301" i="4"/>
  <c r="K300" i="4"/>
  <c r="G299" i="4"/>
  <c r="K298" i="4"/>
  <c r="G297" i="4"/>
  <c r="K296" i="4"/>
  <c r="G295" i="4"/>
  <c r="K294" i="4"/>
  <c r="G293" i="4"/>
  <c r="K292" i="4"/>
  <c r="G291" i="4"/>
  <c r="K290" i="4"/>
  <c r="G289" i="4"/>
  <c r="K288" i="4"/>
  <c r="G287" i="4"/>
  <c r="K286" i="4"/>
  <c r="G285" i="4"/>
  <c r="K284" i="4"/>
  <c r="G283" i="4"/>
  <c r="K282" i="4"/>
  <c r="G281" i="4"/>
  <c r="K280" i="4"/>
  <c r="G279" i="4"/>
  <c r="K278" i="4"/>
  <c r="G277" i="4"/>
  <c r="K276" i="4"/>
  <c r="G275" i="4"/>
  <c r="K274" i="4"/>
  <c r="G273" i="4"/>
  <c r="K272" i="4"/>
  <c r="G271" i="4"/>
  <c r="K270" i="4"/>
  <c r="G269" i="4"/>
  <c r="K268" i="4"/>
  <c r="G267" i="4"/>
  <c r="K266" i="4"/>
  <c r="G265" i="4"/>
  <c r="K264" i="4"/>
  <c r="G263" i="4"/>
  <c r="K262" i="4"/>
  <c r="G261" i="4"/>
  <c r="K260" i="4"/>
  <c r="G259" i="4"/>
  <c r="K258" i="4"/>
  <c r="G257" i="4"/>
  <c r="K256" i="4"/>
  <c r="G255" i="4"/>
  <c r="K254" i="4"/>
  <c r="G253" i="4"/>
  <c r="K252" i="4"/>
  <c r="G251" i="4"/>
  <c r="K250" i="4"/>
  <c r="G249" i="4"/>
  <c r="K248" i="4"/>
  <c r="G247" i="4"/>
  <c r="K246" i="4"/>
  <c r="G245" i="4"/>
  <c r="K244" i="4"/>
  <c r="G243" i="4"/>
  <c r="K242" i="4"/>
  <c r="G241" i="4"/>
  <c r="K240" i="4"/>
  <c r="G239" i="4"/>
  <c r="K238" i="4"/>
  <c r="G237" i="4"/>
  <c r="K236" i="4"/>
  <c r="G235" i="4"/>
  <c r="K234" i="4"/>
  <c r="G233" i="4"/>
  <c r="K232" i="4"/>
  <c r="G231" i="4"/>
  <c r="K230" i="4"/>
  <c r="G229" i="4"/>
  <c r="K228" i="4"/>
  <c r="G227" i="4"/>
  <c r="K226" i="4"/>
  <c r="G225" i="4"/>
  <c r="K224" i="4"/>
  <c r="G223" i="4"/>
  <c r="K222" i="4"/>
  <c r="G221" i="4"/>
  <c r="K220" i="4"/>
  <c r="G219" i="4"/>
  <c r="K218" i="4"/>
  <c r="G217" i="4"/>
  <c r="K216" i="4"/>
  <c r="G215" i="4"/>
  <c r="K214" i="4"/>
  <c r="G213" i="4"/>
  <c r="K212" i="4"/>
  <c r="G211" i="4"/>
  <c r="K210" i="4"/>
  <c r="G209" i="4"/>
  <c r="K208" i="4"/>
  <c r="G207" i="4"/>
  <c r="K206" i="4"/>
  <c r="G205" i="4"/>
  <c r="K204" i="4"/>
  <c r="G203" i="4"/>
  <c r="K202" i="4"/>
  <c r="G201" i="4"/>
  <c r="K200" i="4"/>
  <c r="G199" i="4"/>
  <c r="K198" i="4"/>
  <c r="G197" i="4"/>
  <c r="K196" i="4"/>
  <c r="G195" i="4"/>
  <c r="K194" i="4"/>
  <c r="G193" i="4"/>
  <c r="K192" i="4"/>
  <c r="G191" i="4"/>
  <c r="K190" i="4"/>
  <c r="G189" i="4"/>
  <c r="K188" i="4"/>
  <c r="G187" i="4"/>
  <c r="K186" i="4"/>
  <c r="G185" i="4"/>
  <c r="K184" i="4"/>
  <c r="G183" i="4"/>
  <c r="K182" i="4"/>
  <c r="G181" i="4"/>
  <c r="K180" i="4"/>
  <c r="G179" i="4"/>
  <c r="K178" i="4"/>
  <c r="G177" i="4"/>
  <c r="K176" i="4"/>
  <c r="G175" i="4"/>
  <c r="K174" i="4"/>
  <c r="G173" i="4"/>
  <c r="K172" i="4"/>
  <c r="G171" i="4"/>
  <c r="K170" i="4"/>
  <c r="G169" i="4"/>
  <c r="K168" i="4"/>
  <c r="G167" i="4"/>
  <c r="K166" i="4"/>
  <c r="G165" i="4"/>
  <c r="K164" i="4"/>
  <c r="G163" i="4"/>
  <c r="K162" i="4"/>
  <c r="G161" i="4"/>
  <c r="K160" i="4"/>
  <c r="G159" i="4"/>
  <c r="K158" i="4"/>
  <c r="G157" i="4"/>
  <c r="K156" i="4"/>
  <c r="G155" i="4"/>
  <c r="K154" i="4"/>
  <c r="G153" i="4"/>
  <c r="K152" i="4"/>
  <c r="G151" i="4"/>
  <c r="K150" i="4"/>
  <c r="G149" i="4"/>
  <c r="K148" i="4"/>
  <c r="G147" i="4"/>
  <c r="K146" i="4"/>
  <c r="L517" i="4"/>
  <c r="K506" i="4"/>
  <c r="K498" i="4"/>
  <c r="K490" i="4"/>
  <c r="K482" i="4"/>
  <c r="K474" i="4"/>
  <c r="K466" i="4"/>
  <c r="K458" i="4"/>
  <c r="K452" i="4"/>
  <c r="G449" i="4"/>
  <c r="K436" i="4"/>
  <c r="G433" i="4"/>
  <c r="K420" i="4"/>
  <c r="G417" i="4"/>
  <c r="K404" i="4"/>
  <c r="G401" i="4"/>
  <c r="K388" i="4"/>
  <c r="G385" i="4"/>
  <c r="K372" i="4"/>
  <c r="G369" i="4"/>
  <c r="L367" i="4"/>
  <c r="N367" i="4" s="1"/>
  <c r="H364" i="4"/>
  <c r="G361" i="4"/>
  <c r="L359" i="4"/>
  <c r="L356" i="4"/>
  <c r="L352" i="4"/>
  <c r="L348" i="4"/>
  <c r="H347" i="4"/>
  <c r="L344" i="4"/>
  <c r="N344" i="4" s="1"/>
  <c r="H343" i="4"/>
  <c r="L340" i="4"/>
  <c r="H339" i="4"/>
  <c r="L336" i="4"/>
  <c r="H335" i="4"/>
  <c r="L332" i="4"/>
  <c r="H331" i="4"/>
  <c r="L328" i="4"/>
  <c r="N328" i="4" s="1"/>
  <c r="H327" i="4"/>
  <c r="L324" i="4"/>
  <c r="H323" i="4"/>
  <c r="L320" i="4"/>
  <c r="F319" i="4"/>
  <c r="J318" i="4"/>
  <c r="F317" i="4"/>
  <c r="J316" i="4"/>
  <c r="N316" i="4" s="1"/>
  <c r="F315" i="4"/>
  <c r="J314" i="4"/>
  <c r="F313" i="4"/>
  <c r="J312" i="4"/>
  <c r="N312" i="4" s="1"/>
  <c r="F311" i="4"/>
  <c r="J310" i="4"/>
  <c r="F309" i="4"/>
  <c r="J308" i="4"/>
  <c r="N308" i="4" s="1"/>
  <c r="F307" i="4"/>
  <c r="J306" i="4"/>
  <c r="N306" i="4" s="1"/>
  <c r="F305" i="4"/>
  <c r="J304" i="4"/>
  <c r="F303" i="4"/>
  <c r="J302" i="4"/>
  <c r="F301" i="4"/>
  <c r="J300" i="4"/>
  <c r="N300" i="4" s="1"/>
  <c r="F299" i="4"/>
  <c r="J298" i="4"/>
  <c r="F297" i="4"/>
  <c r="J296" i="4"/>
  <c r="N296" i="4" s="1"/>
  <c r="F295" i="4"/>
  <c r="J294" i="4"/>
  <c r="F293" i="4"/>
  <c r="J292" i="4"/>
  <c r="F291" i="4"/>
  <c r="J290" i="4"/>
  <c r="N290" i="4" s="1"/>
  <c r="F289" i="4"/>
  <c r="J288" i="4"/>
  <c r="F287" i="4"/>
  <c r="J286" i="4"/>
  <c r="F285" i="4"/>
  <c r="J284" i="4"/>
  <c r="F283" i="4"/>
  <c r="J282" i="4"/>
  <c r="F281" i="4"/>
  <c r="J280" i="4"/>
  <c r="N280" i="4" s="1"/>
  <c r="F279" i="4"/>
  <c r="J278" i="4"/>
  <c r="F277" i="4"/>
  <c r="J276" i="4"/>
  <c r="N276" i="4" s="1"/>
  <c r="F275" i="4"/>
  <c r="J274" i="4"/>
  <c r="N274" i="4" s="1"/>
  <c r="F273" i="4"/>
  <c r="J272" i="4"/>
  <c r="F271" i="4"/>
  <c r="J270" i="4"/>
  <c r="F269" i="4"/>
  <c r="J268" i="4"/>
  <c r="N268" i="4" s="1"/>
  <c r="F267" i="4"/>
  <c r="J266" i="4"/>
  <c r="F265" i="4"/>
  <c r="J264" i="4"/>
  <c r="N264" i="4" s="1"/>
  <c r="F263" i="4"/>
  <c r="J262" i="4"/>
  <c r="F261" i="4"/>
  <c r="J260" i="4"/>
  <c r="N260" i="4" s="1"/>
  <c r="F259" i="4"/>
  <c r="J258" i="4"/>
  <c r="N258" i="4" s="1"/>
  <c r="F257" i="4"/>
  <c r="J256" i="4"/>
  <c r="F255" i="4"/>
  <c r="J254" i="4"/>
  <c r="F253" i="4"/>
  <c r="J252" i="4"/>
  <c r="N252" i="4" s="1"/>
  <c r="F251" i="4"/>
  <c r="J250" i="4"/>
  <c r="F249" i="4"/>
  <c r="J248" i="4"/>
  <c r="N248" i="4" s="1"/>
  <c r="F247" i="4"/>
  <c r="J246" i="4"/>
  <c r="F245" i="4"/>
  <c r="J244" i="4"/>
  <c r="N244" i="4" s="1"/>
  <c r="F243" i="4"/>
  <c r="J242" i="4"/>
  <c r="N242" i="4" s="1"/>
  <c r="F241" i="4"/>
  <c r="J240" i="4"/>
  <c r="F239" i="4"/>
  <c r="J238" i="4"/>
  <c r="F237" i="4"/>
  <c r="J236" i="4"/>
  <c r="F235" i="4"/>
  <c r="J234" i="4"/>
  <c r="F233" i="4"/>
  <c r="J232" i="4"/>
  <c r="N232" i="4" s="1"/>
  <c r="F231" i="4"/>
  <c r="J230" i="4"/>
  <c r="F229" i="4"/>
  <c r="J228" i="4"/>
  <c r="N228" i="4" s="1"/>
  <c r="F227" i="4"/>
  <c r="J226" i="4"/>
  <c r="N226" i="4" s="1"/>
  <c r="F225" i="4"/>
  <c r="J224" i="4"/>
  <c r="F223" i="4"/>
  <c r="J222" i="4"/>
  <c r="F221" i="4"/>
  <c r="J220" i="4"/>
  <c r="N220" i="4" s="1"/>
  <c r="F219" i="4"/>
  <c r="J218" i="4"/>
  <c r="F217" i="4"/>
  <c r="J216" i="4"/>
  <c r="N216" i="4" s="1"/>
  <c r="F215" i="4"/>
  <c r="J214" i="4"/>
  <c r="F213" i="4"/>
  <c r="J212" i="4"/>
  <c r="F211" i="4"/>
  <c r="J210" i="4"/>
  <c r="N210" i="4" s="1"/>
  <c r="F209" i="4"/>
  <c r="J208" i="4"/>
  <c r="F207" i="4"/>
  <c r="J206" i="4"/>
  <c r="F205" i="4"/>
  <c r="J204" i="4"/>
  <c r="F203" i="4"/>
  <c r="J202" i="4"/>
  <c r="F201" i="4"/>
  <c r="J200" i="4"/>
  <c r="F199" i="4"/>
  <c r="J198" i="4"/>
  <c r="F197" i="4"/>
  <c r="J196" i="4"/>
  <c r="N196" i="4" s="1"/>
  <c r="F195" i="4"/>
  <c r="J194" i="4"/>
  <c r="F193" i="4"/>
  <c r="J192" i="4"/>
  <c r="F191" i="4"/>
  <c r="J190" i="4"/>
  <c r="F189" i="4"/>
  <c r="J188" i="4"/>
  <c r="F187" i="4"/>
  <c r="J186" i="4"/>
  <c r="F185" i="4"/>
  <c r="J184" i="4"/>
  <c r="F183" i="4"/>
  <c r="J182" i="4"/>
  <c r="F181" i="4"/>
  <c r="J180" i="4"/>
  <c r="N180" i="4" s="1"/>
  <c r="F179" i="4"/>
  <c r="J178" i="4"/>
  <c r="F177" i="4"/>
  <c r="J176" i="4"/>
  <c r="F175" i="4"/>
  <c r="J174" i="4"/>
  <c r="F173" i="4"/>
  <c r="J172" i="4"/>
  <c r="F171" i="4"/>
  <c r="J170" i="4"/>
  <c r="F169" i="4"/>
  <c r="J168" i="4"/>
  <c r="F167" i="4"/>
  <c r="J166" i="4"/>
  <c r="F165" i="4"/>
  <c r="J164" i="4"/>
  <c r="N164" i="4" s="1"/>
  <c r="F163" i="4"/>
  <c r="J162" i="4"/>
  <c r="F161" i="4"/>
  <c r="J160" i="4"/>
  <c r="F159" i="4"/>
  <c r="J158" i="4"/>
  <c r="F157" i="4"/>
  <c r="J156" i="4"/>
  <c r="F155" i="4"/>
  <c r="J154" i="4"/>
  <c r="F153" i="4"/>
  <c r="J152" i="4"/>
  <c r="F151" i="4"/>
  <c r="J150" i="4"/>
  <c r="F149" i="4"/>
  <c r="J148" i="4"/>
  <c r="N148" i="4" s="1"/>
  <c r="F147" i="4"/>
  <c r="J146" i="4"/>
  <c r="K531" i="4"/>
  <c r="E509" i="4"/>
  <c r="M509" i="4" s="1"/>
  <c r="G503" i="4"/>
  <c r="G495" i="4"/>
  <c r="G487" i="4"/>
  <c r="G479" i="4"/>
  <c r="G471" i="4"/>
  <c r="G463" i="4"/>
  <c r="G455" i="4"/>
  <c r="K442" i="4"/>
  <c r="G439" i="4"/>
  <c r="K426" i="4"/>
  <c r="G423" i="4"/>
  <c r="K410" i="4"/>
  <c r="G407" i="4"/>
  <c r="K394" i="4"/>
  <c r="G391" i="4"/>
  <c r="K378" i="4"/>
  <c r="G375" i="4"/>
  <c r="H372" i="4"/>
  <c r="K370" i="4"/>
  <c r="K367" i="4"/>
  <c r="G364" i="4"/>
  <c r="K362" i="4"/>
  <c r="K359" i="4"/>
  <c r="K356" i="4"/>
  <c r="G355" i="4"/>
  <c r="K352" i="4"/>
  <c r="G351" i="4"/>
  <c r="K348" i="4"/>
  <c r="G347" i="4"/>
  <c r="K344" i="4"/>
  <c r="G343" i="4"/>
  <c r="K340" i="4"/>
  <c r="G339" i="4"/>
  <c r="K336" i="4"/>
  <c r="G335" i="4"/>
  <c r="K332" i="4"/>
  <c r="G331" i="4"/>
  <c r="K328" i="4"/>
  <c r="G327" i="4"/>
  <c r="K324" i="4"/>
  <c r="G323" i="4"/>
  <c r="K320" i="4"/>
  <c r="E319" i="4"/>
  <c r="E317" i="4"/>
  <c r="E315" i="4"/>
  <c r="E313" i="4"/>
  <c r="E311" i="4"/>
  <c r="E309" i="4"/>
  <c r="E307" i="4"/>
  <c r="E305" i="4"/>
  <c r="E303" i="4"/>
  <c r="E301" i="4"/>
  <c r="E299" i="4"/>
  <c r="E297" i="4"/>
  <c r="E295" i="4"/>
  <c r="E293" i="4"/>
  <c r="E291" i="4"/>
  <c r="E289" i="4"/>
  <c r="E287" i="4"/>
  <c r="E285" i="4"/>
  <c r="E283" i="4"/>
  <c r="E281" i="4"/>
  <c r="E279" i="4"/>
  <c r="E277" i="4"/>
  <c r="E275" i="4"/>
  <c r="E273" i="4"/>
  <c r="E271" i="4"/>
  <c r="E269" i="4"/>
  <c r="E267" i="4"/>
  <c r="E265" i="4"/>
  <c r="E263" i="4"/>
  <c r="E261" i="4"/>
  <c r="E259" i="4"/>
  <c r="E257" i="4"/>
  <c r="E255" i="4"/>
  <c r="E253" i="4"/>
  <c r="E251" i="4"/>
  <c r="E249" i="4"/>
  <c r="E247" i="4"/>
  <c r="E245" i="4"/>
  <c r="E243" i="4"/>
  <c r="E241" i="4"/>
  <c r="E239" i="4"/>
  <c r="E237" i="4"/>
  <c r="E235" i="4"/>
  <c r="E233" i="4"/>
  <c r="E231" i="4"/>
  <c r="E229" i="4"/>
  <c r="E227" i="4"/>
  <c r="E225" i="4"/>
  <c r="E223" i="4"/>
  <c r="E221" i="4"/>
  <c r="E219" i="4"/>
  <c r="E217" i="4"/>
  <c r="E215" i="4"/>
  <c r="E213" i="4"/>
  <c r="E211" i="4"/>
  <c r="E209" i="4"/>
  <c r="E207" i="4"/>
  <c r="E205" i="4"/>
  <c r="M205" i="4" s="1"/>
  <c r="E203" i="4"/>
  <c r="E201" i="4"/>
  <c r="E199" i="4"/>
  <c r="E197" i="4"/>
  <c r="E195" i="4"/>
  <c r="E193" i="4"/>
  <c r="M193" i="4" s="1"/>
  <c r="E191" i="4"/>
  <c r="E189" i="4"/>
  <c r="M189" i="4" s="1"/>
  <c r="E187" i="4"/>
  <c r="E185" i="4"/>
  <c r="E183" i="4"/>
  <c r="E181" i="4"/>
  <c r="E179" i="4"/>
  <c r="E177" i="4"/>
  <c r="M177" i="4" s="1"/>
  <c r="E175" i="4"/>
  <c r="M175" i="4" s="1"/>
  <c r="E173" i="4"/>
  <c r="M173" i="4" s="1"/>
  <c r="E171" i="4"/>
  <c r="E169" i="4"/>
  <c r="E167" i="4"/>
  <c r="E165" i="4"/>
  <c r="E163" i="4"/>
  <c r="E161" i="4"/>
  <c r="M161" i="4" s="1"/>
  <c r="E159" i="4"/>
  <c r="E157" i="4"/>
  <c r="M157" i="4" s="1"/>
  <c r="E155" i="4"/>
  <c r="E153" i="4"/>
  <c r="E151" i="4"/>
  <c r="E149" i="4"/>
  <c r="M149" i="4" s="1"/>
  <c r="E147" i="4"/>
  <c r="G594" i="4"/>
  <c r="G580" i="4"/>
  <c r="K571" i="4"/>
  <c r="G564" i="4"/>
  <c r="K555" i="4"/>
  <c r="G548" i="4"/>
  <c r="K539" i="4"/>
  <c r="L516" i="4"/>
  <c r="K500" i="4"/>
  <c r="K492" i="4"/>
  <c r="K484" i="4"/>
  <c r="K476" i="4"/>
  <c r="K468" i="4"/>
  <c r="K460" i="4"/>
  <c r="K448" i="4"/>
  <c r="G445" i="4"/>
  <c r="K432" i="4"/>
  <c r="G429" i="4"/>
  <c r="K416" i="4"/>
  <c r="G413" i="4"/>
  <c r="K400" i="4"/>
  <c r="G397" i="4"/>
  <c r="K384" i="4"/>
  <c r="G381" i="4"/>
  <c r="H370" i="4"/>
  <c r="G367" i="4"/>
  <c r="L365" i="4"/>
  <c r="H362" i="4"/>
  <c r="G359" i="4"/>
  <c r="L357" i="4"/>
  <c r="H356" i="4"/>
  <c r="L353" i="4"/>
  <c r="H352" i="4"/>
  <c r="L349" i="4"/>
  <c r="H348" i="4"/>
  <c r="L345" i="4"/>
  <c r="N345" i="4" s="1"/>
  <c r="H344" i="4"/>
  <c r="L341" i="4"/>
  <c r="H340" i="4"/>
  <c r="L337" i="4"/>
  <c r="H336" i="4"/>
  <c r="L333" i="4"/>
  <c r="H332" i="4"/>
  <c r="L329" i="4"/>
  <c r="N329" i="4" s="1"/>
  <c r="H328" i="4"/>
  <c r="L325" i="4"/>
  <c r="H324" i="4"/>
  <c r="L321" i="4"/>
  <c r="J320" i="4"/>
  <c r="L319" i="4"/>
  <c r="L317" i="4"/>
  <c r="L315" i="4"/>
  <c r="L313" i="4"/>
  <c r="L311" i="4"/>
  <c r="L309" i="4"/>
  <c r="L307" i="4"/>
  <c r="L305" i="4"/>
  <c r="L303" i="4"/>
  <c r="N303" i="4" s="1"/>
  <c r="L301" i="4"/>
  <c r="L299" i="4"/>
  <c r="N299" i="4" s="1"/>
  <c r="L297" i="4"/>
  <c r="L295" i="4"/>
  <c r="L293" i="4"/>
  <c r="L291" i="4"/>
  <c r="L289" i="4"/>
  <c r="L287" i="4"/>
  <c r="N287" i="4" s="1"/>
  <c r="L285" i="4"/>
  <c r="L283" i="4"/>
  <c r="N283" i="4" s="1"/>
  <c r="L281" i="4"/>
  <c r="L279" i="4"/>
  <c r="L277" i="4"/>
  <c r="L275" i="4"/>
  <c r="L273" i="4"/>
  <c r="L271" i="4"/>
  <c r="N271" i="4" s="1"/>
  <c r="L269" i="4"/>
  <c r="L267" i="4"/>
  <c r="N267" i="4" s="1"/>
  <c r="L265" i="4"/>
  <c r="L263" i="4"/>
  <c r="L261" i="4"/>
  <c r="L259" i="4"/>
  <c r="L257" i="4"/>
  <c r="L255" i="4"/>
  <c r="N255" i="4" s="1"/>
  <c r="L253" i="4"/>
  <c r="L251" i="4"/>
  <c r="N251" i="4" s="1"/>
  <c r="L249" i="4"/>
  <c r="L247" i="4"/>
  <c r="L245" i="4"/>
  <c r="L243" i="4"/>
  <c r="L241" i="4"/>
  <c r="L239" i="4"/>
  <c r="N239" i="4" s="1"/>
  <c r="L237" i="4"/>
  <c r="L235" i="4"/>
  <c r="N235" i="4" s="1"/>
  <c r="L233" i="4"/>
  <c r="L231" i="4"/>
  <c r="L229" i="4"/>
  <c r="L227" i="4"/>
  <c r="L225" i="4"/>
  <c r="L223" i="4"/>
  <c r="N223" i="4" s="1"/>
  <c r="L221" i="4"/>
  <c r="L219" i="4"/>
  <c r="N219" i="4" s="1"/>
  <c r="L217" i="4"/>
  <c r="L215" i="4"/>
  <c r="L213" i="4"/>
  <c r="L211" i="4"/>
  <c r="L209" i="4"/>
  <c r="L207" i="4"/>
  <c r="N207" i="4" s="1"/>
  <c r="K11" i="4"/>
  <c r="L13" i="4"/>
  <c r="L15" i="4"/>
  <c r="L17" i="4"/>
  <c r="L19" i="4"/>
  <c r="L21" i="4"/>
  <c r="L23" i="4"/>
  <c r="L25" i="4"/>
  <c r="N25" i="4" s="1"/>
  <c r="L27" i="4"/>
  <c r="N27" i="4" s="1"/>
  <c r="L29" i="4"/>
  <c r="L31" i="4"/>
  <c r="N31" i="4" s="1"/>
  <c r="L33" i="4"/>
  <c r="L35" i="4"/>
  <c r="L37" i="4"/>
  <c r="L39" i="4"/>
  <c r="L41" i="4"/>
  <c r="N41" i="4" s="1"/>
  <c r="L43" i="4"/>
  <c r="N43" i="4" s="1"/>
  <c r="L45" i="4"/>
  <c r="L47" i="4"/>
  <c r="L49" i="4"/>
  <c r="L51" i="4"/>
  <c r="L53" i="4"/>
  <c r="L55" i="4"/>
  <c r="L57" i="4"/>
  <c r="L59" i="4"/>
  <c r="N59" i="4" s="1"/>
  <c r="L61" i="4"/>
  <c r="L63" i="4"/>
  <c r="N63" i="4" s="1"/>
  <c r="L65" i="4"/>
  <c r="L67" i="4"/>
  <c r="L69" i="4"/>
  <c r="L71" i="4"/>
  <c r="L73" i="4"/>
  <c r="N73" i="4" s="1"/>
  <c r="L75" i="4"/>
  <c r="L77" i="4"/>
  <c r="L79" i="4"/>
  <c r="L81" i="4"/>
  <c r="L83" i="4"/>
  <c r="L85" i="4"/>
  <c r="L87" i="4"/>
  <c r="L89" i="4"/>
  <c r="L91" i="4"/>
  <c r="N91" i="4" s="1"/>
  <c r="L93" i="4"/>
  <c r="L95" i="4"/>
  <c r="N95" i="4" s="1"/>
  <c r="L97" i="4"/>
  <c r="L99" i="4"/>
  <c r="L101" i="4"/>
  <c r="L103" i="4"/>
  <c r="L105" i="4"/>
  <c r="N105" i="4" s="1"/>
  <c r="L107" i="4"/>
  <c r="N107" i="4" s="1"/>
  <c r="L109" i="4"/>
  <c r="L111" i="4"/>
  <c r="L113" i="4"/>
  <c r="L115" i="4"/>
  <c r="L117" i="4"/>
  <c r="L119" i="4"/>
  <c r="L121" i="4"/>
  <c r="L123" i="4"/>
  <c r="L125" i="4"/>
  <c r="L127" i="4"/>
  <c r="L129" i="4"/>
  <c r="L131" i="4"/>
  <c r="L133" i="4"/>
  <c r="L135" i="4"/>
  <c r="L137" i="4"/>
  <c r="L139" i="4"/>
  <c r="L141" i="4"/>
  <c r="L143" i="4"/>
  <c r="H144" i="4"/>
  <c r="L145" i="4"/>
  <c r="N145" i="4" s="1"/>
  <c r="G148" i="4"/>
  <c r="K149" i="4"/>
  <c r="H152" i="4"/>
  <c r="G154" i="4"/>
  <c r="L157" i="4"/>
  <c r="K159" i="4"/>
  <c r="H161" i="4"/>
  <c r="O163" i="4"/>
  <c r="M163" i="4"/>
  <c r="L166" i="4"/>
  <c r="H168" i="4"/>
  <c r="G170" i="4"/>
  <c r="L173" i="4"/>
  <c r="K175" i="4"/>
  <c r="H177" i="4"/>
  <c r="O179" i="4"/>
  <c r="M179" i="4"/>
  <c r="L182" i="4"/>
  <c r="H184" i="4"/>
  <c r="G186" i="4"/>
  <c r="L189" i="4"/>
  <c r="K191" i="4"/>
  <c r="H193" i="4"/>
  <c r="O195" i="4"/>
  <c r="M195" i="4"/>
  <c r="L198" i="4"/>
  <c r="H200" i="4"/>
  <c r="G202" i="4"/>
  <c r="L205" i="4"/>
  <c r="K207" i="4"/>
  <c r="G210" i="4"/>
  <c r="K213" i="4"/>
  <c r="G226" i="4"/>
  <c r="K229" i="4"/>
  <c r="N236" i="4"/>
  <c r="G242" i="4"/>
  <c r="K245" i="4"/>
  <c r="G258" i="4"/>
  <c r="K261" i="4"/>
  <c r="G274" i="4"/>
  <c r="K277" i="4"/>
  <c r="N284" i="4"/>
  <c r="G290" i="4"/>
  <c r="K293" i="4"/>
  <c r="G306" i="4"/>
  <c r="K309" i="4"/>
  <c r="G332" i="4"/>
  <c r="K341" i="4"/>
  <c r="K360" i="4"/>
  <c r="G370" i="4"/>
  <c r="N400" i="4"/>
  <c r="G465" i="4"/>
  <c r="H512" i="4"/>
  <c r="O191" i="4"/>
  <c r="M191" i="4"/>
  <c r="E15" i="4"/>
  <c r="E19" i="4"/>
  <c r="E21" i="4"/>
  <c r="E23" i="4"/>
  <c r="E27" i="4"/>
  <c r="E29" i="4"/>
  <c r="E31" i="4"/>
  <c r="E35" i="4"/>
  <c r="E37" i="4"/>
  <c r="E41" i="4"/>
  <c r="E45" i="4"/>
  <c r="E47" i="4"/>
  <c r="E49" i="4"/>
  <c r="E51" i="4"/>
  <c r="E55" i="4"/>
  <c r="E57" i="4"/>
  <c r="E59" i="4"/>
  <c r="E61" i="4"/>
  <c r="E63" i="4"/>
  <c r="E71" i="4"/>
  <c r="E73" i="4"/>
  <c r="E79" i="4"/>
  <c r="E83" i="4"/>
  <c r="E85" i="4"/>
  <c r="E87" i="4"/>
  <c r="E89" i="4"/>
  <c r="E91" i="4"/>
  <c r="E93" i="4"/>
  <c r="E95" i="4"/>
  <c r="E97" i="4"/>
  <c r="E99" i="4"/>
  <c r="E101" i="4"/>
  <c r="E103" i="4"/>
  <c r="E105" i="4"/>
  <c r="E107" i="4"/>
  <c r="E109" i="4"/>
  <c r="E111" i="4"/>
  <c r="E113" i="4"/>
  <c r="E115" i="4"/>
  <c r="E117" i="4"/>
  <c r="E119" i="4"/>
  <c r="E121" i="4"/>
  <c r="E123" i="4"/>
  <c r="E125" i="4"/>
  <c r="E127" i="4"/>
  <c r="E129" i="4"/>
  <c r="E131" i="4"/>
  <c r="E133" i="4"/>
  <c r="E135" i="4"/>
  <c r="E137" i="4"/>
  <c r="E139" i="4"/>
  <c r="E141" i="4"/>
  <c r="E143" i="4"/>
  <c r="E145" i="4"/>
  <c r="M145" i="4" s="1"/>
  <c r="O147" i="4"/>
  <c r="N147" i="4"/>
  <c r="M147" i="4"/>
  <c r="L149" i="4"/>
  <c r="O151" i="4"/>
  <c r="M151" i="4"/>
  <c r="L152" i="4"/>
  <c r="H154" i="4"/>
  <c r="G156" i="4"/>
  <c r="M156" i="4" s="1"/>
  <c r="L159" i="4"/>
  <c r="N159" i="4" s="1"/>
  <c r="K161" i="4"/>
  <c r="H163" i="4"/>
  <c r="O165" i="4"/>
  <c r="M165" i="4"/>
  <c r="O166" i="4"/>
  <c r="L168" i="4"/>
  <c r="H170" i="4"/>
  <c r="G172" i="4"/>
  <c r="M172" i="4" s="1"/>
  <c r="L175" i="4"/>
  <c r="K177" i="4"/>
  <c r="H179" i="4"/>
  <c r="O181" i="4"/>
  <c r="M181" i="4"/>
  <c r="O182" i="4"/>
  <c r="L184" i="4"/>
  <c r="H186" i="4"/>
  <c r="G188" i="4"/>
  <c r="M188" i="4" s="1"/>
  <c r="L191" i="4"/>
  <c r="N191" i="4" s="1"/>
  <c r="K193" i="4"/>
  <c r="H195" i="4"/>
  <c r="O197" i="4"/>
  <c r="M197" i="4"/>
  <c r="O198" i="4"/>
  <c r="L200" i="4"/>
  <c r="H202" i="4"/>
  <c r="G204" i="4"/>
  <c r="M204" i="4" s="1"/>
  <c r="H208" i="4"/>
  <c r="G220" i="4"/>
  <c r="K223" i="4"/>
  <c r="N230" i="4"/>
  <c r="G236" i="4"/>
  <c r="K239" i="4"/>
  <c r="G252" i="4"/>
  <c r="K255" i="4"/>
  <c r="G268" i="4"/>
  <c r="K271" i="4"/>
  <c r="N278" i="4"/>
  <c r="G284" i="4"/>
  <c r="K287" i="4"/>
  <c r="G300" i="4"/>
  <c r="K303" i="4"/>
  <c r="G316" i="4"/>
  <c r="K319" i="4"/>
  <c r="G328" i="4"/>
  <c r="K337" i="4"/>
  <c r="K365" i="4"/>
  <c r="K390" i="4"/>
  <c r="G435" i="4"/>
  <c r="N445" i="4"/>
  <c r="K454" i="4"/>
  <c r="G473" i="4"/>
  <c r="E13" i="4"/>
  <c r="E33" i="4"/>
  <c r="E39" i="4"/>
  <c r="E43" i="4"/>
  <c r="E53" i="4"/>
  <c r="E65" i="4"/>
  <c r="E67" i="4"/>
  <c r="E69" i="4"/>
  <c r="E75" i="4"/>
  <c r="E77" i="4"/>
  <c r="E81" i="4"/>
  <c r="E11" i="4"/>
  <c r="M11" i="4" s="1"/>
  <c r="J12" i="4"/>
  <c r="N12" i="4" s="1"/>
  <c r="F13" i="4"/>
  <c r="N13" i="4"/>
  <c r="J14" i="4"/>
  <c r="N14" i="4" s="1"/>
  <c r="F15" i="4"/>
  <c r="N15" i="4"/>
  <c r="J16" i="4"/>
  <c r="N16" i="4" s="1"/>
  <c r="F17" i="4"/>
  <c r="N17" i="4"/>
  <c r="J18" i="4"/>
  <c r="F19" i="4"/>
  <c r="N19" i="4"/>
  <c r="J20" i="4"/>
  <c r="F21" i="4"/>
  <c r="N21" i="4"/>
  <c r="J22" i="4"/>
  <c r="F23" i="4"/>
  <c r="N23" i="4"/>
  <c r="J24" i="4"/>
  <c r="N24" i="4" s="1"/>
  <c r="F25" i="4"/>
  <c r="J26" i="4"/>
  <c r="F27" i="4"/>
  <c r="J28" i="4"/>
  <c r="F29" i="4"/>
  <c r="N29" i="4"/>
  <c r="J30" i="4"/>
  <c r="F31" i="4"/>
  <c r="J32" i="4"/>
  <c r="F33" i="4"/>
  <c r="J34" i="4"/>
  <c r="F35" i="4"/>
  <c r="N35" i="4"/>
  <c r="J36" i="4"/>
  <c r="F37" i="4"/>
  <c r="N37" i="4"/>
  <c r="J38" i="4"/>
  <c r="F39" i="4"/>
  <c r="N39" i="4"/>
  <c r="J40" i="4"/>
  <c r="N40" i="4" s="1"/>
  <c r="F41" i="4"/>
  <c r="J42" i="4"/>
  <c r="F43" i="4"/>
  <c r="J44" i="4"/>
  <c r="F45" i="4"/>
  <c r="N45" i="4"/>
  <c r="J46" i="4"/>
  <c r="F47" i="4"/>
  <c r="J48" i="4"/>
  <c r="F49" i="4"/>
  <c r="J50" i="4"/>
  <c r="F51" i="4"/>
  <c r="J52" i="4"/>
  <c r="F53" i="4"/>
  <c r="N53" i="4"/>
  <c r="J54" i="4"/>
  <c r="N54" i="4" s="1"/>
  <c r="F55" i="4"/>
  <c r="J56" i="4"/>
  <c r="F57" i="4"/>
  <c r="J58" i="4"/>
  <c r="F59" i="4"/>
  <c r="J60" i="4"/>
  <c r="F61" i="4"/>
  <c r="N61" i="4"/>
  <c r="J62" i="4"/>
  <c r="F63" i="4"/>
  <c r="J64" i="4"/>
  <c r="F65" i="4"/>
  <c r="N65" i="4"/>
  <c r="J66" i="4"/>
  <c r="N66" i="4" s="1"/>
  <c r="F67" i="4"/>
  <c r="J68" i="4"/>
  <c r="F69" i="4"/>
  <c r="N69" i="4"/>
  <c r="J70" i="4"/>
  <c r="N70" i="4" s="1"/>
  <c r="F71" i="4"/>
  <c r="N71" i="4"/>
  <c r="J72" i="4"/>
  <c r="F73" i="4"/>
  <c r="J74" i="4"/>
  <c r="F75" i="4"/>
  <c r="J76" i="4"/>
  <c r="F77" i="4"/>
  <c r="N77" i="4"/>
  <c r="J78" i="4"/>
  <c r="N78" i="4" s="1"/>
  <c r="F79" i="4"/>
  <c r="J80" i="4"/>
  <c r="F81" i="4"/>
  <c r="J82" i="4"/>
  <c r="F83" i="4"/>
  <c r="J84" i="4"/>
  <c r="F85" i="4"/>
  <c r="N85" i="4"/>
  <c r="J86" i="4"/>
  <c r="F87" i="4"/>
  <c r="J88" i="4"/>
  <c r="F89" i="4"/>
  <c r="J90" i="4"/>
  <c r="F91" i="4"/>
  <c r="J92" i="4"/>
  <c r="F93" i="4"/>
  <c r="N93" i="4"/>
  <c r="J94" i="4"/>
  <c r="F95" i="4"/>
  <c r="J96" i="4"/>
  <c r="F97" i="4"/>
  <c r="N97" i="4"/>
  <c r="J98" i="4"/>
  <c r="F99" i="4"/>
  <c r="J100" i="4"/>
  <c r="F101" i="4"/>
  <c r="J102" i="4"/>
  <c r="F103" i="4"/>
  <c r="J104" i="4"/>
  <c r="F105" i="4"/>
  <c r="J106" i="4"/>
  <c r="F107" i="4"/>
  <c r="J108" i="4"/>
  <c r="F109" i="4"/>
  <c r="N109" i="4"/>
  <c r="J110" i="4"/>
  <c r="F111" i="4"/>
  <c r="J112" i="4"/>
  <c r="F113" i="4"/>
  <c r="J114" i="4"/>
  <c r="F115" i="4"/>
  <c r="J116" i="4"/>
  <c r="F117" i="4"/>
  <c r="J118" i="4"/>
  <c r="F119" i="4"/>
  <c r="J120" i="4"/>
  <c r="F121" i="4"/>
  <c r="J122" i="4"/>
  <c r="F123" i="4"/>
  <c r="J124" i="4"/>
  <c r="F125" i="4"/>
  <c r="J126" i="4"/>
  <c r="F127" i="4"/>
  <c r="J128" i="4"/>
  <c r="F129" i="4"/>
  <c r="J130" i="4"/>
  <c r="F131" i="4"/>
  <c r="J132" i="4"/>
  <c r="F133" i="4"/>
  <c r="J134" i="4"/>
  <c r="F135" i="4"/>
  <c r="J136" i="4"/>
  <c r="F137" i="4"/>
  <c r="J138" i="4"/>
  <c r="F139" i="4"/>
  <c r="J140" i="4"/>
  <c r="F141" i="4"/>
  <c r="J142" i="4"/>
  <c r="F143" i="4"/>
  <c r="J144" i="4"/>
  <c r="F145" i="4"/>
  <c r="H147" i="4"/>
  <c r="L148" i="4"/>
  <c r="N150" i="4"/>
  <c r="H151" i="4"/>
  <c r="L154" i="4"/>
  <c r="H156" i="4"/>
  <c r="G158" i="4"/>
  <c r="M158" i="4" s="1"/>
  <c r="N160" i="4"/>
  <c r="L161" i="4"/>
  <c r="K163" i="4"/>
  <c r="H165" i="4"/>
  <c r="O167" i="4"/>
  <c r="N167" i="4"/>
  <c r="M167" i="4"/>
  <c r="O168" i="4"/>
  <c r="L170" i="4"/>
  <c r="H172" i="4"/>
  <c r="G174" i="4"/>
  <c r="M174" i="4" s="1"/>
  <c r="L177" i="4"/>
  <c r="K179" i="4"/>
  <c r="H181" i="4"/>
  <c r="O183" i="4"/>
  <c r="N183" i="4"/>
  <c r="M183" i="4"/>
  <c r="O184" i="4"/>
  <c r="L186" i="4"/>
  <c r="H188" i="4"/>
  <c r="G190" i="4"/>
  <c r="M190" i="4" s="1"/>
  <c r="N192" i="4"/>
  <c r="L193" i="4"/>
  <c r="K195" i="4"/>
  <c r="H197" i="4"/>
  <c r="O199" i="4"/>
  <c r="M199" i="4"/>
  <c r="O200" i="4"/>
  <c r="L202" i="4"/>
  <c r="H204" i="4"/>
  <c r="G206" i="4"/>
  <c r="M206" i="4" s="1"/>
  <c r="G208" i="4"/>
  <c r="M208" i="4" s="1"/>
  <c r="G214" i="4"/>
  <c r="K217" i="4"/>
  <c r="N224" i="4"/>
  <c r="G230" i="4"/>
  <c r="K233" i="4"/>
  <c r="N240" i="4"/>
  <c r="G246" i="4"/>
  <c r="K249" i="4"/>
  <c r="N256" i="4"/>
  <c r="G262" i="4"/>
  <c r="K265" i="4"/>
  <c r="N272" i="4"/>
  <c r="G278" i="4"/>
  <c r="K281" i="4"/>
  <c r="N288" i="4"/>
  <c r="G294" i="4"/>
  <c r="K297" i="4"/>
  <c r="N304" i="4"/>
  <c r="G310" i="4"/>
  <c r="K313" i="4"/>
  <c r="G324" i="4"/>
  <c r="K333" i="4"/>
  <c r="G356" i="4"/>
  <c r="N416" i="4"/>
  <c r="G481" i="4"/>
  <c r="N152" i="4"/>
  <c r="M152" i="4"/>
  <c r="O159" i="4"/>
  <c r="M159" i="4"/>
  <c r="O176" i="4"/>
  <c r="L11" i="4"/>
  <c r="E17" i="4"/>
  <c r="E25" i="4"/>
  <c r="F11" i="4"/>
  <c r="K12" i="4"/>
  <c r="G13" i="4"/>
  <c r="K14" i="4"/>
  <c r="G15" i="4"/>
  <c r="K16" i="4"/>
  <c r="G17" i="4"/>
  <c r="K18" i="4"/>
  <c r="G19" i="4"/>
  <c r="K20" i="4"/>
  <c r="G21" i="4"/>
  <c r="K22" i="4"/>
  <c r="G23" i="4"/>
  <c r="K24" i="4"/>
  <c r="G25" i="4"/>
  <c r="K26" i="4"/>
  <c r="G27" i="4"/>
  <c r="K28" i="4"/>
  <c r="G29" i="4"/>
  <c r="K30" i="4"/>
  <c r="G31" i="4"/>
  <c r="K32" i="4"/>
  <c r="G33" i="4"/>
  <c r="K34" i="4"/>
  <c r="G35" i="4"/>
  <c r="K36" i="4"/>
  <c r="G37" i="4"/>
  <c r="K38" i="4"/>
  <c r="G39" i="4"/>
  <c r="K40" i="4"/>
  <c r="G41" i="4"/>
  <c r="K42" i="4"/>
  <c r="G43" i="4"/>
  <c r="K44" i="4"/>
  <c r="G45" i="4"/>
  <c r="K46" i="4"/>
  <c r="G47" i="4"/>
  <c r="K48" i="4"/>
  <c r="G49" i="4"/>
  <c r="K50" i="4"/>
  <c r="G51" i="4"/>
  <c r="K52" i="4"/>
  <c r="G53" i="4"/>
  <c r="K54" i="4"/>
  <c r="G55" i="4"/>
  <c r="K56" i="4"/>
  <c r="G57" i="4"/>
  <c r="K58" i="4"/>
  <c r="G59" i="4"/>
  <c r="K60" i="4"/>
  <c r="G61" i="4"/>
  <c r="K62" i="4"/>
  <c r="G63" i="4"/>
  <c r="K64" i="4"/>
  <c r="G65" i="4"/>
  <c r="K66" i="4"/>
  <c r="G67" i="4"/>
  <c r="K68" i="4"/>
  <c r="G69" i="4"/>
  <c r="K70" i="4"/>
  <c r="G71" i="4"/>
  <c r="K72" i="4"/>
  <c r="G73" i="4"/>
  <c r="K74" i="4"/>
  <c r="G75" i="4"/>
  <c r="K76" i="4"/>
  <c r="G77" i="4"/>
  <c r="K78" i="4"/>
  <c r="G79" i="4"/>
  <c r="K80" i="4"/>
  <c r="G81" i="4"/>
  <c r="K82" i="4"/>
  <c r="G83" i="4"/>
  <c r="K84" i="4"/>
  <c r="G85" i="4"/>
  <c r="K86" i="4"/>
  <c r="G87" i="4"/>
  <c r="K88" i="4"/>
  <c r="G89" i="4"/>
  <c r="K90" i="4"/>
  <c r="G91" i="4"/>
  <c r="K92" i="4"/>
  <c r="G93" i="4"/>
  <c r="K94" i="4"/>
  <c r="G95" i="4"/>
  <c r="K96" i="4"/>
  <c r="G97" i="4"/>
  <c r="K98" i="4"/>
  <c r="G99" i="4"/>
  <c r="K100" i="4"/>
  <c r="G101" i="4"/>
  <c r="K102" i="4"/>
  <c r="G103" i="4"/>
  <c r="K104" i="4"/>
  <c r="G105" i="4"/>
  <c r="K106" i="4"/>
  <c r="G107" i="4"/>
  <c r="K108" i="4"/>
  <c r="G109" i="4"/>
  <c r="K110" i="4"/>
  <c r="G111" i="4"/>
  <c r="K112" i="4"/>
  <c r="G113" i="4"/>
  <c r="K114" i="4"/>
  <c r="G115" i="4"/>
  <c r="K116" i="4"/>
  <c r="G117" i="4"/>
  <c r="K118" i="4"/>
  <c r="G119" i="4"/>
  <c r="K120" i="4"/>
  <c r="G121" i="4"/>
  <c r="K122" i="4"/>
  <c r="G123" i="4"/>
  <c r="K124" i="4"/>
  <c r="G125" i="4"/>
  <c r="K126" i="4"/>
  <c r="G127" i="4"/>
  <c r="K128" i="4"/>
  <c r="G129" i="4"/>
  <c r="K130" i="4"/>
  <c r="G131" i="4"/>
  <c r="K132" i="4"/>
  <c r="G133" i="4"/>
  <c r="K134" i="4"/>
  <c r="G135" i="4"/>
  <c r="K136" i="4"/>
  <c r="G137" i="4"/>
  <c r="K138" i="4"/>
  <c r="G139" i="4"/>
  <c r="K140" i="4"/>
  <c r="G141" i="4"/>
  <c r="K142" i="4"/>
  <c r="G143" i="4"/>
  <c r="K144" i="4"/>
  <c r="G145" i="4"/>
  <c r="E146" i="4"/>
  <c r="M146" i="4" s="1"/>
  <c r="M148" i="4"/>
  <c r="E150" i="4"/>
  <c r="M150" i="4" s="1"/>
  <c r="O153" i="4"/>
  <c r="M153" i="4"/>
  <c r="O154" i="4"/>
  <c r="L156" i="4"/>
  <c r="H158" i="4"/>
  <c r="G160" i="4"/>
  <c r="M160" i="4" s="1"/>
  <c r="N162" i="4"/>
  <c r="L163" i="4"/>
  <c r="K165" i="4"/>
  <c r="H167" i="4"/>
  <c r="O169" i="4"/>
  <c r="M169" i="4"/>
  <c r="O170" i="4"/>
  <c r="L172" i="4"/>
  <c r="H174" i="4"/>
  <c r="G176" i="4"/>
  <c r="M176" i="4" s="1"/>
  <c r="L179" i="4"/>
  <c r="N179" i="4" s="1"/>
  <c r="K181" i="4"/>
  <c r="H183" i="4"/>
  <c r="O185" i="4"/>
  <c r="M185" i="4"/>
  <c r="O186" i="4"/>
  <c r="L188" i="4"/>
  <c r="N188" i="4" s="1"/>
  <c r="H190" i="4"/>
  <c r="G192" i="4"/>
  <c r="M192" i="4" s="1"/>
  <c r="L195" i="4"/>
  <c r="K197" i="4"/>
  <c r="H199" i="4"/>
  <c r="O201" i="4"/>
  <c r="M201" i="4"/>
  <c r="O202" i="4"/>
  <c r="L204" i="4"/>
  <c r="H206" i="4"/>
  <c r="L208" i="4"/>
  <c r="N208" i="4" s="1"/>
  <c r="K211" i="4"/>
  <c r="N218" i="4"/>
  <c r="G224" i="4"/>
  <c r="K227" i="4"/>
  <c r="N234" i="4"/>
  <c r="G240" i="4"/>
  <c r="K243" i="4"/>
  <c r="N250" i="4"/>
  <c r="G256" i="4"/>
  <c r="K259" i="4"/>
  <c r="N266" i="4"/>
  <c r="G272" i="4"/>
  <c r="K275" i="4"/>
  <c r="N282" i="4"/>
  <c r="G288" i="4"/>
  <c r="K291" i="4"/>
  <c r="N298" i="4"/>
  <c r="G304" i="4"/>
  <c r="K307" i="4"/>
  <c r="N314" i="4"/>
  <c r="H320" i="4"/>
  <c r="K329" i="4"/>
  <c r="G352" i="4"/>
  <c r="G362" i="4"/>
  <c r="M367" i="4"/>
  <c r="H367" i="4"/>
  <c r="O367" i="4"/>
  <c r="O368" i="4"/>
  <c r="G387" i="4"/>
  <c r="K406" i="4"/>
  <c r="G451" i="4"/>
  <c r="G489" i="4"/>
  <c r="E508" i="4"/>
  <c r="M508" i="4" s="1"/>
  <c r="H13" i="4"/>
  <c r="H15" i="4"/>
  <c r="L18" i="4"/>
  <c r="H19" i="4"/>
  <c r="L20" i="4"/>
  <c r="H21" i="4"/>
  <c r="L22" i="4"/>
  <c r="H25" i="4"/>
  <c r="L26" i="4"/>
  <c r="H27" i="4"/>
  <c r="L28" i="4"/>
  <c r="H31" i="4"/>
  <c r="L32" i="4"/>
  <c r="H33" i="4"/>
  <c r="L34" i="4"/>
  <c r="H35" i="4"/>
  <c r="L36" i="4"/>
  <c r="H37" i="4"/>
  <c r="L38" i="4"/>
  <c r="H41" i="4"/>
  <c r="L42" i="4"/>
  <c r="L44" i="4"/>
  <c r="H45" i="4"/>
  <c r="L46" i="4"/>
  <c r="H47" i="4"/>
  <c r="L48" i="4"/>
  <c r="H49" i="4"/>
  <c r="L50" i="4"/>
  <c r="H51" i="4"/>
  <c r="L52" i="4"/>
  <c r="H55" i="4"/>
  <c r="L56" i="4"/>
  <c r="H57" i="4"/>
  <c r="L58" i="4"/>
  <c r="H59" i="4"/>
  <c r="L60" i="4"/>
  <c r="H63" i="4"/>
  <c r="L64" i="4"/>
  <c r="H67" i="4"/>
  <c r="L68" i="4"/>
  <c r="H71" i="4"/>
  <c r="L72" i="4"/>
  <c r="H73" i="4"/>
  <c r="L74" i="4"/>
  <c r="H75" i="4"/>
  <c r="L76" i="4"/>
  <c r="H79" i="4"/>
  <c r="L80" i="4"/>
  <c r="H81" i="4"/>
  <c r="L82" i="4"/>
  <c r="L84" i="4"/>
  <c r="H85" i="4"/>
  <c r="L86" i="4"/>
  <c r="H87" i="4"/>
  <c r="L88" i="4"/>
  <c r="H89" i="4"/>
  <c r="L90" i="4"/>
  <c r="H91" i="4"/>
  <c r="L92" i="4"/>
  <c r="H93" i="4"/>
  <c r="L94" i="4"/>
  <c r="H95" i="4"/>
  <c r="L96" i="4"/>
  <c r="H97" i="4"/>
  <c r="L98" i="4"/>
  <c r="H99" i="4"/>
  <c r="L100" i="4"/>
  <c r="H101" i="4"/>
  <c r="L102" i="4"/>
  <c r="H103" i="4"/>
  <c r="L104" i="4"/>
  <c r="H105" i="4"/>
  <c r="L106" i="4"/>
  <c r="H107" i="4"/>
  <c r="L108" i="4"/>
  <c r="H109" i="4"/>
  <c r="L110" i="4"/>
  <c r="H111" i="4"/>
  <c r="L112" i="4"/>
  <c r="H113" i="4"/>
  <c r="L114" i="4"/>
  <c r="H115" i="4"/>
  <c r="L116" i="4"/>
  <c r="H117" i="4"/>
  <c r="L118" i="4"/>
  <c r="H119" i="4"/>
  <c r="L120" i="4"/>
  <c r="H121" i="4"/>
  <c r="L122" i="4"/>
  <c r="H123" i="4"/>
  <c r="L124" i="4"/>
  <c r="H125" i="4"/>
  <c r="L126" i="4"/>
  <c r="H127" i="4"/>
  <c r="L128" i="4"/>
  <c r="H129" i="4"/>
  <c r="L130" i="4"/>
  <c r="H131" i="4"/>
  <c r="L132" i="4"/>
  <c r="H133" i="4"/>
  <c r="L134" i="4"/>
  <c r="H135" i="4"/>
  <c r="L136" i="4"/>
  <c r="H137" i="4"/>
  <c r="L138" i="4"/>
  <c r="H139" i="4"/>
  <c r="L140" i="4"/>
  <c r="H141" i="4"/>
  <c r="L142" i="4"/>
  <c r="H143" i="4"/>
  <c r="L144" i="4"/>
  <c r="H145" i="4"/>
  <c r="G146" i="4"/>
  <c r="K147" i="4"/>
  <c r="O148" i="4"/>
  <c r="G150" i="4"/>
  <c r="K151" i="4"/>
  <c r="H153" i="4"/>
  <c r="O155" i="4"/>
  <c r="N155" i="4"/>
  <c r="M155" i="4"/>
  <c r="O156" i="4"/>
  <c r="L158" i="4"/>
  <c r="N158" i="4" s="1"/>
  <c r="H160" i="4"/>
  <c r="G162" i="4"/>
  <c r="M162" i="4" s="1"/>
  <c r="M164" i="4"/>
  <c r="L165" i="4"/>
  <c r="N165" i="4" s="1"/>
  <c r="K167" i="4"/>
  <c r="H169" i="4"/>
  <c r="O171" i="4"/>
  <c r="M171" i="4"/>
  <c r="O172" i="4"/>
  <c r="L174" i="4"/>
  <c r="N174" i="4" s="1"/>
  <c r="H176" i="4"/>
  <c r="G178" i="4"/>
  <c r="M178" i="4" s="1"/>
  <c r="M180" i="4"/>
  <c r="L181" i="4"/>
  <c r="N181" i="4" s="1"/>
  <c r="K183" i="4"/>
  <c r="H185" i="4"/>
  <c r="O187" i="4"/>
  <c r="N187" i="4"/>
  <c r="M187" i="4"/>
  <c r="O188" i="4"/>
  <c r="L190" i="4"/>
  <c r="N190" i="4" s="1"/>
  <c r="H192" i="4"/>
  <c r="G194" i="4"/>
  <c r="M194" i="4" s="1"/>
  <c r="M196" i="4"/>
  <c r="L197" i="4"/>
  <c r="N197" i="4" s="1"/>
  <c r="K199" i="4"/>
  <c r="H201" i="4"/>
  <c r="O203" i="4"/>
  <c r="M203" i="4"/>
  <c r="O204" i="4"/>
  <c r="L206" i="4"/>
  <c r="N206" i="4" s="1"/>
  <c r="O208" i="4"/>
  <c r="N212" i="4"/>
  <c r="G218" i="4"/>
  <c r="K221" i="4"/>
  <c r="G234" i="4"/>
  <c r="K237" i="4"/>
  <c r="G250" i="4"/>
  <c r="K253" i="4"/>
  <c r="G266" i="4"/>
  <c r="K269" i="4"/>
  <c r="G282" i="4"/>
  <c r="K285" i="4"/>
  <c r="N292" i="4"/>
  <c r="G298" i="4"/>
  <c r="K301" i="4"/>
  <c r="G314" i="4"/>
  <c r="K317" i="4"/>
  <c r="K325" i="4"/>
  <c r="G348" i="4"/>
  <c r="K357" i="4"/>
  <c r="N432" i="4"/>
  <c r="G497" i="4"/>
  <c r="E535" i="4"/>
  <c r="M535" i="4" s="1"/>
  <c r="H210" i="4"/>
  <c r="H212" i="4"/>
  <c r="H214" i="4"/>
  <c r="H216" i="4"/>
  <c r="H218" i="4"/>
  <c r="H220" i="4"/>
  <c r="H222" i="4"/>
  <c r="H224" i="4"/>
  <c r="H226" i="4"/>
  <c r="H228" i="4"/>
  <c r="H230" i="4"/>
  <c r="H232" i="4"/>
  <c r="H234" i="4"/>
  <c r="H236" i="4"/>
  <c r="H238" i="4"/>
  <c r="H240" i="4"/>
  <c r="H242" i="4"/>
  <c r="H244" i="4"/>
  <c r="H246" i="4"/>
  <c r="H248" i="4"/>
  <c r="H250" i="4"/>
  <c r="H252" i="4"/>
  <c r="H254" i="4"/>
  <c r="H256" i="4"/>
  <c r="H258" i="4"/>
  <c r="H260" i="4"/>
  <c r="H262" i="4"/>
  <c r="H264" i="4"/>
  <c r="H266" i="4"/>
  <c r="H268" i="4"/>
  <c r="H270" i="4"/>
  <c r="H272" i="4"/>
  <c r="H274" i="4"/>
  <c r="H276" i="4"/>
  <c r="H278" i="4"/>
  <c r="H280" i="4"/>
  <c r="H282" i="4"/>
  <c r="H284" i="4"/>
  <c r="H286" i="4"/>
  <c r="H288" i="4"/>
  <c r="H290" i="4"/>
  <c r="H292" i="4"/>
  <c r="H294" i="4"/>
  <c r="H296" i="4"/>
  <c r="H298" i="4"/>
  <c r="H300" i="4"/>
  <c r="H302" i="4"/>
  <c r="H304" i="4"/>
  <c r="H306" i="4"/>
  <c r="H308" i="4"/>
  <c r="H310" i="4"/>
  <c r="H312" i="4"/>
  <c r="H314" i="4"/>
  <c r="H316" i="4"/>
  <c r="H318" i="4"/>
  <c r="M323" i="4"/>
  <c r="N327" i="4"/>
  <c r="M327" i="4"/>
  <c r="M331" i="4"/>
  <c r="N335" i="4"/>
  <c r="M335" i="4"/>
  <c r="M339" i="4"/>
  <c r="N343" i="4"/>
  <c r="M343" i="4"/>
  <c r="M347" i="4"/>
  <c r="N351" i="4"/>
  <c r="M351" i="4"/>
  <c r="M355" i="4"/>
  <c r="N375" i="4"/>
  <c r="N378" i="4"/>
  <c r="N391" i="4"/>
  <c r="N407" i="4"/>
  <c r="N423" i="4"/>
  <c r="N439" i="4"/>
  <c r="N442" i="4"/>
  <c r="N455" i="4"/>
  <c r="N463" i="4"/>
  <c r="N471" i="4"/>
  <c r="N479" i="4"/>
  <c r="N487" i="4"/>
  <c r="N495" i="4"/>
  <c r="N503" i="4"/>
  <c r="H509" i="4"/>
  <c r="M531" i="4"/>
  <c r="N544" i="4"/>
  <c r="N560" i="4"/>
  <c r="N576" i="4"/>
  <c r="M207" i="4"/>
  <c r="M209" i="4"/>
  <c r="M211" i="4"/>
  <c r="M213" i="4"/>
  <c r="M215" i="4"/>
  <c r="M217" i="4"/>
  <c r="M219" i="4"/>
  <c r="M221" i="4"/>
  <c r="M223" i="4"/>
  <c r="M225" i="4"/>
  <c r="M227" i="4"/>
  <c r="M229" i="4"/>
  <c r="M231" i="4"/>
  <c r="M233" i="4"/>
  <c r="M235" i="4"/>
  <c r="M237" i="4"/>
  <c r="M239" i="4"/>
  <c r="M241" i="4"/>
  <c r="M243" i="4"/>
  <c r="M245" i="4"/>
  <c r="M247" i="4"/>
  <c r="M249" i="4"/>
  <c r="M251" i="4"/>
  <c r="M253" i="4"/>
  <c r="M255" i="4"/>
  <c r="M257" i="4"/>
  <c r="M259" i="4"/>
  <c r="M261" i="4"/>
  <c r="M263" i="4"/>
  <c r="M265" i="4"/>
  <c r="M267" i="4"/>
  <c r="M269" i="4"/>
  <c r="M271" i="4"/>
  <c r="M273" i="4"/>
  <c r="M275" i="4"/>
  <c r="M277" i="4"/>
  <c r="M279" i="4"/>
  <c r="M281" i="4"/>
  <c r="M283" i="4"/>
  <c r="M285" i="4"/>
  <c r="M287" i="4"/>
  <c r="M289" i="4"/>
  <c r="M291" i="4"/>
  <c r="M293" i="4"/>
  <c r="M295" i="4"/>
  <c r="M297" i="4"/>
  <c r="M299" i="4"/>
  <c r="M301" i="4"/>
  <c r="M303" i="4"/>
  <c r="M305" i="4"/>
  <c r="M307" i="4"/>
  <c r="M309" i="4"/>
  <c r="M311" i="4"/>
  <c r="M313" i="4"/>
  <c r="M315" i="4"/>
  <c r="M317" i="4"/>
  <c r="M319" i="4"/>
  <c r="N361" i="4"/>
  <c r="M361" i="4"/>
  <c r="H361" i="4"/>
  <c r="N369" i="4"/>
  <c r="M369" i="4"/>
  <c r="H369" i="4"/>
  <c r="N417" i="4"/>
  <c r="N420" i="4"/>
  <c r="N466" i="4"/>
  <c r="N474" i="4"/>
  <c r="M517" i="4"/>
  <c r="N213" i="4"/>
  <c r="N215" i="4"/>
  <c r="N221" i="4"/>
  <c r="N229" i="4"/>
  <c r="N231" i="4"/>
  <c r="N237" i="4"/>
  <c r="N245" i="4"/>
  <c r="N247" i="4"/>
  <c r="N253" i="4"/>
  <c r="N261" i="4"/>
  <c r="N263" i="4"/>
  <c r="N269" i="4"/>
  <c r="N277" i="4"/>
  <c r="N279" i="4"/>
  <c r="N285" i="4"/>
  <c r="N293" i="4"/>
  <c r="N295" i="4"/>
  <c r="N301" i="4"/>
  <c r="N309" i="4"/>
  <c r="M322" i="4"/>
  <c r="N326" i="4"/>
  <c r="M326" i="4"/>
  <c r="M330" i="4"/>
  <c r="M334" i="4"/>
  <c r="N338" i="4"/>
  <c r="M338" i="4"/>
  <c r="N342" i="4"/>
  <c r="M342" i="4"/>
  <c r="N346" i="4"/>
  <c r="M346" i="4"/>
  <c r="M350" i="4"/>
  <c r="H351" i="4"/>
  <c r="M354" i="4"/>
  <c r="H355" i="4"/>
  <c r="O362" i="4"/>
  <c r="O370" i="4"/>
  <c r="N382" i="4"/>
  <c r="N398" i="4"/>
  <c r="N446" i="4"/>
  <c r="N461" i="4"/>
  <c r="N469" i="4"/>
  <c r="O522" i="4"/>
  <c r="M522" i="4"/>
  <c r="H522" i="4"/>
  <c r="M363" i="4"/>
  <c r="H363" i="4"/>
  <c r="M371" i="4"/>
  <c r="O372" i="4"/>
  <c r="H371" i="4"/>
  <c r="N373" i="4"/>
  <c r="N421" i="4"/>
  <c r="N424" i="4"/>
  <c r="N437" i="4"/>
  <c r="N464" i="4"/>
  <c r="N480" i="4"/>
  <c r="O523" i="4"/>
  <c r="N523" i="4"/>
  <c r="M523" i="4"/>
  <c r="O524" i="4"/>
  <c r="H523" i="4"/>
  <c r="H541" i="4"/>
  <c r="H557" i="4"/>
  <c r="H573" i="4"/>
  <c r="H591" i="4"/>
  <c r="N320" i="4"/>
  <c r="M320" i="4"/>
  <c r="N321" i="4"/>
  <c r="M321" i="4"/>
  <c r="M325" i="4"/>
  <c r="M329" i="4"/>
  <c r="N333" i="4"/>
  <c r="M333" i="4"/>
  <c r="N337" i="4"/>
  <c r="M337" i="4"/>
  <c r="M341" i="4"/>
  <c r="M345" i="4"/>
  <c r="N349" i="4"/>
  <c r="M349" i="4"/>
  <c r="N353" i="4"/>
  <c r="M353" i="4"/>
  <c r="M357" i="4"/>
  <c r="N368" i="4"/>
  <c r="N383" i="4"/>
  <c r="N386" i="4"/>
  <c r="N399" i="4"/>
  <c r="N402" i="4"/>
  <c r="N415" i="4"/>
  <c r="N418" i="4"/>
  <c r="N431" i="4"/>
  <c r="N434" i="4"/>
  <c r="N447" i="4"/>
  <c r="N450" i="4"/>
  <c r="H507" i="4"/>
  <c r="M210" i="4"/>
  <c r="M212" i="4"/>
  <c r="M214" i="4"/>
  <c r="M216" i="4"/>
  <c r="M218" i="4"/>
  <c r="M220" i="4"/>
  <c r="M222" i="4"/>
  <c r="M224" i="4"/>
  <c r="M226" i="4"/>
  <c r="M228" i="4"/>
  <c r="M230" i="4"/>
  <c r="M232" i="4"/>
  <c r="M234" i="4"/>
  <c r="M236" i="4"/>
  <c r="M238" i="4"/>
  <c r="M240" i="4"/>
  <c r="M242" i="4"/>
  <c r="M244" i="4"/>
  <c r="M246" i="4"/>
  <c r="M248" i="4"/>
  <c r="M250" i="4"/>
  <c r="M252" i="4"/>
  <c r="M254" i="4"/>
  <c r="M256" i="4"/>
  <c r="M258" i="4"/>
  <c r="M260" i="4"/>
  <c r="M262" i="4"/>
  <c r="M264" i="4"/>
  <c r="M266" i="4"/>
  <c r="M268" i="4"/>
  <c r="M270" i="4"/>
  <c r="M272" i="4"/>
  <c r="M274" i="4"/>
  <c r="M276" i="4"/>
  <c r="M278" i="4"/>
  <c r="M280" i="4"/>
  <c r="M282" i="4"/>
  <c r="M284" i="4"/>
  <c r="M286" i="4"/>
  <c r="M288" i="4"/>
  <c r="M290" i="4"/>
  <c r="M292" i="4"/>
  <c r="M294" i="4"/>
  <c r="M296" i="4"/>
  <c r="M298" i="4"/>
  <c r="M300" i="4"/>
  <c r="M302" i="4"/>
  <c r="M304" i="4"/>
  <c r="M306" i="4"/>
  <c r="M308" i="4"/>
  <c r="M310" i="4"/>
  <c r="M312" i="4"/>
  <c r="M314" i="4"/>
  <c r="M316" i="4"/>
  <c r="M318" i="4"/>
  <c r="O323" i="4"/>
  <c r="O327" i="4"/>
  <c r="O331" i="4"/>
  <c r="O335" i="4"/>
  <c r="O339" i="4"/>
  <c r="O343" i="4"/>
  <c r="O347" i="4"/>
  <c r="O351" i="4"/>
  <c r="O355" i="4"/>
  <c r="O361" i="4"/>
  <c r="M365" i="4"/>
  <c r="H365" i="4"/>
  <c r="O369" i="4"/>
  <c r="N393" i="4"/>
  <c r="N462" i="4"/>
  <c r="M515" i="4"/>
  <c r="H529" i="4"/>
  <c r="O529" i="4"/>
  <c r="N529" i="4"/>
  <c r="M529" i="4"/>
  <c r="O530" i="4"/>
  <c r="H321" i="4"/>
  <c r="M324" i="4"/>
  <c r="H325" i="4"/>
  <c r="M328" i="4"/>
  <c r="H329" i="4"/>
  <c r="M332" i="4"/>
  <c r="H333" i="4"/>
  <c r="N336" i="4"/>
  <c r="M336" i="4"/>
  <c r="H337" i="4"/>
  <c r="M340" i="4"/>
  <c r="H341" i="4"/>
  <c r="M344" i="4"/>
  <c r="H345" i="4"/>
  <c r="M348" i="4"/>
  <c r="H349" i="4"/>
  <c r="N352" i="4"/>
  <c r="M352" i="4"/>
  <c r="H353" i="4"/>
  <c r="M356" i="4"/>
  <c r="H357" i="4"/>
  <c r="O358" i="4"/>
  <c r="N362" i="4"/>
  <c r="O366" i="4"/>
  <c r="N370" i="4"/>
  <c r="N422" i="4"/>
  <c r="N473" i="4"/>
  <c r="N481" i="4"/>
  <c r="M512" i="4"/>
  <c r="M525" i="4"/>
  <c r="H373" i="4"/>
  <c r="H375" i="4"/>
  <c r="H377" i="4"/>
  <c r="H379" i="4"/>
  <c r="H381" i="4"/>
  <c r="H383" i="4"/>
  <c r="H385" i="4"/>
  <c r="H387" i="4"/>
  <c r="H389" i="4"/>
  <c r="H391" i="4"/>
  <c r="H393" i="4"/>
  <c r="H395" i="4"/>
  <c r="H397" i="4"/>
  <c r="H399" i="4"/>
  <c r="H401" i="4"/>
  <c r="H403" i="4"/>
  <c r="H405" i="4"/>
  <c r="H407" i="4"/>
  <c r="H409" i="4"/>
  <c r="H411" i="4"/>
  <c r="H413" i="4"/>
  <c r="H415" i="4"/>
  <c r="H417" i="4"/>
  <c r="H419" i="4"/>
  <c r="H421" i="4"/>
  <c r="H423" i="4"/>
  <c r="H425" i="4"/>
  <c r="H427" i="4"/>
  <c r="H429" i="4"/>
  <c r="H431" i="4"/>
  <c r="H433" i="4"/>
  <c r="H435" i="4"/>
  <c r="H437" i="4"/>
  <c r="H439" i="4"/>
  <c r="H441" i="4"/>
  <c r="H443" i="4"/>
  <c r="H445" i="4"/>
  <c r="H447" i="4"/>
  <c r="H449" i="4"/>
  <c r="H451" i="4"/>
  <c r="H453" i="4"/>
  <c r="H455" i="4"/>
  <c r="H457" i="4"/>
  <c r="H459" i="4"/>
  <c r="H461" i="4"/>
  <c r="H463" i="4"/>
  <c r="H465" i="4"/>
  <c r="H467" i="4"/>
  <c r="H469" i="4"/>
  <c r="H471" i="4"/>
  <c r="H473" i="4"/>
  <c r="H475" i="4"/>
  <c r="H477" i="4"/>
  <c r="H479" i="4"/>
  <c r="H481" i="4"/>
  <c r="H483" i="4"/>
  <c r="H485" i="4"/>
  <c r="H487" i="4"/>
  <c r="H489" i="4"/>
  <c r="H491" i="4"/>
  <c r="H493" i="4"/>
  <c r="H495" i="4"/>
  <c r="H497" i="4"/>
  <c r="H499" i="4"/>
  <c r="H501" i="4"/>
  <c r="H503" i="4"/>
  <c r="H505" i="4"/>
  <c r="H510" i="4"/>
  <c r="M516" i="4"/>
  <c r="N520" i="4"/>
  <c r="O521" i="4"/>
  <c r="N521" i="4"/>
  <c r="N528" i="4"/>
  <c r="O532" i="4"/>
  <c r="H547" i="4"/>
  <c r="H563" i="4"/>
  <c r="H579" i="4"/>
  <c r="N582" i="4"/>
  <c r="H585" i="4"/>
  <c r="N598" i="4"/>
  <c r="H601" i="4"/>
  <c r="M358" i="4"/>
  <c r="M360" i="4"/>
  <c r="M362" i="4"/>
  <c r="M364" i="4"/>
  <c r="M366" i="4"/>
  <c r="M368" i="4"/>
  <c r="M370" i="4"/>
  <c r="M372" i="4"/>
  <c r="M374" i="4"/>
  <c r="M376" i="4"/>
  <c r="M378" i="4"/>
  <c r="M380" i="4"/>
  <c r="M382" i="4"/>
  <c r="M384" i="4"/>
  <c r="M386" i="4"/>
  <c r="M388" i="4"/>
  <c r="M390" i="4"/>
  <c r="M392" i="4"/>
  <c r="M394" i="4"/>
  <c r="M396" i="4"/>
  <c r="M398" i="4"/>
  <c r="M400" i="4"/>
  <c r="M402" i="4"/>
  <c r="M404" i="4"/>
  <c r="M406" i="4"/>
  <c r="M408" i="4"/>
  <c r="M410" i="4"/>
  <c r="M412" i="4"/>
  <c r="M414" i="4"/>
  <c r="M416" i="4"/>
  <c r="M418" i="4"/>
  <c r="M420" i="4"/>
  <c r="M422" i="4"/>
  <c r="M424" i="4"/>
  <c r="M426" i="4"/>
  <c r="M428" i="4"/>
  <c r="M430" i="4"/>
  <c r="M432" i="4"/>
  <c r="M434" i="4"/>
  <c r="M436" i="4"/>
  <c r="M438" i="4"/>
  <c r="M440" i="4"/>
  <c r="M442" i="4"/>
  <c r="M444" i="4"/>
  <c r="M446" i="4"/>
  <c r="M448" i="4"/>
  <c r="M450" i="4"/>
  <c r="M452" i="4"/>
  <c r="M454" i="4"/>
  <c r="M456" i="4"/>
  <c r="M458" i="4"/>
  <c r="M460" i="4"/>
  <c r="M462" i="4"/>
  <c r="M464" i="4"/>
  <c r="M466" i="4"/>
  <c r="M468" i="4"/>
  <c r="M470" i="4"/>
  <c r="M472" i="4"/>
  <c r="M474" i="4"/>
  <c r="M476" i="4"/>
  <c r="M478" i="4"/>
  <c r="M480" i="4"/>
  <c r="M514" i="4"/>
  <c r="O519" i="4"/>
  <c r="N519" i="4"/>
  <c r="O526" i="4"/>
  <c r="H533" i="4"/>
  <c r="O533" i="4"/>
  <c r="N533" i="4"/>
  <c r="H537" i="4"/>
  <c r="H553" i="4"/>
  <c r="H569" i="4"/>
  <c r="N592" i="4"/>
  <c r="H595" i="4"/>
  <c r="L14" i="5"/>
  <c r="G14" i="5"/>
  <c r="K14" i="5" s="1"/>
  <c r="G13" i="5"/>
  <c r="O517" i="4"/>
  <c r="H527" i="4"/>
  <c r="O527" i="4"/>
  <c r="N527" i="4"/>
  <c r="H543" i="4"/>
  <c r="N546" i="4"/>
  <c r="H559" i="4"/>
  <c r="N562" i="4"/>
  <c r="H575" i="4"/>
  <c r="N578" i="4"/>
  <c r="N586" i="4"/>
  <c r="H589" i="4"/>
  <c r="O374" i="4"/>
  <c r="O376" i="4"/>
  <c r="O378" i="4"/>
  <c r="O380" i="4"/>
  <c r="O382" i="4"/>
  <c r="O384" i="4"/>
  <c r="O386" i="4"/>
  <c r="O388" i="4"/>
  <c r="O390" i="4"/>
  <c r="O392" i="4"/>
  <c r="O394" i="4"/>
  <c r="O396" i="4"/>
  <c r="O398" i="4"/>
  <c r="O400" i="4"/>
  <c r="O402" i="4"/>
  <c r="O404" i="4"/>
  <c r="O406" i="4"/>
  <c r="O408" i="4"/>
  <c r="O410" i="4"/>
  <c r="O412" i="4"/>
  <c r="O414" i="4"/>
  <c r="O416" i="4"/>
  <c r="O418" i="4"/>
  <c r="O420" i="4"/>
  <c r="O422" i="4"/>
  <c r="O424" i="4"/>
  <c r="O426" i="4"/>
  <c r="O428" i="4"/>
  <c r="O430" i="4"/>
  <c r="O432" i="4"/>
  <c r="O434" i="4"/>
  <c r="O436" i="4"/>
  <c r="O438" i="4"/>
  <c r="O440" i="4"/>
  <c r="O442" i="4"/>
  <c r="O444" i="4"/>
  <c r="O446" i="4"/>
  <c r="O448" i="4"/>
  <c r="O450" i="4"/>
  <c r="O452" i="4"/>
  <c r="O454" i="4"/>
  <c r="N514" i="4"/>
  <c r="O515" i="4"/>
  <c r="N515" i="4"/>
  <c r="N526" i="4"/>
  <c r="H549" i="4"/>
  <c r="H565" i="4"/>
  <c r="H581" i="4"/>
  <c r="H599" i="4"/>
  <c r="O507" i="4"/>
  <c r="N512" i="4"/>
  <c r="O513" i="4"/>
  <c r="N513" i="4"/>
  <c r="H517" i="4"/>
  <c r="H518" i="4"/>
  <c r="H531" i="4"/>
  <c r="O531" i="4"/>
  <c r="N531" i="4"/>
  <c r="H539" i="4"/>
  <c r="H555" i="4"/>
  <c r="H571" i="4"/>
  <c r="N574" i="4"/>
  <c r="N590" i="4"/>
  <c r="H593" i="4"/>
  <c r="M373" i="4"/>
  <c r="M375" i="4"/>
  <c r="M377" i="4"/>
  <c r="M379" i="4"/>
  <c r="M381" i="4"/>
  <c r="M383" i="4"/>
  <c r="M385" i="4"/>
  <c r="M387" i="4"/>
  <c r="M389" i="4"/>
  <c r="M391" i="4"/>
  <c r="M393" i="4"/>
  <c r="M395" i="4"/>
  <c r="M397" i="4"/>
  <c r="M399" i="4"/>
  <c r="M401" i="4"/>
  <c r="M403" i="4"/>
  <c r="M405" i="4"/>
  <c r="M407" i="4"/>
  <c r="M409" i="4"/>
  <c r="M411" i="4"/>
  <c r="M413" i="4"/>
  <c r="M415" i="4"/>
  <c r="M417" i="4"/>
  <c r="M419" i="4"/>
  <c r="M421" i="4"/>
  <c r="M423" i="4"/>
  <c r="M425" i="4"/>
  <c r="M427" i="4"/>
  <c r="M429" i="4"/>
  <c r="M431" i="4"/>
  <c r="M433" i="4"/>
  <c r="M435" i="4"/>
  <c r="M437" i="4"/>
  <c r="M439" i="4"/>
  <c r="M441" i="4"/>
  <c r="M443" i="4"/>
  <c r="M445" i="4"/>
  <c r="M447" i="4"/>
  <c r="M449" i="4"/>
  <c r="M451" i="4"/>
  <c r="M453" i="4"/>
  <c r="M455" i="4"/>
  <c r="M457" i="4"/>
  <c r="M459" i="4"/>
  <c r="M461" i="4"/>
  <c r="M463" i="4"/>
  <c r="M465" i="4"/>
  <c r="M467" i="4"/>
  <c r="M469" i="4"/>
  <c r="M471" i="4"/>
  <c r="M473" i="4"/>
  <c r="M475" i="4"/>
  <c r="M477" i="4"/>
  <c r="M479" i="4"/>
  <c r="M481" i="4"/>
  <c r="M483" i="4"/>
  <c r="M485" i="4"/>
  <c r="M487" i="4"/>
  <c r="M489" i="4"/>
  <c r="M491" i="4"/>
  <c r="M493" i="4"/>
  <c r="M495" i="4"/>
  <c r="M497" i="4"/>
  <c r="M499" i="4"/>
  <c r="M501" i="4"/>
  <c r="M503" i="4"/>
  <c r="M505" i="4"/>
  <c r="M507" i="4"/>
  <c r="O508" i="4"/>
  <c r="O511" i="4"/>
  <c r="N511" i="4"/>
  <c r="H515" i="4"/>
  <c r="H516" i="4"/>
  <c r="H525" i="4"/>
  <c r="O525" i="4"/>
  <c r="N525" i="4"/>
  <c r="N530" i="4"/>
  <c r="O534" i="4"/>
  <c r="H545" i="4"/>
  <c r="H561" i="4"/>
  <c r="H577" i="4"/>
  <c r="N580" i="4"/>
  <c r="H587" i="4"/>
  <c r="O509" i="4"/>
  <c r="H513" i="4"/>
  <c r="H514" i="4"/>
  <c r="M520" i="4"/>
  <c r="M521" i="4"/>
  <c r="O528" i="4"/>
  <c r="M533" i="4"/>
  <c r="H535" i="4"/>
  <c r="H551" i="4"/>
  <c r="N554" i="4"/>
  <c r="H567" i="4"/>
  <c r="H583" i="4"/>
  <c r="N594" i="4"/>
  <c r="H597" i="4"/>
  <c r="M604" i="4"/>
  <c r="H604" i="4"/>
  <c r="O604" i="4"/>
  <c r="O603" i="4"/>
  <c r="L412" i="5"/>
  <c r="H606" i="4"/>
  <c r="M606" i="4"/>
  <c r="H608" i="4"/>
  <c r="N608" i="4"/>
  <c r="M608" i="4"/>
  <c r="H610" i="4"/>
  <c r="O610" i="4"/>
  <c r="M610" i="4"/>
  <c r="K18" i="5"/>
  <c r="H603" i="4"/>
  <c r="I611" i="5"/>
  <c r="I607" i="5"/>
  <c r="I603" i="5"/>
  <c r="I599" i="5"/>
  <c r="I610" i="5"/>
  <c r="I606" i="5"/>
  <c r="I602" i="5"/>
  <c r="I598" i="5"/>
  <c r="I594" i="5"/>
  <c r="I590" i="5"/>
  <c r="I586" i="5"/>
  <c r="I582" i="5"/>
  <c r="I578" i="5"/>
  <c r="I574" i="5"/>
  <c r="I570" i="5"/>
  <c r="I566" i="5"/>
  <c r="I562" i="5"/>
  <c r="I558" i="5"/>
  <c r="I609" i="5"/>
  <c r="I605" i="5"/>
  <c r="I601" i="5"/>
  <c r="I597" i="5"/>
  <c r="I593" i="5"/>
  <c r="I589" i="5"/>
  <c r="I585" i="5"/>
  <c r="I581" i="5"/>
  <c r="I577" i="5"/>
  <c r="I573" i="5"/>
  <c r="I569" i="5"/>
  <c r="I565" i="5"/>
  <c r="I612" i="5"/>
  <c r="I608" i="5"/>
  <c r="I604" i="5"/>
  <c r="I576" i="5"/>
  <c r="I567" i="5"/>
  <c r="I560" i="5"/>
  <c r="I554" i="5"/>
  <c r="I545" i="5"/>
  <c r="I595" i="5"/>
  <c r="I572" i="5"/>
  <c r="I563" i="5"/>
  <c r="I550" i="5"/>
  <c r="I537" i="5"/>
  <c r="I533" i="5"/>
  <c r="I529" i="5"/>
  <c r="I525" i="5"/>
  <c r="I521" i="5"/>
  <c r="I517" i="5"/>
  <c r="I513" i="5"/>
  <c r="I509" i="5"/>
  <c r="I505" i="5"/>
  <c r="I501" i="5"/>
  <c r="I497" i="5"/>
  <c r="I493" i="5"/>
  <c r="I489" i="5"/>
  <c r="I485" i="5"/>
  <c r="I481" i="5"/>
  <c r="I591" i="5"/>
  <c r="I568" i="5"/>
  <c r="I561" i="5"/>
  <c r="I546" i="5"/>
  <c r="I541" i="5"/>
  <c r="I596" i="5"/>
  <c r="I587" i="5"/>
  <c r="I564" i="5"/>
  <c r="I555" i="5"/>
  <c r="I551" i="5"/>
  <c r="I542" i="5"/>
  <c r="I540" i="5"/>
  <c r="I536" i="5"/>
  <c r="I532" i="5"/>
  <c r="I528" i="5"/>
  <c r="I524" i="5"/>
  <c r="I520" i="5"/>
  <c r="I516" i="5"/>
  <c r="I512" i="5"/>
  <c r="I508" i="5"/>
  <c r="I504" i="5"/>
  <c r="I500" i="5"/>
  <c r="I496" i="5"/>
  <c r="I492" i="5"/>
  <c r="I488" i="5"/>
  <c r="I484" i="5"/>
  <c r="I480" i="5"/>
  <c r="I476" i="5"/>
  <c r="I472" i="5"/>
  <c r="I468" i="5"/>
  <c r="I464" i="5"/>
  <c r="I460" i="5"/>
  <c r="I456" i="5"/>
  <c r="I588" i="5"/>
  <c r="I579" i="5"/>
  <c r="I556" i="5"/>
  <c r="I548" i="5"/>
  <c r="I543" i="5"/>
  <c r="I539" i="5"/>
  <c r="I535" i="5"/>
  <c r="I531" i="5"/>
  <c r="I527" i="5"/>
  <c r="I523" i="5"/>
  <c r="I519" i="5"/>
  <c r="I515" i="5"/>
  <c r="I511" i="5"/>
  <c r="I507" i="5"/>
  <c r="I503" i="5"/>
  <c r="I499" i="5"/>
  <c r="I495" i="5"/>
  <c r="I491" i="5"/>
  <c r="I487" i="5"/>
  <c r="I483" i="5"/>
  <c r="I479" i="5"/>
  <c r="I475" i="5"/>
  <c r="I471" i="5"/>
  <c r="I467" i="5"/>
  <c r="I463" i="5"/>
  <c r="I459" i="5"/>
  <c r="I455" i="5"/>
  <c r="I600" i="5"/>
  <c r="I584" i="5"/>
  <c r="I575" i="5"/>
  <c r="I559" i="5"/>
  <c r="I553" i="5"/>
  <c r="I544" i="5"/>
  <c r="I592" i="5"/>
  <c r="I583" i="5"/>
  <c r="I526" i="5"/>
  <c r="I494" i="5"/>
  <c r="I477" i="5"/>
  <c r="I458" i="5"/>
  <c r="I450" i="5"/>
  <c r="I445" i="5"/>
  <c r="I441" i="5"/>
  <c r="I437" i="5"/>
  <c r="I433" i="5"/>
  <c r="I429" i="5"/>
  <c r="I425" i="5"/>
  <c r="I421" i="5"/>
  <c r="I417" i="5"/>
  <c r="I413" i="5"/>
  <c r="I409" i="5"/>
  <c r="I405" i="5"/>
  <c r="I401" i="5"/>
  <c r="I397" i="5"/>
  <c r="I393" i="5"/>
  <c r="I389" i="5"/>
  <c r="I385" i="5"/>
  <c r="I381" i="5"/>
  <c r="I377" i="5"/>
  <c r="I373" i="5"/>
  <c r="I538" i="5"/>
  <c r="I506" i="5"/>
  <c r="I473" i="5"/>
  <c r="I454" i="5"/>
  <c r="I518" i="5"/>
  <c r="I486" i="5"/>
  <c r="I469" i="5"/>
  <c r="I451" i="5"/>
  <c r="I444" i="5"/>
  <c r="I440" i="5"/>
  <c r="I436" i="5"/>
  <c r="I432" i="5"/>
  <c r="I428" i="5"/>
  <c r="I424" i="5"/>
  <c r="I420" i="5"/>
  <c r="I416" i="5"/>
  <c r="I412" i="5"/>
  <c r="I408" i="5"/>
  <c r="I404" i="5"/>
  <c r="I400" i="5"/>
  <c r="I396" i="5"/>
  <c r="I392" i="5"/>
  <c r="I388" i="5"/>
  <c r="I384" i="5"/>
  <c r="I380" i="5"/>
  <c r="I557" i="5"/>
  <c r="I547" i="5"/>
  <c r="I530" i="5"/>
  <c r="I498" i="5"/>
  <c r="I465" i="5"/>
  <c r="I452" i="5"/>
  <c r="I510" i="5"/>
  <c r="I478" i="5"/>
  <c r="I474" i="5"/>
  <c r="I461" i="5"/>
  <c r="I443" i="5"/>
  <c r="I439" i="5"/>
  <c r="I435" i="5"/>
  <c r="I431" i="5"/>
  <c r="I427" i="5"/>
  <c r="I423" i="5"/>
  <c r="I419" i="5"/>
  <c r="I415" i="5"/>
  <c r="I411" i="5"/>
  <c r="I407" i="5"/>
  <c r="I403" i="5"/>
  <c r="I399" i="5"/>
  <c r="I395" i="5"/>
  <c r="I391" i="5"/>
  <c r="I387" i="5"/>
  <c r="I383" i="5"/>
  <c r="I379" i="5"/>
  <c r="I375" i="5"/>
  <c r="I371" i="5"/>
  <c r="I571" i="5"/>
  <c r="I522" i="5"/>
  <c r="I490" i="5"/>
  <c r="I470" i="5"/>
  <c r="I457" i="5"/>
  <c r="I580" i="5"/>
  <c r="I552" i="5"/>
  <c r="I549" i="5"/>
  <c r="I466" i="5"/>
  <c r="I434" i="5"/>
  <c r="I402" i="5"/>
  <c r="I358" i="5"/>
  <c r="I357" i="5"/>
  <c r="I353" i="5"/>
  <c r="I349" i="5"/>
  <c r="I345" i="5"/>
  <c r="I341" i="5"/>
  <c r="I337" i="5"/>
  <c r="I333" i="5"/>
  <c r="I329" i="5"/>
  <c r="I325" i="5"/>
  <c r="I321" i="5"/>
  <c r="I317" i="5"/>
  <c r="I313" i="5"/>
  <c r="I309" i="5"/>
  <c r="I305" i="5"/>
  <c r="I301" i="5"/>
  <c r="I297" i="5"/>
  <c r="I293" i="5"/>
  <c r="I289" i="5"/>
  <c r="I285" i="5"/>
  <c r="I281" i="5"/>
  <c r="I277" i="5"/>
  <c r="I273" i="5"/>
  <c r="I269" i="5"/>
  <c r="I265" i="5"/>
  <c r="I261" i="5"/>
  <c r="I257" i="5"/>
  <c r="I253" i="5"/>
  <c r="I249" i="5"/>
  <c r="I245" i="5"/>
  <c r="I462" i="5"/>
  <c r="I449" i="5"/>
  <c r="I414" i="5"/>
  <c r="I382" i="5"/>
  <c r="I360" i="5"/>
  <c r="I359" i="5"/>
  <c r="I446" i="5"/>
  <c r="I426" i="5"/>
  <c r="I394" i="5"/>
  <c r="I362" i="5"/>
  <c r="I361" i="5"/>
  <c r="I356" i="5"/>
  <c r="I352" i="5"/>
  <c r="I348" i="5"/>
  <c r="I344" i="5"/>
  <c r="I340" i="5"/>
  <c r="I336" i="5"/>
  <c r="I332" i="5"/>
  <c r="I328" i="5"/>
  <c r="I324" i="5"/>
  <c r="I320" i="5"/>
  <c r="I316" i="5"/>
  <c r="I312" i="5"/>
  <c r="I308" i="5"/>
  <c r="I304" i="5"/>
  <c r="I300" i="5"/>
  <c r="I296" i="5"/>
  <c r="I292" i="5"/>
  <c r="I288" i="5"/>
  <c r="I284" i="5"/>
  <c r="I280" i="5"/>
  <c r="I276" i="5"/>
  <c r="I272" i="5"/>
  <c r="I268" i="5"/>
  <c r="I534" i="5"/>
  <c r="I448" i="5"/>
  <c r="I438" i="5"/>
  <c r="I406" i="5"/>
  <c r="I364" i="5"/>
  <c r="I363" i="5"/>
  <c r="I514" i="5"/>
  <c r="I418" i="5"/>
  <c r="I386" i="5"/>
  <c r="I366" i="5"/>
  <c r="I365" i="5"/>
  <c r="I355" i="5"/>
  <c r="I351" i="5"/>
  <c r="I347" i="5"/>
  <c r="I343" i="5"/>
  <c r="I339" i="5"/>
  <c r="I335" i="5"/>
  <c r="I331" i="5"/>
  <c r="I327" i="5"/>
  <c r="I323" i="5"/>
  <c r="I319" i="5"/>
  <c r="I315" i="5"/>
  <c r="I311" i="5"/>
  <c r="I307" i="5"/>
  <c r="I303" i="5"/>
  <c r="I299" i="5"/>
  <c r="I295" i="5"/>
  <c r="I291" i="5"/>
  <c r="I287" i="5"/>
  <c r="I283" i="5"/>
  <c r="I279" i="5"/>
  <c r="I275" i="5"/>
  <c r="I271" i="5"/>
  <c r="I267" i="5"/>
  <c r="I263" i="5"/>
  <c r="I259" i="5"/>
  <c r="I255" i="5"/>
  <c r="I502" i="5"/>
  <c r="I430" i="5"/>
  <c r="I398" i="5"/>
  <c r="I376" i="5"/>
  <c r="I374" i="5"/>
  <c r="I368" i="5"/>
  <c r="I367" i="5"/>
  <c r="I482" i="5"/>
  <c r="I447" i="5"/>
  <c r="I442" i="5"/>
  <c r="I410" i="5"/>
  <c r="I378" i="5"/>
  <c r="I372" i="5"/>
  <c r="I369" i="5"/>
  <c r="I354" i="5"/>
  <c r="I350" i="5"/>
  <c r="I346" i="5"/>
  <c r="I342" i="5"/>
  <c r="I338" i="5"/>
  <c r="I334" i="5"/>
  <c r="I330" i="5"/>
  <c r="I326" i="5"/>
  <c r="I322" i="5"/>
  <c r="I318" i="5"/>
  <c r="I314" i="5"/>
  <c r="I310" i="5"/>
  <c r="I306" i="5"/>
  <c r="I302" i="5"/>
  <c r="I298" i="5"/>
  <c r="I294" i="5"/>
  <c r="I290" i="5"/>
  <c r="I286" i="5"/>
  <c r="I282" i="5"/>
  <c r="I278" i="5"/>
  <c r="I274" i="5"/>
  <c r="I270" i="5"/>
  <c r="I266" i="5"/>
  <c r="I262" i="5"/>
  <c r="I256" i="5"/>
  <c r="I254" i="5"/>
  <c r="I251" i="5"/>
  <c r="I241" i="5"/>
  <c r="I236" i="5"/>
  <c r="I232" i="5"/>
  <c r="I228" i="5"/>
  <c r="I224" i="5"/>
  <c r="I220" i="5"/>
  <c r="I216" i="5"/>
  <c r="I212" i="5"/>
  <c r="I208" i="5"/>
  <c r="I204" i="5"/>
  <c r="I200" i="5"/>
  <c r="I196" i="5"/>
  <c r="I192" i="5"/>
  <c r="I188" i="5"/>
  <c r="I184" i="5"/>
  <c r="I180" i="5"/>
  <c r="I176" i="5"/>
  <c r="I172" i="5"/>
  <c r="I168" i="5"/>
  <c r="I164" i="5"/>
  <c r="I160" i="5"/>
  <c r="I156" i="5"/>
  <c r="I152" i="5"/>
  <c r="I148" i="5"/>
  <c r="I144" i="5"/>
  <c r="I140" i="5"/>
  <c r="I136" i="5"/>
  <c r="I132" i="5"/>
  <c r="I128" i="5"/>
  <c r="I124" i="5"/>
  <c r="I120" i="5"/>
  <c r="I116" i="5"/>
  <c r="I112" i="5"/>
  <c r="I108" i="5"/>
  <c r="I104" i="5"/>
  <c r="I422" i="5"/>
  <c r="I242" i="5"/>
  <c r="I237" i="5"/>
  <c r="I390" i="5"/>
  <c r="I264" i="5"/>
  <c r="I252" i="5"/>
  <c r="I246" i="5"/>
  <c r="I238" i="5"/>
  <c r="I235" i="5"/>
  <c r="I231" i="5"/>
  <c r="I227" i="5"/>
  <c r="I223" i="5"/>
  <c r="I219" i="5"/>
  <c r="I215" i="5"/>
  <c r="I211" i="5"/>
  <c r="I207" i="5"/>
  <c r="I203" i="5"/>
  <c r="I199" i="5"/>
  <c r="I195" i="5"/>
  <c r="I191" i="5"/>
  <c r="I187" i="5"/>
  <c r="I183" i="5"/>
  <c r="I179" i="5"/>
  <c r="I175" i="5"/>
  <c r="I171" i="5"/>
  <c r="I167" i="5"/>
  <c r="I163" i="5"/>
  <c r="I159" i="5"/>
  <c r="I155" i="5"/>
  <c r="I151" i="5"/>
  <c r="I147" i="5"/>
  <c r="I143" i="5"/>
  <c r="I139" i="5"/>
  <c r="I135" i="5"/>
  <c r="I131" i="5"/>
  <c r="I127" i="5"/>
  <c r="I123" i="5"/>
  <c r="I453" i="5"/>
  <c r="I243" i="5"/>
  <c r="I239" i="5"/>
  <c r="I234" i="5"/>
  <c r="I230" i="5"/>
  <c r="I226" i="5"/>
  <c r="I222" i="5"/>
  <c r="I218" i="5"/>
  <c r="I214" i="5"/>
  <c r="I210" i="5"/>
  <c r="I206" i="5"/>
  <c r="I202" i="5"/>
  <c r="I198" i="5"/>
  <c r="I194" i="5"/>
  <c r="I190" i="5"/>
  <c r="I186" i="5"/>
  <c r="I182" i="5"/>
  <c r="I178" i="5"/>
  <c r="I174" i="5"/>
  <c r="I170" i="5"/>
  <c r="I166" i="5"/>
  <c r="I162" i="5"/>
  <c r="I158" i="5"/>
  <c r="I154" i="5"/>
  <c r="I150" i="5"/>
  <c r="I146" i="5"/>
  <c r="I142" i="5"/>
  <c r="I138" i="5"/>
  <c r="I134" i="5"/>
  <c r="I130" i="5"/>
  <c r="I126" i="5"/>
  <c r="I122" i="5"/>
  <c r="I118" i="5"/>
  <c r="I250" i="5"/>
  <c r="I247" i="5"/>
  <c r="I244" i="5"/>
  <c r="I240" i="5"/>
  <c r="I233" i="5"/>
  <c r="I229" i="5"/>
  <c r="I225" i="5"/>
  <c r="I221" i="5"/>
  <c r="I217" i="5"/>
  <c r="I213" i="5"/>
  <c r="I209" i="5"/>
  <c r="I205" i="5"/>
  <c r="I201" i="5"/>
  <c r="I197" i="5"/>
  <c r="I193" i="5"/>
  <c r="I189" i="5"/>
  <c r="I185" i="5"/>
  <c r="I181" i="5"/>
  <c r="I177" i="5"/>
  <c r="I173" i="5"/>
  <c r="I169" i="5"/>
  <c r="I165" i="5"/>
  <c r="I161" i="5"/>
  <c r="I157" i="5"/>
  <c r="I153" i="5"/>
  <c r="I149" i="5"/>
  <c r="I145" i="5"/>
  <c r="I141" i="5"/>
  <c r="I137" i="5"/>
  <c r="I133" i="5"/>
  <c r="I129" i="5"/>
  <c r="I125" i="5"/>
  <c r="I121" i="5"/>
  <c r="I117" i="5"/>
  <c r="I103" i="5"/>
  <c r="I99" i="5"/>
  <c r="I90" i="5"/>
  <c r="I109" i="5"/>
  <c r="I106" i="5"/>
  <c r="I95" i="5"/>
  <c r="I86" i="5"/>
  <c r="I84" i="5"/>
  <c r="I80" i="5"/>
  <c r="I76" i="5"/>
  <c r="I72" i="5"/>
  <c r="I68" i="5"/>
  <c r="I64" i="5"/>
  <c r="I60" i="5"/>
  <c r="I56" i="5"/>
  <c r="I52" i="5"/>
  <c r="I48" i="5"/>
  <c r="I44" i="5"/>
  <c r="I40" i="5"/>
  <c r="I36" i="5"/>
  <c r="I32" i="5"/>
  <c r="I28" i="5"/>
  <c r="I24" i="5"/>
  <c r="I20" i="5"/>
  <c r="I16" i="5"/>
  <c r="I115" i="5"/>
  <c r="I100" i="5"/>
  <c r="I91" i="5"/>
  <c r="I260" i="5"/>
  <c r="I119" i="5"/>
  <c r="I107" i="5"/>
  <c r="I101" i="5"/>
  <c r="I96" i="5"/>
  <c r="I87" i="5"/>
  <c r="I83" i="5"/>
  <c r="I79" i="5"/>
  <c r="I75" i="5"/>
  <c r="I71" i="5"/>
  <c r="I67" i="5"/>
  <c r="I63" i="5"/>
  <c r="I59" i="5"/>
  <c r="I55" i="5"/>
  <c r="I51" i="5"/>
  <c r="I47" i="5"/>
  <c r="I43" i="5"/>
  <c r="I39" i="5"/>
  <c r="I35" i="5"/>
  <c r="I31" i="5"/>
  <c r="I27" i="5"/>
  <c r="I23" i="5"/>
  <c r="I19" i="5"/>
  <c r="I15" i="5"/>
  <c r="J11" i="5"/>
  <c r="I370" i="5"/>
  <c r="I113" i="5"/>
  <c r="I110" i="5"/>
  <c r="I97" i="5"/>
  <c r="I92" i="5"/>
  <c r="I14" i="5"/>
  <c r="I248" i="5"/>
  <c r="I93" i="5"/>
  <c r="I88" i="5"/>
  <c r="I82" i="5"/>
  <c r="I78" i="5"/>
  <c r="I74" i="5"/>
  <c r="I70" i="5"/>
  <c r="I66" i="5"/>
  <c r="I62" i="5"/>
  <c r="I58" i="5"/>
  <c r="I54" i="5"/>
  <c r="I50" i="5"/>
  <c r="I46" i="5"/>
  <c r="I42" i="5"/>
  <c r="I38" i="5"/>
  <c r="I34" i="5"/>
  <c r="I30" i="5"/>
  <c r="I26" i="5"/>
  <c r="I22" i="5"/>
  <c r="I18" i="5"/>
  <c r="I258" i="5"/>
  <c r="I111" i="5"/>
  <c r="I105" i="5"/>
  <c r="I102" i="5"/>
  <c r="I98" i="5"/>
  <c r="I89" i="5"/>
  <c r="I114" i="5"/>
  <c r="I94" i="5"/>
  <c r="I85" i="5"/>
  <c r="I81" i="5"/>
  <c r="I77" i="5"/>
  <c r="I73" i="5"/>
  <c r="I69" i="5"/>
  <c r="I65" i="5"/>
  <c r="I61" i="5"/>
  <c r="N537" i="4"/>
  <c r="N539" i="4"/>
  <c r="N541" i="4"/>
  <c r="N547" i="4"/>
  <c r="N553" i="4"/>
  <c r="N555" i="4"/>
  <c r="N557" i="4"/>
  <c r="N563" i="4"/>
  <c r="N569" i="4"/>
  <c r="N571" i="4"/>
  <c r="N573" i="4"/>
  <c r="N579" i="4"/>
  <c r="N585" i="4"/>
  <c r="N587" i="4"/>
  <c r="N589" i="4"/>
  <c r="N595" i="4"/>
  <c r="N601" i="4"/>
  <c r="O535" i="4"/>
  <c r="O537" i="4"/>
  <c r="O539" i="4"/>
  <c r="O541" i="4"/>
  <c r="O543" i="4"/>
  <c r="O545" i="4"/>
  <c r="O547" i="4"/>
  <c r="O549" i="4"/>
  <c r="O551" i="4"/>
  <c r="O553" i="4"/>
  <c r="O555" i="4"/>
  <c r="O557" i="4"/>
  <c r="O559" i="4"/>
  <c r="O561" i="4"/>
  <c r="O563" i="4"/>
  <c r="O565" i="4"/>
  <c r="O567" i="4"/>
  <c r="O569" i="4"/>
  <c r="O571" i="4"/>
  <c r="O573" i="4"/>
  <c r="O575" i="4"/>
  <c r="O577" i="4"/>
  <c r="O579" i="4"/>
  <c r="O581" i="4"/>
  <c r="O583" i="4"/>
  <c r="O585" i="4"/>
  <c r="O587" i="4"/>
  <c r="O589" i="4"/>
  <c r="O591" i="4"/>
  <c r="O593" i="4"/>
  <c r="O595" i="4"/>
  <c r="O597" i="4"/>
  <c r="O599" i="4"/>
  <c r="O601" i="4"/>
  <c r="M602" i="4"/>
  <c r="O602" i="4"/>
  <c r="M603" i="4"/>
  <c r="L95" i="5"/>
  <c r="L103" i="5"/>
  <c r="L123" i="5"/>
  <c r="L155" i="5"/>
  <c r="L187" i="5"/>
  <c r="L219" i="5"/>
  <c r="L16" i="5"/>
  <c r="L20" i="5"/>
  <c r="L24" i="5"/>
  <c r="L28" i="5"/>
  <c r="L32" i="5"/>
  <c r="L36" i="5"/>
  <c r="L40" i="5"/>
  <c r="L44" i="5"/>
  <c r="L48" i="5"/>
  <c r="L52" i="5"/>
  <c r="L56" i="5"/>
  <c r="L60" i="5"/>
  <c r="L64" i="5"/>
  <c r="L68" i="5"/>
  <c r="L72" i="5"/>
  <c r="L76" i="5"/>
  <c r="L80" i="5"/>
  <c r="L84" i="5"/>
  <c r="L99" i="5"/>
  <c r="L127" i="5"/>
  <c r="L159" i="5"/>
  <c r="L191" i="5"/>
  <c r="L223" i="5"/>
  <c r="L111" i="5"/>
  <c r="L131" i="5"/>
  <c r="L163" i="5"/>
  <c r="L195" i="5"/>
  <c r="L227" i="5"/>
  <c r="L17" i="5"/>
  <c r="L21" i="5"/>
  <c r="L25" i="5"/>
  <c r="L29" i="5"/>
  <c r="L33" i="5"/>
  <c r="L37" i="5"/>
  <c r="L41" i="5"/>
  <c r="L45" i="5"/>
  <c r="L49" i="5"/>
  <c r="L53" i="5"/>
  <c r="L57" i="5"/>
  <c r="L61" i="5"/>
  <c r="L65" i="5"/>
  <c r="L69" i="5"/>
  <c r="L73" i="5"/>
  <c r="L77" i="5"/>
  <c r="L81" i="5"/>
  <c r="L135" i="5"/>
  <c r="L167" i="5"/>
  <c r="L199" i="5"/>
  <c r="L231" i="5"/>
  <c r="L328" i="5"/>
  <c r="L139" i="5"/>
  <c r="L171" i="5"/>
  <c r="L203" i="5"/>
  <c r="L235" i="5"/>
  <c r="G8" i="5"/>
  <c r="L13" i="5"/>
  <c r="L18" i="5"/>
  <c r="L22" i="5"/>
  <c r="L26" i="5"/>
  <c r="L30" i="5"/>
  <c r="L34" i="5"/>
  <c r="L38" i="5"/>
  <c r="L42" i="5"/>
  <c r="L46" i="5"/>
  <c r="L50" i="5"/>
  <c r="L54" i="5"/>
  <c r="L58" i="5"/>
  <c r="L62" i="5"/>
  <c r="L66" i="5"/>
  <c r="L70" i="5"/>
  <c r="L74" i="5"/>
  <c r="L78" i="5"/>
  <c r="L82" i="5"/>
  <c r="L107" i="5"/>
  <c r="L119" i="5"/>
  <c r="L143" i="5"/>
  <c r="L175" i="5"/>
  <c r="L207" i="5"/>
  <c r="L87" i="5"/>
  <c r="L115" i="5"/>
  <c r="L147" i="5"/>
  <c r="L179" i="5"/>
  <c r="L211" i="5"/>
  <c r="L256" i="5"/>
  <c r="L296" i="5"/>
  <c r="L609" i="5"/>
  <c r="L605" i="5"/>
  <c r="L601" i="5"/>
  <c r="L597" i="5"/>
  <c r="L593" i="5"/>
  <c r="L589" i="5"/>
  <c r="L585" i="5"/>
  <c r="L581" i="5"/>
  <c r="L577" i="5"/>
  <c r="L573" i="5"/>
  <c r="L569" i="5"/>
  <c r="L565" i="5"/>
  <c r="L561" i="5"/>
  <c r="L557" i="5"/>
  <c r="L553" i="5"/>
  <c r="L549" i="5"/>
  <c r="L545" i="5"/>
  <c r="L612" i="5"/>
  <c r="L608" i="5"/>
  <c r="L604" i="5"/>
  <c r="L600" i="5"/>
  <c r="L596" i="5"/>
  <c r="L592" i="5"/>
  <c r="L588" i="5"/>
  <c r="L584" i="5"/>
  <c r="L580" i="5"/>
  <c r="L576" i="5"/>
  <c r="L572" i="5"/>
  <c r="L568" i="5"/>
  <c r="L564" i="5"/>
  <c r="L560" i="5"/>
  <c r="L556" i="5"/>
  <c r="L552" i="5"/>
  <c r="L548" i="5"/>
  <c r="L544" i="5"/>
  <c r="L611" i="5"/>
  <c r="L607" i="5"/>
  <c r="L603" i="5"/>
  <c r="L599" i="5"/>
  <c r="L595" i="5"/>
  <c r="L591" i="5"/>
  <c r="L587" i="5"/>
  <c r="L583" i="5"/>
  <c r="L579" i="5"/>
  <c r="L575" i="5"/>
  <c r="L571" i="5"/>
  <c r="L567" i="5"/>
  <c r="L563" i="5"/>
  <c r="L559" i="5"/>
  <c r="L555" i="5"/>
  <c r="L551" i="5"/>
  <c r="L547" i="5"/>
  <c r="L543" i="5"/>
  <c r="L574" i="5"/>
  <c r="L546" i="5"/>
  <c r="L541" i="5"/>
  <c r="L540" i="5"/>
  <c r="L536" i="5"/>
  <c r="L532" i="5"/>
  <c r="L528" i="5"/>
  <c r="L524" i="5"/>
  <c r="L520" i="5"/>
  <c r="L516" i="5"/>
  <c r="L512" i="5"/>
  <c r="L508" i="5"/>
  <c r="L504" i="5"/>
  <c r="L500" i="5"/>
  <c r="L496" i="5"/>
  <c r="L492" i="5"/>
  <c r="L488" i="5"/>
  <c r="L484" i="5"/>
  <c r="L480" i="5"/>
  <c r="L476" i="5"/>
  <c r="L472" i="5"/>
  <c r="L468" i="5"/>
  <c r="L464" i="5"/>
  <c r="L460" i="5"/>
  <c r="L456" i="5"/>
  <c r="L452" i="5"/>
  <c r="L448" i="5"/>
  <c r="L570" i="5"/>
  <c r="L558" i="5"/>
  <c r="L542" i="5"/>
  <c r="L566" i="5"/>
  <c r="L539" i="5"/>
  <c r="L535" i="5"/>
  <c r="L531" i="5"/>
  <c r="L527" i="5"/>
  <c r="L523" i="5"/>
  <c r="L519" i="5"/>
  <c r="L515" i="5"/>
  <c r="L511" i="5"/>
  <c r="L507" i="5"/>
  <c r="L503" i="5"/>
  <c r="L499" i="5"/>
  <c r="L495" i="5"/>
  <c r="L491" i="5"/>
  <c r="L487" i="5"/>
  <c r="L483" i="5"/>
  <c r="L479" i="5"/>
  <c r="L475" i="5"/>
  <c r="L471" i="5"/>
  <c r="L467" i="5"/>
  <c r="L463" i="5"/>
  <c r="L459" i="5"/>
  <c r="L455" i="5"/>
  <c r="L451" i="5"/>
  <c r="L447" i="5"/>
  <c r="L594" i="5"/>
  <c r="L610" i="5"/>
  <c r="L586" i="5"/>
  <c r="L606" i="5"/>
  <c r="L582" i="5"/>
  <c r="L554" i="5"/>
  <c r="L537" i="5"/>
  <c r="L533" i="5"/>
  <c r="L529" i="5"/>
  <c r="L525" i="5"/>
  <c r="L521" i="5"/>
  <c r="L517" i="5"/>
  <c r="L513" i="5"/>
  <c r="L509" i="5"/>
  <c r="L505" i="5"/>
  <c r="L501" i="5"/>
  <c r="L497" i="5"/>
  <c r="L493" i="5"/>
  <c r="L489" i="5"/>
  <c r="L485" i="5"/>
  <c r="L481" i="5"/>
  <c r="L477" i="5"/>
  <c r="L473" i="5"/>
  <c r="L469" i="5"/>
  <c r="L465" i="5"/>
  <c r="L461" i="5"/>
  <c r="L457" i="5"/>
  <c r="L453" i="5"/>
  <c r="L538" i="5"/>
  <c r="L506" i="5"/>
  <c r="L454" i="5"/>
  <c r="L518" i="5"/>
  <c r="L486" i="5"/>
  <c r="L443" i="5"/>
  <c r="L439" i="5"/>
  <c r="L435" i="5"/>
  <c r="L431" i="5"/>
  <c r="L427" i="5"/>
  <c r="L423" i="5"/>
  <c r="L419" i="5"/>
  <c r="L415" i="5"/>
  <c r="L411" i="5"/>
  <c r="L407" i="5"/>
  <c r="L403" i="5"/>
  <c r="L399" i="5"/>
  <c r="L395" i="5"/>
  <c r="L391" i="5"/>
  <c r="L387" i="5"/>
  <c r="L383" i="5"/>
  <c r="L379" i="5"/>
  <c r="L375" i="5"/>
  <c r="L371" i="5"/>
  <c r="L367" i="5"/>
  <c r="L363" i="5"/>
  <c r="L359" i="5"/>
  <c r="L578" i="5"/>
  <c r="L530" i="5"/>
  <c r="L498" i="5"/>
  <c r="L590" i="5"/>
  <c r="L550" i="5"/>
  <c r="L510" i="5"/>
  <c r="L478" i="5"/>
  <c r="L474" i="5"/>
  <c r="L442" i="5"/>
  <c r="L438" i="5"/>
  <c r="L434" i="5"/>
  <c r="L430" i="5"/>
  <c r="L426" i="5"/>
  <c r="L422" i="5"/>
  <c r="L418" i="5"/>
  <c r="L414" i="5"/>
  <c r="L410" i="5"/>
  <c r="L406" i="5"/>
  <c r="L402" i="5"/>
  <c r="L398" i="5"/>
  <c r="L394" i="5"/>
  <c r="L390" i="5"/>
  <c r="L386" i="5"/>
  <c r="L382" i="5"/>
  <c r="L378" i="5"/>
  <c r="L374" i="5"/>
  <c r="L370" i="5"/>
  <c r="L522" i="5"/>
  <c r="L490" i="5"/>
  <c r="L470" i="5"/>
  <c r="L446" i="5"/>
  <c r="L534" i="5"/>
  <c r="L502" i="5"/>
  <c r="L466" i="5"/>
  <c r="L449" i="5"/>
  <c r="L445" i="5"/>
  <c r="L441" i="5"/>
  <c r="L437" i="5"/>
  <c r="L433" i="5"/>
  <c r="L429" i="5"/>
  <c r="L425" i="5"/>
  <c r="L421" i="5"/>
  <c r="L417" i="5"/>
  <c r="L413" i="5"/>
  <c r="L409" i="5"/>
  <c r="L405" i="5"/>
  <c r="L401" i="5"/>
  <c r="L397" i="5"/>
  <c r="L393" i="5"/>
  <c r="L389" i="5"/>
  <c r="L385" i="5"/>
  <c r="L381" i="5"/>
  <c r="L377" i="5"/>
  <c r="L373" i="5"/>
  <c r="L369" i="5"/>
  <c r="L365" i="5"/>
  <c r="L361" i="5"/>
  <c r="L357" i="5"/>
  <c r="L598" i="5"/>
  <c r="L562" i="5"/>
  <c r="L526" i="5"/>
  <c r="L462" i="5"/>
  <c r="L424" i="5"/>
  <c r="L392" i="5"/>
  <c r="L362" i="5"/>
  <c r="L436" i="5"/>
  <c r="L404" i="5"/>
  <c r="L364" i="5"/>
  <c r="L355" i="5"/>
  <c r="L351" i="5"/>
  <c r="L347" i="5"/>
  <c r="L343" i="5"/>
  <c r="L339" i="5"/>
  <c r="L335" i="5"/>
  <c r="L331" i="5"/>
  <c r="L327" i="5"/>
  <c r="L323" i="5"/>
  <c r="L319" i="5"/>
  <c r="L315" i="5"/>
  <c r="L311" i="5"/>
  <c r="L307" i="5"/>
  <c r="L303" i="5"/>
  <c r="L299" i="5"/>
  <c r="L295" i="5"/>
  <c r="L291" i="5"/>
  <c r="L287" i="5"/>
  <c r="L283" i="5"/>
  <c r="L279" i="5"/>
  <c r="L275" i="5"/>
  <c r="L271" i="5"/>
  <c r="L267" i="5"/>
  <c r="L263" i="5"/>
  <c r="L259" i="5"/>
  <c r="L255" i="5"/>
  <c r="L251" i="5"/>
  <c r="L247" i="5"/>
  <c r="L243" i="5"/>
  <c r="L239" i="5"/>
  <c r="L494" i="5"/>
  <c r="L416" i="5"/>
  <c r="L384" i="5"/>
  <c r="L366" i="5"/>
  <c r="L602" i="5"/>
  <c r="L514" i="5"/>
  <c r="L428" i="5"/>
  <c r="L396" i="5"/>
  <c r="L368" i="5"/>
  <c r="L354" i="5"/>
  <c r="L350" i="5"/>
  <c r="L346" i="5"/>
  <c r="L342" i="5"/>
  <c r="L338" i="5"/>
  <c r="L334" i="5"/>
  <c r="L330" i="5"/>
  <c r="L326" i="5"/>
  <c r="L322" i="5"/>
  <c r="L318" i="5"/>
  <c r="L314" i="5"/>
  <c r="L310" i="5"/>
  <c r="L306" i="5"/>
  <c r="L302" i="5"/>
  <c r="L298" i="5"/>
  <c r="L294" i="5"/>
  <c r="L290" i="5"/>
  <c r="L286" i="5"/>
  <c r="L282" i="5"/>
  <c r="L278" i="5"/>
  <c r="L274" i="5"/>
  <c r="L270" i="5"/>
  <c r="L266" i="5"/>
  <c r="L262" i="5"/>
  <c r="L258" i="5"/>
  <c r="L254" i="5"/>
  <c r="L250" i="5"/>
  <c r="L246" i="5"/>
  <c r="L242" i="5"/>
  <c r="L238" i="5"/>
  <c r="L440" i="5"/>
  <c r="L408" i="5"/>
  <c r="L376" i="5"/>
  <c r="L482" i="5"/>
  <c r="L450" i="5"/>
  <c r="L420" i="5"/>
  <c r="L388" i="5"/>
  <c r="L372" i="5"/>
  <c r="L353" i="5"/>
  <c r="L349" i="5"/>
  <c r="L345" i="5"/>
  <c r="L341" i="5"/>
  <c r="L337" i="5"/>
  <c r="L333" i="5"/>
  <c r="L329" i="5"/>
  <c r="L325" i="5"/>
  <c r="L321" i="5"/>
  <c r="L317" i="5"/>
  <c r="L313" i="5"/>
  <c r="L309" i="5"/>
  <c r="L305" i="5"/>
  <c r="L301" i="5"/>
  <c r="L297" i="5"/>
  <c r="L293" i="5"/>
  <c r="L289" i="5"/>
  <c r="L285" i="5"/>
  <c r="L281" i="5"/>
  <c r="L277" i="5"/>
  <c r="L273" i="5"/>
  <c r="L269" i="5"/>
  <c r="L265" i="5"/>
  <c r="L261" i="5"/>
  <c r="L257" i="5"/>
  <c r="L253" i="5"/>
  <c r="L249" i="5"/>
  <c r="L245" i="5"/>
  <c r="L241" i="5"/>
  <c r="L237" i="5"/>
  <c r="L432" i="5"/>
  <c r="L400" i="5"/>
  <c r="L358" i="5"/>
  <c r="L380" i="5"/>
  <c r="L360" i="5"/>
  <c r="L356" i="5"/>
  <c r="L324" i="5"/>
  <c r="L292" i="5"/>
  <c r="L352" i="5"/>
  <c r="L320" i="5"/>
  <c r="L288" i="5"/>
  <c r="L264" i="5"/>
  <c r="L252" i="5"/>
  <c r="L234" i="5"/>
  <c r="L230" i="5"/>
  <c r="L226" i="5"/>
  <c r="L222" i="5"/>
  <c r="L218" i="5"/>
  <c r="L214" i="5"/>
  <c r="L210" i="5"/>
  <c r="L206" i="5"/>
  <c r="L202" i="5"/>
  <c r="L198" i="5"/>
  <c r="L194" i="5"/>
  <c r="L190" i="5"/>
  <c r="L186" i="5"/>
  <c r="L182" i="5"/>
  <c r="L178" i="5"/>
  <c r="L174" i="5"/>
  <c r="L170" i="5"/>
  <c r="L166" i="5"/>
  <c r="L162" i="5"/>
  <c r="L158" i="5"/>
  <c r="L154" i="5"/>
  <c r="L150" i="5"/>
  <c r="L146" i="5"/>
  <c r="L142" i="5"/>
  <c r="L138" i="5"/>
  <c r="L134" i="5"/>
  <c r="L130" i="5"/>
  <c r="L126" i="5"/>
  <c r="L122" i="5"/>
  <c r="L118" i="5"/>
  <c r="L114" i="5"/>
  <c r="L110" i="5"/>
  <c r="L106" i="5"/>
  <c r="L102" i="5"/>
  <c r="L98" i="5"/>
  <c r="L94" i="5"/>
  <c r="L90" i="5"/>
  <c r="L86" i="5"/>
  <c r="L348" i="5"/>
  <c r="L316" i="5"/>
  <c r="L284" i="5"/>
  <c r="L344" i="5"/>
  <c r="L312" i="5"/>
  <c r="L280" i="5"/>
  <c r="L244" i="5"/>
  <c r="L233" i="5"/>
  <c r="L229" i="5"/>
  <c r="L225" i="5"/>
  <c r="L221" i="5"/>
  <c r="L217" i="5"/>
  <c r="L213" i="5"/>
  <c r="L209" i="5"/>
  <c r="L205" i="5"/>
  <c r="L201" i="5"/>
  <c r="L197" i="5"/>
  <c r="L193" i="5"/>
  <c r="L189" i="5"/>
  <c r="L185" i="5"/>
  <c r="L181" i="5"/>
  <c r="L177" i="5"/>
  <c r="L173" i="5"/>
  <c r="L169" i="5"/>
  <c r="L165" i="5"/>
  <c r="L161" i="5"/>
  <c r="L157" i="5"/>
  <c r="L153" i="5"/>
  <c r="L149" i="5"/>
  <c r="L145" i="5"/>
  <c r="L141" i="5"/>
  <c r="L137" i="5"/>
  <c r="L133" i="5"/>
  <c r="L129" i="5"/>
  <c r="L125" i="5"/>
  <c r="L121" i="5"/>
  <c r="L117" i="5"/>
  <c r="L113" i="5"/>
  <c r="L109" i="5"/>
  <c r="L105" i="5"/>
  <c r="L101" i="5"/>
  <c r="L97" i="5"/>
  <c r="L93" i="5"/>
  <c r="L89" i="5"/>
  <c r="L85" i="5"/>
  <c r="L340" i="5"/>
  <c r="L308" i="5"/>
  <c r="L276" i="5"/>
  <c r="L240" i="5"/>
  <c r="L458" i="5"/>
  <c r="L336" i="5"/>
  <c r="L304" i="5"/>
  <c r="L272" i="5"/>
  <c r="L236" i="5"/>
  <c r="L232" i="5"/>
  <c r="L228" i="5"/>
  <c r="L224" i="5"/>
  <c r="L220" i="5"/>
  <c r="L216" i="5"/>
  <c r="L212" i="5"/>
  <c r="L208" i="5"/>
  <c r="L204" i="5"/>
  <c r="L200" i="5"/>
  <c r="L196" i="5"/>
  <c r="L192" i="5"/>
  <c r="L188" i="5"/>
  <c r="L184" i="5"/>
  <c r="L180" i="5"/>
  <c r="L176" i="5"/>
  <c r="L172" i="5"/>
  <c r="L168" i="5"/>
  <c r="L164" i="5"/>
  <c r="L160" i="5"/>
  <c r="L156" i="5"/>
  <c r="L152" i="5"/>
  <c r="L148" i="5"/>
  <c r="L144" i="5"/>
  <c r="L140" i="5"/>
  <c r="L136" i="5"/>
  <c r="L132" i="5"/>
  <c r="L128" i="5"/>
  <c r="L124" i="5"/>
  <c r="L120" i="5"/>
  <c r="L116" i="5"/>
  <c r="L112" i="5"/>
  <c r="L108" i="5"/>
  <c r="L104" i="5"/>
  <c r="L100" i="5"/>
  <c r="L96" i="5"/>
  <c r="L92" i="5"/>
  <c r="L88" i="5"/>
  <c r="L444" i="5"/>
  <c r="L332" i="5"/>
  <c r="L300" i="5"/>
  <c r="L268" i="5"/>
  <c r="L260" i="5"/>
  <c r="L248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L83" i="5"/>
  <c r="L91" i="5"/>
  <c r="L151" i="5"/>
  <c r="L183" i="5"/>
  <c r="L215" i="5"/>
  <c r="G14" i="6"/>
  <c r="K14" i="6" s="1"/>
  <c r="L17" i="6"/>
  <c r="L21" i="6"/>
  <c r="L25" i="6"/>
  <c r="L29" i="6"/>
  <c r="L33" i="6"/>
  <c r="L37" i="6"/>
  <c r="L41" i="6"/>
  <c r="I47" i="6"/>
  <c r="I56" i="6"/>
  <c r="L57" i="6"/>
  <c r="L65" i="6"/>
  <c r="I72" i="6"/>
  <c r="L85" i="6"/>
  <c r="L117" i="6"/>
  <c r="I23" i="6"/>
  <c r="I27" i="6"/>
  <c r="I31" i="6"/>
  <c r="I35" i="6"/>
  <c r="I39" i="6"/>
  <c r="I43" i="6"/>
  <c r="I46" i="6"/>
  <c r="I51" i="6"/>
  <c r="I60" i="6"/>
  <c r="L61" i="6"/>
  <c r="I64" i="6"/>
  <c r="I67" i="6"/>
  <c r="L77" i="6"/>
  <c r="L89" i="6"/>
  <c r="L121" i="6"/>
  <c r="G8" i="6"/>
  <c r="L13" i="6"/>
  <c r="L18" i="6"/>
  <c r="L22" i="6"/>
  <c r="L26" i="6"/>
  <c r="L30" i="6"/>
  <c r="L34" i="6"/>
  <c r="L38" i="6"/>
  <c r="L42" i="6"/>
  <c r="I50" i="6"/>
  <c r="I55" i="6"/>
  <c r="I80" i="6"/>
  <c r="L93" i="6"/>
  <c r="L125" i="6"/>
  <c r="I167" i="6"/>
  <c r="L312" i="6"/>
  <c r="L14" i="6"/>
  <c r="I20" i="6"/>
  <c r="I24" i="6"/>
  <c r="I28" i="6"/>
  <c r="I32" i="6"/>
  <c r="I36" i="6"/>
  <c r="I40" i="6"/>
  <c r="I44" i="6"/>
  <c r="I45" i="6"/>
  <c r="I54" i="6"/>
  <c r="I59" i="6"/>
  <c r="L97" i="6"/>
  <c r="L612" i="6"/>
  <c r="L608" i="6"/>
  <c r="L611" i="6"/>
  <c r="L607" i="6"/>
  <c r="L603" i="6"/>
  <c r="L599" i="6"/>
  <c r="L595" i="6"/>
  <c r="L591" i="6"/>
  <c r="L587" i="6"/>
  <c r="L583" i="6"/>
  <c r="L579" i="6"/>
  <c r="L575" i="6"/>
  <c r="L571" i="6"/>
  <c r="L567" i="6"/>
  <c r="L563" i="6"/>
  <c r="L559" i="6"/>
  <c r="L555" i="6"/>
  <c r="L551" i="6"/>
  <c r="L547" i="6"/>
  <c r="L610" i="6"/>
  <c r="L606" i="6"/>
  <c r="L602" i="6"/>
  <c r="L598" i="6"/>
  <c r="L594" i="6"/>
  <c r="L590" i="6"/>
  <c r="L586" i="6"/>
  <c r="L582" i="6"/>
  <c r="L578" i="6"/>
  <c r="L574" i="6"/>
  <c r="L570" i="6"/>
  <c r="L566" i="6"/>
  <c r="L562" i="6"/>
  <c r="L558" i="6"/>
  <c r="L554" i="6"/>
  <c r="L550" i="6"/>
  <c r="L549" i="6"/>
  <c r="L542" i="6"/>
  <c r="L538" i="6"/>
  <c r="L534" i="6"/>
  <c r="L530" i="6"/>
  <c r="L526" i="6"/>
  <c r="L522" i="6"/>
  <c r="L518" i="6"/>
  <c r="L514" i="6"/>
  <c r="L600" i="6"/>
  <c r="L597" i="6"/>
  <c r="L584" i="6"/>
  <c r="L581" i="6"/>
  <c r="L553" i="6"/>
  <c r="L552" i="6"/>
  <c r="L548" i="6"/>
  <c r="L546" i="6"/>
  <c r="L541" i="6"/>
  <c r="L537" i="6"/>
  <c r="L533" i="6"/>
  <c r="L529" i="6"/>
  <c r="L525" i="6"/>
  <c r="L521" i="6"/>
  <c r="L517" i="6"/>
  <c r="L513" i="6"/>
  <c r="L604" i="6"/>
  <c r="L601" i="6"/>
  <c r="L588" i="6"/>
  <c r="L585" i="6"/>
  <c r="L572" i="6"/>
  <c r="L568" i="6"/>
  <c r="L557" i="6"/>
  <c r="L556" i="6"/>
  <c r="L545" i="6"/>
  <c r="L569" i="6"/>
  <c r="L544" i="6"/>
  <c r="L540" i="6"/>
  <c r="L536" i="6"/>
  <c r="L532" i="6"/>
  <c r="L528" i="6"/>
  <c r="L524" i="6"/>
  <c r="L520" i="6"/>
  <c r="L516" i="6"/>
  <c r="L512" i="6"/>
  <c r="L592" i="6"/>
  <c r="L589" i="6"/>
  <c r="L576" i="6"/>
  <c r="L573" i="6"/>
  <c r="L561" i="6"/>
  <c r="L560" i="6"/>
  <c r="L609" i="6"/>
  <c r="L596" i="6"/>
  <c r="L593" i="6"/>
  <c r="L605" i="6"/>
  <c r="L564" i="6"/>
  <c r="L539" i="6"/>
  <c r="L519" i="6"/>
  <c r="L510" i="6"/>
  <c r="L506" i="6"/>
  <c r="L502" i="6"/>
  <c r="L498" i="6"/>
  <c r="L494" i="6"/>
  <c r="L490" i="6"/>
  <c r="L486" i="6"/>
  <c r="L482" i="6"/>
  <c r="L478" i="6"/>
  <c r="L474" i="6"/>
  <c r="L470" i="6"/>
  <c r="L531" i="6"/>
  <c r="L577" i="6"/>
  <c r="L543" i="6"/>
  <c r="L509" i="6"/>
  <c r="L505" i="6"/>
  <c r="L501" i="6"/>
  <c r="L497" i="6"/>
  <c r="L493" i="6"/>
  <c r="L489" i="6"/>
  <c r="L485" i="6"/>
  <c r="L481" i="6"/>
  <c r="L477" i="6"/>
  <c r="L473" i="6"/>
  <c r="L469" i="6"/>
  <c r="L465" i="6"/>
  <c r="L523" i="6"/>
  <c r="L527" i="6"/>
  <c r="L511" i="6"/>
  <c r="L507" i="6"/>
  <c r="L503" i="6"/>
  <c r="L499" i="6"/>
  <c r="L495" i="6"/>
  <c r="L491" i="6"/>
  <c r="L487" i="6"/>
  <c r="L483" i="6"/>
  <c r="L479" i="6"/>
  <c r="L475" i="6"/>
  <c r="L471" i="6"/>
  <c r="L467" i="6"/>
  <c r="L508" i="6"/>
  <c r="L476" i="6"/>
  <c r="L565" i="6"/>
  <c r="L488" i="6"/>
  <c r="L462" i="6"/>
  <c r="L458" i="6"/>
  <c r="L454" i="6"/>
  <c r="L450" i="6"/>
  <c r="L446" i="6"/>
  <c r="L442" i="6"/>
  <c r="L438" i="6"/>
  <c r="L434" i="6"/>
  <c r="L430" i="6"/>
  <c r="L426" i="6"/>
  <c r="L480" i="6"/>
  <c r="L466" i="6"/>
  <c r="L461" i="6"/>
  <c r="L457" i="6"/>
  <c r="L453" i="6"/>
  <c r="L449" i="6"/>
  <c r="L445" i="6"/>
  <c r="L441" i="6"/>
  <c r="L437" i="6"/>
  <c r="L433" i="6"/>
  <c r="L429" i="6"/>
  <c r="L425" i="6"/>
  <c r="L535" i="6"/>
  <c r="L504" i="6"/>
  <c r="L472" i="6"/>
  <c r="L468" i="6"/>
  <c r="L464" i="6"/>
  <c r="L460" i="6"/>
  <c r="L456" i="6"/>
  <c r="L452" i="6"/>
  <c r="L448" i="6"/>
  <c r="L444" i="6"/>
  <c r="L440" i="6"/>
  <c r="L436" i="6"/>
  <c r="L432" i="6"/>
  <c r="L428" i="6"/>
  <c r="L484" i="6"/>
  <c r="L496" i="6"/>
  <c r="L492" i="6"/>
  <c r="L447" i="6"/>
  <c r="L421" i="6"/>
  <c r="L417" i="6"/>
  <c r="L413" i="6"/>
  <c r="L409" i="6"/>
  <c r="L405" i="6"/>
  <c r="L401" i="6"/>
  <c r="L397" i="6"/>
  <c r="L393" i="6"/>
  <c r="L389" i="6"/>
  <c r="L385" i="6"/>
  <c r="L381" i="6"/>
  <c r="L377" i="6"/>
  <c r="L373" i="6"/>
  <c r="L580" i="6"/>
  <c r="L443" i="6"/>
  <c r="L439" i="6"/>
  <c r="L420" i="6"/>
  <c r="L416" i="6"/>
  <c r="L412" i="6"/>
  <c r="L408" i="6"/>
  <c r="L404" i="6"/>
  <c r="L400" i="6"/>
  <c r="L396" i="6"/>
  <c r="L392" i="6"/>
  <c r="L388" i="6"/>
  <c r="L384" i="6"/>
  <c r="L515" i="6"/>
  <c r="L435" i="6"/>
  <c r="L463" i="6"/>
  <c r="L431" i="6"/>
  <c r="L419" i="6"/>
  <c r="L415" i="6"/>
  <c r="L411" i="6"/>
  <c r="L407" i="6"/>
  <c r="L403" i="6"/>
  <c r="L399" i="6"/>
  <c r="L395" i="6"/>
  <c r="L391" i="6"/>
  <c r="L387" i="6"/>
  <c r="L383" i="6"/>
  <c r="L379" i="6"/>
  <c r="L459" i="6"/>
  <c r="L427" i="6"/>
  <c r="L455" i="6"/>
  <c r="L418" i="6"/>
  <c r="L414" i="6"/>
  <c r="L410" i="6"/>
  <c r="L406" i="6"/>
  <c r="L402" i="6"/>
  <c r="L398" i="6"/>
  <c r="L394" i="6"/>
  <c r="L390" i="6"/>
  <c r="L451" i="6"/>
  <c r="L423" i="6"/>
  <c r="L378" i="6"/>
  <c r="L376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80" i="6"/>
  <c r="L375" i="6"/>
  <c r="L422" i="6"/>
  <c r="L386" i="6"/>
  <c r="L382" i="6"/>
  <c r="L374" i="6"/>
  <c r="L369" i="6"/>
  <c r="L365" i="6"/>
  <c r="L361" i="6"/>
  <c r="L357" i="6"/>
  <c r="L353" i="6"/>
  <c r="L349" i="6"/>
  <c r="L345" i="6"/>
  <c r="L341" i="6"/>
  <c r="L337" i="6"/>
  <c r="L333" i="6"/>
  <c r="L329" i="6"/>
  <c r="L372" i="6"/>
  <c r="L368" i="6"/>
  <c r="L364" i="6"/>
  <c r="L360" i="6"/>
  <c r="L356" i="6"/>
  <c r="L352" i="6"/>
  <c r="L348" i="6"/>
  <c r="L344" i="6"/>
  <c r="L340" i="6"/>
  <c r="L336" i="6"/>
  <c r="L332" i="6"/>
  <c r="L328" i="6"/>
  <c r="L500" i="6"/>
  <c r="L424" i="6"/>
  <c r="L371" i="6"/>
  <c r="L367" i="6"/>
  <c r="L363" i="6"/>
  <c r="L359" i="6"/>
  <c r="L355" i="6"/>
  <c r="L351" i="6"/>
  <c r="L347" i="6"/>
  <c r="L343" i="6"/>
  <c r="L339" i="6"/>
  <c r="L335" i="6"/>
  <c r="L331" i="6"/>
  <c r="L323" i="6"/>
  <c r="L319" i="6"/>
  <c r="L315" i="6"/>
  <c r="L311" i="6"/>
  <c r="L307" i="6"/>
  <c r="L303" i="6"/>
  <c r="L299" i="6"/>
  <c r="L295" i="6"/>
  <c r="L291" i="6"/>
  <c r="L287" i="6"/>
  <c r="L283" i="6"/>
  <c r="L279" i="6"/>
  <c r="L275" i="6"/>
  <c r="L271" i="6"/>
  <c r="L267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327" i="6"/>
  <c r="L325" i="6"/>
  <c r="L321" i="6"/>
  <c r="L317" i="6"/>
  <c r="L313" i="6"/>
  <c r="L309" i="6"/>
  <c r="L305" i="6"/>
  <c r="L301" i="6"/>
  <c r="L297" i="6"/>
  <c r="L293" i="6"/>
  <c r="L289" i="6"/>
  <c r="L285" i="6"/>
  <c r="L281" i="6"/>
  <c r="L277" i="6"/>
  <c r="L308" i="6"/>
  <c r="L276" i="6"/>
  <c r="L273" i="6"/>
  <c r="L263" i="6"/>
  <c r="L259" i="6"/>
  <c r="L255" i="6"/>
  <c r="L251" i="6"/>
  <c r="L247" i="6"/>
  <c r="L243" i="6"/>
  <c r="L239" i="6"/>
  <c r="L235" i="6"/>
  <c r="L231" i="6"/>
  <c r="L227" i="6"/>
  <c r="L223" i="6"/>
  <c r="L219" i="6"/>
  <c r="L215" i="6"/>
  <c r="L211" i="6"/>
  <c r="L207" i="6"/>
  <c r="L203" i="6"/>
  <c r="L199" i="6"/>
  <c r="L195" i="6"/>
  <c r="L191" i="6"/>
  <c r="L187" i="6"/>
  <c r="L183" i="6"/>
  <c r="L179" i="6"/>
  <c r="L175" i="6"/>
  <c r="L171" i="6"/>
  <c r="L167" i="6"/>
  <c r="L163" i="6"/>
  <c r="L159" i="6"/>
  <c r="L155" i="6"/>
  <c r="L151" i="6"/>
  <c r="L147" i="6"/>
  <c r="L304" i="6"/>
  <c r="L268" i="6"/>
  <c r="L300" i="6"/>
  <c r="L262" i="6"/>
  <c r="L258" i="6"/>
  <c r="L254" i="6"/>
  <c r="L250" i="6"/>
  <c r="L246" i="6"/>
  <c r="L242" i="6"/>
  <c r="L238" i="6"/>
  <c r="L234" i="6"/>
  <c r="L230" i="6"/>
  <c r="L226" i="6"/>
  <c r="L222" i="6"/>
  <c r="L218" i="6"/>
  <c r="L214" i="6"/>
  <c r="L210" i="6"/>
  <c r="L206" i="6"/>
  <c r="L202" i="6"/>
  <c r="L198" i="6"/>
  <c r="L194" i="6"/>
  <c r="L190" i="6"/>
  <c r="L186" i="6"/>
  <c r="L182" i="6"/>
  <c r="L178" i="6"/>
  <c r="L174" i="6"/>
  <c r="L170" i="6"/>
  <c r="L166" i="6"/>
  <c r="L162" i="6"/>
  <c r="L158" i="6"/>
  <c r="L154" i="6"/>
  <c r="L150" i="6"/>
  <c r="L296" i="6"/>
  <c r="L269" i="6"/>
  <c r="L324" i="6"/>
  <c r="L292" i="6"/>
  <c r="L272" i="6"/>
  <c r="L265" i="6"/>
  <c r="L261" i="6"/>
  <c r="L257" i="6"/>
  <c r="L253" i="6"/>
  <c r="L249" i="6"/>
  <c r="L245" i="6"/>
  <c r="L241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161" i="6"/>
  <c r="L157" i="6"/>
  <c r="L153" i="6"/>
  <c r="L320" i="6"/>
  <c r="L288" i="6"/>
  <c r="L316" i="6"/>
  <c r="L284" i="6"/>
  <c r="L264" i="6"/>
  <c r="L260" i="6"/>
  <c r="L256" i="6"/>
  <c r="L252" i="6"/>
  <c r="L248" i="6"/>
  <c r="L244" i="6"/>
  <c r="L240" i="6"/>
  <c r="L236" i="6"/>
  <c r="L232" i="6"/>
  <c r="L228" i="6"/>
  <c r="L224" i="6"/>
  <c r="L220" i="6"/>
  <c r="L216" i="6"/>
  <c r="L212" i="6"/>
  <c r="L208" i="6"/>
  <c r="L204" i="6"/>
  <c r="L200" i="6"/>
  <c r="L196" i="6"/>
  <c r="L192" i="6"/>
  <c r="L188" i="6"/>
  <c r="L184" i="6"/>
  <c r="L180" i="6"/>
  <c r="L176" i="6"/>
  <c r="L172" i="6"/>
  <c r="L168" i="6"/>
  <c r="L164" i="6"/>
  <c r="L160" i="6"/>
  <c r="L156" i="6"/>
  <c r="L152" i="6"/>
  <c r="L144" i="6"/>
  <c r="L140" i="6"/>
  <c r="L136" i="6"/>
  <c r="L132" i="6"/>
  <c r="L128" i="6"/>
  <c r="L124" i="6"/>
  <c r="L120" i="6"/>
  <c r="L116" i="6"/>
  <c r="L112" i="6"/>
  <c r="L108" i="6"/>
  <c r="L104" i="6"/>
  <c r="L100" i="6"/>
  <c r="L96" i="6"/>
  <c r="L92" i="6"/>
  <c r="L88" i="6"/>
  <c r="L84" i="6"/>
  <c r="L80" i="6"/>
  <c r="L76" i="6"/>
  <c r="L72" i="6"/>
  <c r="L68" i="6"/>
  <c r="L64" i="6"/>
  <c r="L60" i="6"/>
  <c r="L56" i="6"/>
  <c r="L52" i="6"/>
  <c r="L48" i="6"/>
  <c r="L143" i="6"/>
  <c r="L139" i="6"/>
  <c r="L135" i="6"/>
  <c r="L131" i="6"/>
  <c r="L127" i="6"/>
  <c r="L123" i="6"/>
  <c r="L119" i="6"/>
  <c r="L115" i="6"/>
  <c r="L111" i="6"/>
  <c r="L107" i="6"/>
  <c r="L103" i="6"/>
  <c r="L99" i="6"/>
  <c r="L95" i="6"/>
  <c r="L91" i="6"/>
  <c r="L87" i="6"/>
  <c r="L83" i="6"/>
  <c r="L79" i="6"/>
  <c r="L75" i="6"/>
  <c r="L71" i="6"/>
  <c r="L67" i="6"/>
  <c r="L63" i="6"/>
  <c r="L59" i="6"/>
  <c r="L55" i="6"/>
  <c r="L51" i="6"/>
  <c r="L47" i="6"/>
  <c r="L280" i="6"/>
  <c r="L149" i="6"/>
  <c r="L148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15" i="6"/>
  <c r="L19" i="6"/>
  <c r="L23" i="6"/>
  <c r="L27" i="6"/>
  <c r="L31" i="6"/>
  <c r="L35" i="6"/>
  <c r="L39" i="6"/>
  <c r="L43" i="6"/>
  <c r="I49" i="6"/>
  <c r="I58" i="6"/>
  <c r="I63" i="6"/>
  <c r="L73" i="6"/>
  <c r="L101" i="6"/>
  <c r="L133" i="6"/>
  <c r="G13" i="6"/>
  <c r="I609" i="6"/>
  <c r="I605" i="6"/>
  <c r="I601" i="6"/>
  <c r="I597" i="6"/>
  <c r="I593" i="6"/>
  <c r="I589" i="6"/>
  <c r="I585" i="6"/>
  <c r="I581" i="6"/>
  <c r="I577" i="6"/>
  <c r="I573" i="6"/>
  <c r="I612" i="6"/>
  <c r="I608" i="6"/>
  <c r="I604" i="6"/>
  <c r="I600" i="6"/>
  <c r="I596" i="6"/>
  <c r="I592" i="6"/>
  <c r="I588" i="6"/>
  <c r="I584" i="6"/>
  <c r="I580" i="6"/>
  <c r="I576" i="6"/>
  <c r="I572" i="6"/>
  <c r="I568" i="6"/>
  <c r="I610" i="6"/>
  <c r="I606" i="6"/>
  <c r="I602" i="6"/>
  <c r="I586" i="6"/>
  <c r="I570" i="6"/>
  <c r="I563" i="6"/>
  <c r="I562" i="6"/>
  <c r="I561" i="6"/>
  <c r="I611" i="6"/>
  <c r="I603" i="6"/>
  <c r="I587" i="6"/>
  <c r="I571" i="6"/>
  <c r="I564" i="6"/>
  <c r="I543" i="6"/>
  <c r="I539" i="6"/>
  <c r="I535" i="6"/>
  <c r="I531" i="6"/>
  <c r="I527" i="6"/>
  <c r="I523" i="6"/>
  <c r="I519" i="6"/>
  <c r="I590" i="6"/>
  <c r="I574" i="6"/>
  <c r="I567" i="6"/>
  <c r="I566" i="6"/>
  <c r="I565" i="6"/>
  <c r="I551" i="6"/>
  <c r="I550" i="6"/>
  <c r="I591" i="6"/>
  <c r="I575" i="6"/>
  <c r="I552" i="6"/>
  <c r="I549" i="6"/>
  <c r="I548" i="6"/>
  <c r="I542" i="6"/>
  <c r="I538" i="6"/>
  <c r="I534" i="6"/>
  <c r="I530" i="6"/>
  <c r="I526" i="6"/>
  <c r="I522" i="6"/>
  <c r="I518" i="6"/>
  <c r="I594" i="6"/>
  <c r="I578" i="6"/>
  <c r="I555" i="6"/>
  <c r="I554" i="6"/>
  <c r="I553" i="6"/>
  <c r="I547" i="6"/>
  <c r="I595" i="6"/>
  <c r="I579" i="6"/>
  <c r="I556" i="6"/>
  <c r="I546" i="6"/>
  <c r="I541" i="6"/>
  <c r="I537" i="6"/>
  <c r="I533" i="6"/>
  <c r="I529" i="6"/>
  <c r="I525" i="6"/>
  <c r="I521" i="6"/>
  <c r="I599" i="6"/>
  <c r="I558" i="6"/>
  <c r="I532" i="6"/>
  <c r="I508" i="6"/>
  <c r="I504" i="6"/>
  <c r="I500" i="6"/>
  <c r="I496" i="6"/>
  <c r="I492" i="6"/>
  <c r="I488" i="6"/>
  <c r="I484" i="6"/>
  <c r="I480" i="6"/>
  <c r="I476" i="6"/>
  <c r="I472" i="6"/>
  <c r="I582" i="6"/>
  <c r="I544" i="6"/>
  <c r="I516" i="6"/>
  <c r="I524" i="6"/>
  <c r="I517" i="6"/>
  <c r="I512" i="6"/>
  <c r="I511" i="6"/>
  <c r="I507" i="6"/>
  <c r="I503" i="6"/>
  <c r="I499" i="6"/>
  <c r="I495" i="6"/>
  <c r="I491" i="6"/>
  <c r="I487" i="6"/>
  <c r="I483" i="6"/>
  <c r="I479" i="6"/>
  <c r="I475" i="6"/>
  <c r="I471" i="6"/>
  <c r="I598" i="6"/>
  <c r="I560" i="6"/>
  <c r="I557" i="6"/>
  <c r="I536" i="6"/>
  <c r="I513" i="6"/>
  <c r="I510" i="6"/>
  <c r="I506" i="6"/>
  <c r="I502" i="6"/>
  <c r="I498" i="6"/>
  <c r="I494" i="6"/>
  <c r="I490" i="6"/>
  <c r="I486" i="6"/>
  <c r="I482" i="6"/>
  <c r="I478" i="6"/>
  <c r="I474" i="6"/>
  <c r="I470" i="6"/>
  <c r="I583" i="6"/>
  <c r="I520" i="6"/>
  <c r="I515" i="6"/>
  <c r="I528" i="6"/>
  <c r="I501" i="6"/>
  <c r="I464" i="6"/>
  <c r="I460" i="6"/>
  <c r="I456" i="6"/>
  <c r="I452" i="6"/>
  <c r="I448" i="6"/>
  <c r="I444" i="6"/>
  <c r="I440" i="6"/>
  <c r="I436" i="6"/>
  <c r="I432" i="6"/>
  <c r="I428" i="6"/>
  <c r="I559" i="6"/>
  <c r="I481" i="6"/>
  <c r="I469" i="6"/>
  <c r="I505" i="6"/>
  <c r="I473" i="6"/>
  <c r="I607" i="6"/>
  <c r="I545" i="6"/>
  <c r="I497" i="6"/>
  <c r="I467" i="6"/>
  <c r="I466" i="6"/>
  <c r="I540" i="6"/>
  <c r="I509" i="6"/>
  <c r="I477" i="6"/>
  <c r="I465" i="6"/>
  <c r="I461" i="6"/>
  <c r="I457" i="6"/>
  <c r="I453" i="6"/>
  <c r="I449" i="6"/>
  <c r="I445" i="6"/>
  <c r="I441" i="6"/>
  <c r="I437" i="6"/>
  <c r="I433" i="6"/>
  <c r="I429" i="6"/>
  <c r="I451" i="6"/>
  <c r="I438" i="6"/>
  <c r="I447" i="6"/>
  <c r="I434" i="6"/>
  <c r="I423" i="6"/>
  <c r="I422" i="6"/>
  <c r="I418" i="6"/>
  <c r="I414" i="6"/>
  <c r="I410" i="6"/>
  <c r="I406" i="6"/>
  <c r="I402" i="6"/>
  <c r="I398" i="6"/>
  <c r="I394" i="6"/>
  <c r="I390" i="6"/>
  <c r="I386" i="6"/>
  <c r="I468" i="6"/>
  <c r="I462" i="6"/>
  <c r="I443" i="6"/>
  <c r="I430" i="6"/>
  <c r="I425" i="6"/>
  <c r="I424" i="6"/>
  <c r="I485" i="6"/>
  <c r="I458" i="6"/>
  <c r="I439" i="6"/>
  <c r="I421" i="6"/>
  <c r="I417" i="6"/>
  <c r="I413" i="6"/>
  <c r="I409" i="6"/>
  <c r="I405" i="6"/>
  <c r="I401" i="6"/>
  <c r="I397" i="6"/>
  <c r="I454" i="6"/>
  <c r="I435" i="6"/>
  <c r="I426" i="6"/>
  <c r="I514" i="6"/>
  <c r="I489" i="6"/>
  <c r="I463" i="6"/>
  <c r="I450" i="6"/>
  <c r="I431" i="6"/>
  <c r="I420" i="6"/>
  <c r="I416" i="6"/>
  <c r="I412" i="6"/>
  <c r="I408" i="6"/>
  <c r="I404" i="6"/>
  <c r="I400" i="6"/>
  <c r="I396" i="6"/>
  <c r="I493" i="6"/>
  <c r="I459" i="6"/>
  <c r="I446" i="6"/>
  <c r="I427" i="6"/>
  <c r="I419" i="6"/>
  <c r="I415" i="6"/>
  <c r="I411" i="6"/>
  <c r="I407" i="6"/>
  <c r="I403" i="6"/>
  <c r="I399" i="6"/>
  <c r="I395" i="6"/>
  <c r="I385" i="6"/>
  <c r="I371" i="6"/>
  <c r="I367" i="6"/>
  <c r="I363" i="6"/>
  <c r="I359" i="6"/>
  <c r="I355" i="6"/>
  <c r="I351" i="6"/>
  <c r="I347" i="6"/>
  <c r="I343" i="6"/>
  <c r="I455" i="6"/>
  <c r="I392" i="6"/>
  <c r="I388" i="6"/>
  <c r="I378" i="6"/>
  <c r="I377" i="6"/>
  <c r="I569" i="6"/>
  <c r="I380" i="6"/>
  <c r="I379" i="6"/>
  <c r="I376" i="6"/>
  <c r="I370" i="6"/>
  <c r="I366" i="6"/>
  <c r="I362" i="6"/>
  <c r="I358" i="6"/>
  <c r="I354" i="6"/>
  <c r="I350" i="6"/>
  <c r="I346" i="6"/>
  <c r="I342" i="6"/>
  <c r="I338" i="6"/>
  <c r="I442" i="6"/>
  <c r="I382" i="6"/>
  <c r="I381" i="6"/>
  <c r="I375" i="6"/>
  <c r="I374" i="6"/>
  <c r="I393" i="6"/>
  <c r="I389" i="6"/>
  <c r="I373" i="6"/>
  <c r="I369" i="6"/>
  <c r="I365" i="6"/>
  <c r="I361" i="6"/>
  <c r="I357" i="6"/>
  <c r="I353" i="6"/>
  <c r="I349" i="6"/>
  <c r="I345" i="6"/>
  <c r="I341" i="6"/>
  <c r="I337" i="6"/>
  <c r="I391" i="6"/>
  <c r="I383" i="6"/>
  <c r="I372" i="6"/>
  <c r="I368" i="6"/>
  <c r="I364" i="6"/>
  <c r="I360" i="6"/>
  <c r="I356" i="6"/>
  <c r="I352" i="6"/>
  <c r="I348" i="6"/>
  <c r="I344" i="6"/>
  <c r="I334" i="6"/>
  <c r="I328" i="6"/>
  <c r="I325" i="6"/>
  <c r="I321" i="6"/>
  <c r="I317" i="6"/>
  <c r="I313" i="6"/>
  <c r="I309" i="6"/>
  <c r="I305" i="6"/>
  <c r="I301" i="6"/>
  <c r="I297" i="6"/>
  <c r="I293" i="6"/>
  <c r="I289" i="6"/>
  <c r="I285" i="6"/>
  <c r="I281" i="6"/>
  <c r="I277" i="6"/>
  <c r="I273" i="6"/>
  <c r="I269" i="6"/>
  <c r="I340" i="6"/>
  <c r="I329" i="6"/>
  <c r="I332" i="6"/>
  <c r="I324" i="6"/>
  <c r="I320" i="6"/>
  <c r="I316" i="6"/>
  <c r="I312" i="6"/>
  <c r="I308" i="6"/>
  <c r="I304" i="6"/>
  <c r="I300" i="6"/>
  <c r="I296" i="6"/>
  <c r="I292" i="6"/>
  <c r="I288" i="6"/>
  <c r="I284" i="6"/>
  <c r="I280" i="6"/>
  <c r="I276" i="6"/>
  <c r="I272" i="6"/>
  <c r="I268" i="6"/>
  <c r="I384" i="6"/>
  <c r="I335" i="6"/>
  <c r="I330" i="6"/>
  <c r="I323" i="6"/>
  <c r="I319" i="6"/>
  <c r="I315" i="6"/>
  <c r="I311" i="6"/>
  <c r="I307" i="6"/>
  <c r="I303" i="6"/>
  <c r="I299" i="6"/>
  <c r="I295" i="6"/>
  <c r="I291" i="6"/>
  <c r="I287" i="6"/>
  <c r="I283" i="6"/>
  <c r="I279" i="6"/>
  <c r="I275" i="6"/>
  <c r="I339" i="6"/>
  <c r="I333" i="6"/>
  <c r="I336" i="6"/>
  <c r="I326" i="6"/>
  <c r="I322" i="6"/>
  <c r="I318" i="6"/>
  <c r="I314" i="6"/>
  <c r="I310" i="6"/>
  <c r="I306" i="6"/>
  <c r="I302" i="6"/>
  <c r="I298" i="6"/>
  <c r="I294" i="6"/>
  <c r="I290" i="6"/>
  <c r="I286" i="6"/>
  <c r="I282" i="6"/>
  <c r="I278" i="6"/>
  <c r="I274" i="6"/>
  <c r="I331" i="6"/>
  <c r="I270" i="6"/>
  <c r="I387" i="6"/>
  <c r="I271" i="6"/>
  <c r="I264" i="6"/>
  <c r="I260" i="6"/>
  <c r="I256" i="6"/>
  <c r="I252" i="6"/>
  <c r="I248" i="6"/>
  <c r="I244" i="6"/>
  <c r="I240" i="6"/>
  <c r="I236" i="6"/>
  <c r="I232" i="6"/>
  <c r="I228" i="6"/>
  <c r="I224" i="6"/>
  <c r="I220" i="6"/>
  <c r="I216" i="6"/>
  <c r="I212" i="6"/>
  <c r="I208" i="6"/>
  <c r="I204" i="6"/>
  <c r="I200" i="6"/>
  <c r="I196" i="6"/>
  <c r="I192" i="6"/>
  <c r="I188" i="6"/>
  <c r="I184" i="6"/>
  <c r="I180" i="6"/>
  <c r="I176" i="6"/>
  <c r="I172" i="6"/>
  <c r="I263" i="6"/>
  <c r="I259" i="6"/>
  <c r="I255" i="6"/>
  <c r="I251" i="6"/>
  <c r="I247" i="6"/>
  <c r="I243" i="6"/>
  <c r="I239" i="6"/>
  <c r="I235" i="6"/>
  <c r="I231" i="6"/>
  <c r="I227" i="6"/>
  <c r="I223" i="6"/>
  <c r="I219" i="6"/>
  <c r="I215" i="6"/>
  <c r="I211" i="6"/>
  <c r="I207" i="6"/>
  <c r="I203" i="6"/>
  <c r="I199" i="6"/>
  <c r="I195" i="6"/>
  <c r="I191" i="6"/>
  <c r="I187" i="6"/>
  <c r="I183" i="6"/>
  <c r="I179" i="6"/>
  <c r="I175" i="6"/>
  <c r="I171" i="6"/>
  <c r="I262" i="6"/>
  <c r="I258" i="6"/>
  <c r="I254" i="6"/>
  <c r="I250" i="6"/>
  <c r="I246" i="6"/>
  <c r="I242" i="6"/>
  <c r="I238" i="6"/>
  <c r="I234" i="6"/>
  <c r="I230" i="6"/>
  <c r="I226" i="6"/>
  <c r="I222" i="6"/>
  <c r="I218" i="6"/>
  <c r="I214" i="6"/>
  <c r="I210" i="6"/>
  <c r="I206" i="6"/>
  <c r="I202" i="6"/>
  <c r="I198" i="6"/>
  <c r="I194" i="6"/>
  <c r="I190" i="6"/>
  <c r="I186" i="6"/>
  <c r="I182" i="6"/>
  <c r="I178" i="6"/>
  <c r="I174" i="6"/>
  <c r="I327" i="6"/>
  <c r="I266" i="6"/>
  <c r="I170" i="6"/>
  <c r="I162" i="6"/>
  <c r="I154" i="6"/>
  <c r="I150" i="6"/>
  <c r="I149" i="6"/>
  <c r="I146" i="6"/>
  <c r="I142" i="6"/>
  <c r="I138" i="6"/>
  <c r="I134" i="6"/>
  <c r="I130" i="6"/>
  <c r="I126" i="6"/>
  <c r="I122" i="6"/>
  <c r="I118" i="6"/>
  <c r="I114" i="6"/>
  <c r="I110" i="6"/>
  <c r="I106" i="6"/>
  <c r="I102" i="6"/>
  <c r="I98" i="6"/>
  <c r="I94" i="6"/>
  <c r="I90" i="6"/>
  <c r="I86" i="6"/>
  <c r="I82" i="6"/>
  <c r="I78" i="6"/>
  <c r="I74" i="6"/>
  <c r="I70" i="6"/>
  <c r="I66" i="6"/>
  <c r="I265" i="6"/>
  <c r="I261" i="6"/>
  <c r="I257" i="6"/>
  <c r="I253" i="6"/>
  <c r="I249" i="6"/>
  <c r="I245" i="6"/>
  <c r="I241" i="6"/>
  <c r="I237" i="6"/>
  <c r="I233" i="6"/>
  <c r="I229" i="6"/>
  <c r="I225" i="6"/>
  <c r="I221" i="6"/>
  <c r="I217" i="6"/>
  <c r="I213" i="6"/>
  <c r="I209" i="6"/>
  <c r="I205" i="6"/>
  <c r="I201" i="6"/>
  <c r="I197" i="6"/>
  <c r="I193" i="6"/>
  <c r="I189" i="6"/>
  <c r="I185" i="6"/>
  <c r="I181" i="6"/>
  <c r="I177" i="6"/>
  <c r="I173" i="6"/>
  <c r="I165" i="6"/>
  <c r="I157" i="6"/>
  <c r="I151" i="6"/>
  <c r="I168" i="6"/>
  <c r="I160" i="6"/>
  <c r="I145" i="6"/>
  <c r="I141" i="6"/>
  <c r="I137" i="6"/>
  <c r="I133" i="6"/>
  <c r="I129" i="6"/>
  <c r="I125" i="6"/>
  <c r="I121" i="6"/>
  <c r="I117" i="6"/>
  <c r="I113" i="6"/>
  <c r="I109" i="6"/>
  <c r="I105" i="6"/>
  <c r="I101" i="6"/>
  <c r="I97" i="6"/>
  <c r="I93" i="6"/>
  <c r="I89" i="6"/>
  <c r="I85" i="6"/>
  <c r="I81" i="6"/>
  <c r="I77" i="6"/>
  <c r="I73" i="6"/>
  <c r="I163" i="6"/>
  <c r="I155" i="6"/>
  <c r="I152" i="6"/>
  <c r="I166" i="6"/>
  <c r="I158" i="6"/>
  <c r="I144" i="6"/>
  <c r="I140" i="6"/>
  <c r="I136" i="6"/>
  <c r="I132" i="6"/>
  <c r="I128" i="6"/>
  <c r="I124" i="6"/>
  <c r="I120" i="6"/>
  <c r="I116" i="6"/>
  <c r="I112" i="6"/>
  <c r="I108" i="6"/>
  <c r="I104" i="6"/>
  <c r="I100" i="6"/>
  <c r="I96" i="6"/>
  <c r="I92" i="6"/>
  <c r="I88" i="6"/>
  <c r="I84" i="6"/>
  <c r="I267" i="6"/>
  <c r="I169" i="6"/>
  <c r="I161" i="6"/>
  <c r="I153" i="6"/>
  <c r="I164" i="6"/>
  <c r="I156" i="6"/>
  <c r="I147" i="6"/>
  <c r="I143" i="6"/>
  <c r="I139" i="6"/>
  <c r="I135" i="6"/>
  <c r="I131" i="6"/>
  <c r="I127" i="6"/>
  <c r="I123" i="6"/>
  <c r="I119" i="6"/>
  <c r="I115" i="6"/>
  <c r="I111" i="6"/>
  <c r="I107" i="6"/>
  <c r="I103" i="6"/>
  <c r="I99" i="6"/>
  <c r="I95" i="6"/>
  <c r="I91" i="6"/>
  <c r="I87" i="6"/>
  <c r="I83" i="6"/>
  <c r="I79" i="6"/>
  <c r="I75" i="6"/>
  <c r="I71" i="6"/>
  <c r="I21" i="6"/>
  <c r="I25" i="6"/>
  <c r="I29" i="6"/>
  <c r="I33" i="6"/>
  <c r="I37" i="6"/>
  <c r="I41" i="6"/>
  <c r="L45" i="6"/>
  <c r="I53" i="6"/>
  <c r="I62" i="6"/>
  <c r="L69" i="6"/>
  <c r="I76" i="6"/>
  <c r="L105" i="6"/>
  <c r="L137" i="6"/>
  <c r="I148" i="6"/>
  <c r="L16" i="6"/>
  <c r="L20" i="6"/>
  <c r="L24" i="6"/>
  <c r="L28" i="6"/>
  <c r="L32" i="6"/>
  <c r="L36" i="6"/>
  <c r="L40" i="6"/>
  <c r="L44" i="6"/>
  <c r="I48" i="6"/>
  <c r="L49" i="6"/>
  <c r="I57" i="6"/>
  <c r="I68" i="6"/>
  <c r="L81" i="6"/>
  <c r="L109" i="6"/>
  <c r="L141" i="6"/>
  <c r="I159" i="6"/>
  <c r="N163" i="4" l="1"/>
  <c r="N166" i="4"/>
  <c r="N182" i="4"/>
  <c r="N198" i="4"/>
  <c r="N222" i="4"/>
  <c r="N238" i="4"/>
  <c r="N254" i="4"/>
  <c r="N270" i="4"/>
  <c r="N286" i="4"/>
  <c r="N302" i="4"/>
  <c r="N318" i="4"/>
  <c r="N172" i="4"/>
  <c r="N149" i="4"/>
  <c r="N157" i="4"/>
  <c r="N173" i="4"/>
  <c r="N189" i="4"/>
  <c r="N205" i="4"/>
  <c r="N359" i="4"/>
  <c r="N384" i="4"/>
  <c r="N448" i="4"/>
  <c r="N195" i="4"/>
  <c r="N168" i="4"/>
  <c r="N184" i="4"/>
  <c r="N200" i="4"/>
  <c r="N11" i="4"/>
  <c r="N204" i="4"/>
  <c r="N175" i="4"/>
  <c r="N156" i="4"/>
  <c r="N62" i="4"/>
  <c r="N30" i="4"/>
  <c r="N154" i="4"/>
  <c r="N170" i="4"/>
  <c r="N186" i="4"/>
  <c r="N202" i="4"/>
  <c r="G9" i="5"/>
  <c r="G17" i="5"/>
  <c r="G16" i="5"/>
  <c r="E609" i="5"/>
  <c r="E605" i="5"/>
  <c r="E601" i="5"/>
  <c r="E597" i="5"/>
  <c r="E612" i="5"/>
  <c r="E608" i="5"/>
  <c r="E604" i="5"/>
  <c r="E600" i="5"/>
  <c r="E596" i="5"/>
  <c r="E592" i="5"/>
  <c r="E588" i="5"/>
  <c r="E584" i="5"/>
  <c r="E580" i="5"/>
  <c r="E576" i="5"/>
  <c r="E572" i="5"/>
  <c r="E568" i="5"/>
  <c r="E564" i="5"/>
  <c r="E560" i="5"/>
  <c r="E556" i="5"/>
  <c r="E611" i="5"/>
  <c r="E607" i="5"/>
  <c r="E603" i="5"/>
  <c r="E599" i="5"/>
  <c r="E595" i="5"/>
  <c r="E591" i="5"/>
  <c r="E587" i="5"/>
  <c r="E583" i="5"/>
  <c r="E579" i="5"/>
  <c r="E575" i="5"/>
  <c r="E571" i="5"/>
  <c r="E567" i="5"/>
  <c r="E610" i="5"/>
  <c r="E606" i="5"/>
  <c r="E602" i="5"/>
  <c r="E582" i="5"/>
  <c r="E569" i="5"/>
  <c r="E548" i="5"/>
  <c r="E578" i="5"/>
  <c r="E565" i="5"/>
  <c r="E553" i="5"/>
  <c r="E544" i="5"/>
  <c r="E539" i="5"/>
  <c r="E535" i="5"/>
  <c r="E531" i="5"/>
  <c r="E527" i="5"/>
  <c r="E523" i="5"/>
  <c r="E519" i="5"/>
  <c r="E515" i="5"/>
  <c r="E511" i="5"/>
  <c r="E507" i="5"/>
  <c r="E503" i="5"/>
  <c r="E499" i="5"/>
  <c r="E495" i="5"/>
  <c r="E491" i="5"/>
  <c r="E487" i="5"/>
  <c r="E483" i="5"/>
  <c r="E479" i="5"/>
  <c r="E593" i="5"/>
  <c r="E574" i="5"/>
  <c r="E563" i="5"/>
  <c r="E557" i="5"/>
  <c r="E554" i="5"/>
  <c r="E549" i="5"/>
  <c r="E589" i="5"/>
  <c r="E570" i="5"/>
  <c r="E550" i="5"/>
  <c r="E545" i="5"/>
  <c r="E538" i="5"/>
  <c r="E534" i="5"/>
  <c r="E530" i="5"/>
  <c r="E526" i="5"/>
  <c r="E522" i="5"/>
  <c r="E518" i="5"/>
  <c r="E514" i="5"/>
  <c r="E510" i="5"/>
  <c r="E506" i="5"/>
  <c r="E502" i="5"/>
  <c r="E498" i="5"/>
  <c r="E494" i="5"/>
  <c r="E490" i="5"/>
  <c r="E486" i="5"/>
  <c r="E482" i="5"/>
  <c r="E478" i="5"/>
  <c r="E474" i="5"/>
  <c r="E470" i="5"/>
  <c r="E466" i="5"/>
  <c r="E462" i="5"/>
  <c r="E458" i="5"/>
  <c r="E454" i="5"/>
  <c r="E598" i="5"/>
  <c r="E594" i="5"/>
  <c r="E581" i="5"/>
  <c r="E561" i="5"/>
  <c r="E551" i="5"/>
  <c r="E542" i="5"/>
  <c r="E541" i="5"/>
  <c r="E537" i="5"/>
  <c r="E533" i="5"/>
  <c r="E529" i="5"/>
  <c r="E525" i="5"/>
  <c r="E521" i="5"/>
  <c r="E517" i="5"/>
  <c r="E513" i="5"/>
  <c r="E509" i="5"/>
  <c r="E505" i="5"/>
  <c r="E501" i="5"/>
  <c r="E497" i="5"/>
  <c r="E493" i="5"/>
  <c r="E489" i="5"/>
  <c r="E485" i="5"/>
  <c r="E481" i="5"/>
  <c r="E477" i="5"/>
  <c r="E473" i="5"/>
  <c r="E469" i="5"/>
  <c r="E465" i="5"/>
  <c r="E461" i="5"/>
  <c r="E457" i="5"/>
  <c r="E590" i="5"/>
  <c r="E577" i="5"/>
  <c r="E547" i="5"/>
  <c r="E562" i="5"/>
  <c r="E555" i="5"/>
  <c r="E536" i="5"/>
  <c r="E504" i="5"/>
  <c r="E464" i="5"/>
  <c r="E453" i="5"/>
  <c r="E443" i="5"/>
  <c r="E439" i="5"/>
  <c r="E435" i="5"/>
  <c r="E431" i="5"/>
  <c r="E427" i="5"/>
  <c r="E423" i="5"/>
  <c r="E419" i="5"/>
  <c r="E415" i="5"/>
  <c r="E411" i="5"/>
  <c r="E407" i="5"/>
  <c r="E403" i="5"/>
  <c r="E399" i="5"/>
  <c r="E395" i="5"/>
  <c r="E391" i="5"/>
  <c r="E387" i="5"/>
  <c r="E383" i="5"/>
  <c r="E379" i="5"/>
  <c r="E375" i="5"/>
  <c r="E558" i="5"/>
  <c r="E516" i="5"/>
  <c r="E484" i="5"/>
  <c r="E475" i="5"/>
  <c r="E460" i="5"/>
  <c r="E447" i="5"/>
  <c r="E586" i="5"/>
  <c r="E573" i="5"/>
  <c r="E528" i="5"/>
  <c r="E496" i="5"/>
  <c r="E471" i="5"/>
  <c r="E456" i="5"/>
  <c r="E450" i="5"/>
  <c r="E449" i="5"/>
  <c r="E448" i="5"/>
  <c r="E446" i="5"/>
  <c r="E442" i="5"/>
  <c r="E438" i="5"/>
  <c r="E434" i="5"/>
  <c r="E430" i="5"/>
  <c r="E426" i="5"/>
  <c r="E422" i="5"/>
  <c r="E418" i="5"/>
  <c r="E414" i="5"/>
  <c r="E410" i="5"/>
  <c r="E406" i="5"/>
  <c r="E402" i="5"/>
  <c r="E398" i="5"/>
  <c r="E394" i="5"/>
  <c r="E390" i="5"/>
  <c r="E386" i="5"/>
  <c r="E382" i="5"/>
  <c r="E378" i="5"/>
  <c r="E540" i="5"/>
  <c r="E508" i="5"/>
  <c r="E467" i="5"/>
  <c r="E585" i="5"/>
  <c r="E543" i="5"/>
  <c r="E520" i="5"/>
  <c r="E488" i="5"/>
  <c r="E463" i="5"/>
  <c r="E451" i="5"/>
  <c r="E445" i="5"/>
  <c r="E441" i="5"/>
  <c r="E437" i="5"/>
  <c r="E433" i="5"/>
  <c r="E429" i="5"/>
  <c r="E425" i="5"/>
  <c r="E421" i="5"/>
  <c r="E417" i="5"/>
  <c r="E413" i="5"/>
  <c r="E409" i="5"/>
  <c r="E405" i="5"/>
  <c r="E401" i="5"/>
  <c r="E397" i="5"/>
  <c r="E393" i="5"/>
  <c r="E389" i="5"/>
  <c r="E385" i="5"/>
  <c r="E381" i="5"/>
  <c r="E377" i="5"/>
  <c r="E373" i="5"/>
  <c r="E546" i="5"/>
  <c r="E532" i="5"/>
  <c r="E500" i="5"/>
  <c r="E476" i="5"/>
  <c r="E459" i="5"/>
  <c r="E444" i="5"/>
  <c r="E412" i="5"/>
  <c r="E380" i="5"/>
  <c r="E368" i="5"/>
  <c r="E367" i="5"/>
  <c r="E355" i="5"/>
  <c r="E351" i="5"/>
  <c r="E347" i="5"/>
  <c r="E343" i="5"/>
  <c r="E339" i="5"/>
  <c r="E335" i="5"/>
  <c r="E331" i="5"/>
  <c r="E327" i="5"/>
  <c r="E323" i="5"/>
  <c r="E319" i="5"/>
  <c r="E315" i="5"/>
  <c r="E311" i="5"/>
  <c r="E307" i="5"/>
  <c r="E303" i="5"/>
  <c r="E299" i="5"/>
  <c r="E295" i="5"/>
  <c r="E291" i="5"/>
  <c r="E287" i="5"/>
  <c r="E283" i="5"/>
  <c r="E279" i="5"/>
  <c r="E275" i="5"/>
  <c r="E271" i="5"/>
  <c r="E267" i="5"/>
  <c r="E263" i="5"/>
  <c r="E259" i="5"/>
  <c r="E255" i="5"/>
  <c r="E251" i="5"/>
  <c r="E247" i="5"/>
  <c r="E480" i="5"/>
  <c r="E424" i="5"/>
  <c r="E392" i="5"/>
  <c r="E369" i="5"/>
  <c r="E452" i="5"/>
  <c r="E436" i="5"/>
  <c r="E404" i="5"/>
  <c r="E370" i="5"/>
  <c r="E354" i="5"/>
  <c r="E350" i="5"/>
  <c r="E346" i="5"/>
  <c r="E342" i="5"/>
  <c r="E338" i="5"/>
  <c r="E334" i="5"/>
  <c r="E330" i="5"/>
  <c r="E326" i="5"/>
  <c r="E322" i="5"/>
  <c r="E318" i="5"/>
  <c r="E314" i="5"/>
  <c r="E310" i="5"/>
  <c r="E306" i="5"/>
  <c r="E302" i="5"/>
  <c r="E298" i="5"/>
  <c r="E294" i="5"/>
  <c r="E290" i="5"/>
  <c r="E286" i="5"/>
  <c r="E282" i="5"/>
  <c r="E278" i="5"/>
  <c r="E274" i="5"/>
  <c r="E270" i="5"/>
  <c r="E566" i="5"/>
  <c r="E416" i="5"/>
  <c r="E384" i="5"/>
  <c r="E358" i="5"/>
  <c r="E559" i="5"/>
  <c r="E552" i="5"/>
  <c r="E524" i="5"/>
  <c r="E455" i="5"/>
  <c r="E428" i="5"/>
  <c r="E396" i="5"/>
  <c r="E360" i="5"/>
  <c r="E359" i="5"/>
  <c r="E357" i="5"/>
  <c r="E353" i="5"/>
  <c r="E349" i="5"/>
  <c r="E345" i="5"/>
  <c r="E341" i="5"/>
  <c r="E337" i="5"/>
  <c r="E333" i="5"/>
  <c r="E329" i="5"/>
  <c r="E325" i="5"/>
  <c r="E321" i="5"/>
  <c r="E317" i="5"/>
  <c r="E313" i="5"/>
  <c r="E309" i="5"/>
  <c r="E305" i="5"/>
  <c r="E301" i="5"/>
  <c r="E297" i="5"/>
  <c r="E293" i="5"/>
  <c r="E289" i="5"/>
  <c r="E285" i="5"/>
  <c r="E281" i="5"/>
  <c r="E277" i="5"/>
  <c r="E273" i="5"/>
  <c r="E269" i="5"/>
  <c r="E265" i="5"/>
  <c r="E261" i="5"/>
  <c r="E257" i="5"/>
  <c r="E472" i="5"/>
  <c r="E468" i="5"/>
  <c r="E440" i="5"/>
  <c r="E408" i="5"/>
  <c r="E371" i="5"/>
  <c r="E362" i="5"/>
  <c r="E361" i="5"/>
  <c r="E492" i="5"/>
  <c r="E420" i="5"/>
  <c r="E388" i="5"/>
  <c r="E376" i="5"/>
  <c r="E364" i="5"/>
  <c r="E363" i="5"/>
  <c r="E356" i="5"/>
  <c r="E352" i="5"/>
  <c r="E348" i="5"/>
  <c r="E344" i="5"/>
  <c r="E340" i="5"/>
  <c r="E336" i="5"/>
  <c r="E332" i="5"/>
  <c r="E328" i="5"/>
  <c r="E324" i="5"/>
  <c r="E320" i="5"/>
  <c r="E316" i="5"/>
  <c r="E312" i="5"/>
  <c r="E308" i="5"/>
  <c r="E304" i="5"/>
  <c r="E300" i="5"/>
  <c r="E296" i="5"/>
  <c r="E292" i="5"/>
  <c r="E288" i="5"/>
  <c r="E284" i="5"/>
  <c r="E280" i="5"/>
  <c r="E276" i="5"/>
  <c r="E272" i="5"/>
  <c r="E268" i="5"/>
  <c r="E264" i="5"/>
  <c r="E260" i="5"/>
  <c r="E240" i="5"/>
  <c r="E234" i="5"/>
  <c r="E230" i="5"/>
  <c r="E226" i="5"/>
  <c r="E222" i="5"/>
  <c r="E218" i="5"/>
  <c r="E214" i="5"/>
  <c r="E210" i="5"/>
  <c r="E206" i="5"/>
  <c r="E202" i="5"/>
  <c r="E198" i="5"/>
  <c r="E194" i="5"/>
  <c r="E190" i="5"/>
  <c r="E186" i="5"/>
  <c r="E182" i="5"/>
  <c r="E178" i="5"/>
  <c r="E174" i="5"/>
  <c r="E170" i="5"/>
  <c r="E166" i="5"/>
  <c r="E162" i="5"/>
  <c r="E158" i="5"/>
  <c r="E154" i="5"/>
  <c r="E150" i="5"/>
  <c r="E146" i="5"/>
  <c r="E142" i="5"/>
  <c r="E138" i="5"/>
  <c r="E134" i="5"/>
  <c r="E130" i="5"/>
  <c r="E126" i="5"/>
  <c r="E122" i="5"/>
  <c r="E118" i="5"/>
  <c r="E114" i="5"/>
  <c r="E110" i="5"/>
  <c r="E106" i="5"/>
  <c r="E102" i="5"/>
  <c r="E374" i="5"/>
  <c r="E365" i="5"/>
  <c r="E262" i="5"/>
  <c r="E258" i="5"/>
  <c r="E256" i="5"/>
  <c r="E248" i="5"/>
  <c r="E245" i="5"/>
  <c r="E254" i="5"/>
  <c r="E241" i="5"/>
  <c r="E233" i="5"/>
  <c r="E229" i="5"/>
  <c r="E225" i="5"/>
  <c r="E221" i="5"/>
  <c r="E217" i="5"/>
  <c r="E213" i="5"/>
  <c r="E209" i="5"/>
  <c r="E205" i="5"/>
  <c r="E201" i="5"/>
  <c r="E197" i="5"/>
  <c r="E193" i="5"/>
  <c r="E189" i="5"/>
  <c r="E185" i="5"/>
  <c r="E181" i="5"/>
  <c r="E177" i="5"/>
  <c r="E173" i="5"/>
  <c r="E169" i="5"/>
  <c r="E165" i="5"/>
  <c r="E161" i="5"/>
  <c r="E157" i="5"/>
  <c r="E153" i="5"/>
  <c r="E149" i="5"/>
  <c r="E145" i="5"/>
  <c r="E141" i="5"/>
  <c r="E137" i="5"/>
  <c r="E133" i="5"/>
  <c r="E129" i="5"/>
  <c r="E125" i="5"/>
  <c r="E237" i="5"/>
  <c r="E372" i="5"/>
  <c r="E266" i="5"/>
  <c r="E252" i="5"/>
  <c r="E249" i="5"/>
  <c r="E246" i="5"/>
  <c r="E242" i="5"/>
  <c r="E236" i="5"/>
  <c r="E232" i="5"/>
  <c r="E228" i="5"/>
  <c r="E224" i="5"/>
  <c r="E220" i="5"/>
  <c r="E216" i="5"/>
  <c r="E212" i="5"/>
  <c r="E208" i="5"/>
  <c r="E204" i="5"/>
  <c r="E200" i="5"/>
  <c r="E196" i="5"/>
  <c r="E192" i="5"/>
  <c r="E188" i="5"/>
  <c r="E184" i="5"/>
  <c r="E180" i="5"/>
  <c r="E176" i="5"/>
  <c r="E172" i="5"/>
  <c r="E168" i="5"/>
  <c r="E164" i="5"/>
  <c r="E160" i="5"/>
  <c r="E156" i="5"/>
  <c r="E152" i="5"/>
  <c r="E148" i="5"/>
  <c r="E144" i="5"/>
  <c r="E140" i="5"/>
  <c r="E136" i="5"/>
  <c r="E132" i="5"/>
  <c r="E128" i="5"/>
  <c r="E124" i="5"/>
  <c r="E120" i="5"/>
  <c r="E432" i="5"/>
  <c r="E238" i="5"/>
  <c r="E512" i="5"/>
  <c r="E400" i="5"/>
  <c r="E243" i="5"/>
  <c r="E235" i="5"/>
  <c r="E231" i="5"/>
  <c r="E227" i="5"/>
  <c r="E223" i="5"/>
  <c r="E219" i="5"/>
  <c r="E215" i="5"/>
  <c r="E211" i="5"/>
  <c r="E207" i="5"/>
  <c r="E203" i="5"/>
  <c r="E199" i="5"/>
  <c r="E195" i="5"/>
  <c r="E191" i="5"/>
  <c r="E187" i="5"/>
  <c r="E183" i="5"/>
  <c r="E179" i="5"/>
  <c r="E175" i="5"/>
  <c r="E171" i="5"/>
  <c r="E167" i="5"/>
  <c r="E163" i="5"/>
  <c r="E159" i="5"/>
  <c r="E155" i="5"/>
  <c r="E151" i="5"/>
  <c r="E147" i="5"/>
  <c r="E143" i="5"/>
  <c r="E139" i="5"/>
  <c r="E135" i="5"/>
  <c r="E131" i="5"/>
  <c r="E127" i="5"/>
  <c r="E123" i="5"/>
  <c r="E119" i="5"/>
  <c r="E115" i="5"/>
  <c r="E111" i="5"/>
  <c r="E108" i="5"/>
  <c r="E105" i="5"/>
  <c r="E93" i="5"/>
  <c r="E13" i="5"/>
  <c r="E366" i="5"/>
  <c r="E98" i="5"/>
  <c r="E89" i="5"/>
  <c r="E82" i="5"/>
  <c r="E78" i="5"/>
  <c r="E74" i="5"/>
  <c r="E70" i="5"/>
  <c r="E66" i="5"/>
  <c r="E62" i="5"/>
  <c r="E58" i="5"/>
  <c r="E54" i="5"/>
  <c r="E50" i="5"/>
  <c r="E46" i="5"/>
  <c r="E42" i="5"/>
  <c r="E38" i="5"/>
  <c r="E34" i="5"/>
  <c r="E30" i="5"/>
  <c r="E26" i="5"/>
  <c r="E22" i="5"/>
  <c r="E18" i="5"/>
  <c r="E250" i="5"/>
  <c r="E103" i="5"/>
  <c r="E99" i="5"/>
  <c r="E94" i="5"/>
  <c r="E117" i="5"/>
  <c r="E112" i="5"/>
  <c r="E109" i="5"/>
  <c r="E95" i="5"/>
  <c r="E90" i="5"/>
  <c r="E85" i="5"/>
  <c r="E81" i="5"/>
  <c r="E77" i="5"/>
  <c r="E73" i="5"/>
  <c r="E69" i="5"/>
  <c r="E65" i="5"/>
  <c r="E61" i="5"/>
  <c r="E57" i="5"/>
  <c r="E53" i="5"/>
  <c r="E49" i="5"/>
  <c r="E45" i="5"/>
  <c r="E41" i="5"/>
  <c r="E37" i="5"/>
  <c r="E33" i="5"/>
  <c r="E29" i="5"/>
  <c r="E25" i="5"/>
  <c r="E21" i="5"/>
  <c r="E17" i="5"/>
  <c r="J7" i="5"/>
  <c r="E244" i="5"/>
  <c r="E239" i="5"/>
  <c r="E100" i="5"/>
  <c r="E91" i="5"/>
  <c r="E86" i="5"/>
  <c r="E253" i="5"/>
  <c r="E121" i="5"/>
  <c r="E107" i="5"/>
  <c r="E104" i="5"/>
  <c r="E96" i="5"/>
  <c r="E87" i="5"/>
  <c r="E84" i="5"/>
  <c r="E80" i="5"/>
  <c r="E76" i="5"/>
  <c r="E72" i="5"/>
  <c r="E68" i="5"/>
  <c r="E64" i="5"/>
  <c r="E60" i="5"/>
  <c r="E56" i="5"/>
  <c r="E52" i="5"/>
  <c r="E48" i="5"/>
  <c r="E44" i="5"/>
  <c r="E40" i="5"/>
  <c r="E36" i="5"/>
  <c r="E32" i="5"/>
  <c r="E28" i="5"/>
  <c r="E24" i="5"/>
  <c r="E20" i="5"/>
  <c r="E16" i="5"/>
  <c r="E113" i="5"/>
  <c r="E101" i="5"/>
  <c r="E92" i="5"/>
  <c r="E15" i="5"/>
  <c r="E116" i="5"/>
  <c r="E97" i="5"/>
  <c r="E88" i="5"/>
  <c r="E83" i="5"/>
  <c r="E79" i="5"/>
  <c r="E75" i="5"/>
  <c r="E71" i="5"/>
  <c r="E67" i="5"/>
  <c r="E63" i="5"/>
  <c r="E59" i="5"/>
  <c r="E55" i="5"/>
  <c r="E51" i="5"/>
  <c r="E47" i="5"/>
  <c r="E43" i="5"/>
  <c r="E39" i="5"/>
  <c r="E35" i="5"/>
  <c r="E31" i="5"/>
  <c r="E27" i="5"/>
  <c r="E23" i="5"/>
  <c r="E19" i="5"/>
  <c r="E14" i="5"/>
  <c r="N98" i="4"/>
  <c r="N82" i="4"/>
  <c r="N50" i="4"/>
  <c r="N34" i="4"/>
  <c r="N18" i="4"/>
  <c r="M67" i="4"/>
  <c r="M129" i="4"/>
  <c r="M113" i="4"/>
  <c r="M97" i="4"/>
  <c r="M79" i="4"/>
  <c r="M51" i="4"/>
  <c r="M29" i="4"/>
  <c r="M524" i="4"/>
  <c r="M560" i="4"/>
  <c r="M532" i="4"/>
  <c r="M596" i="4"/>
  <c r="N131" i="4"/>
  <c r="G9" i="6"/>
  <c r="G17" i="6"/>
  <c r="G16" i="6"/>
  <c r="E611" i="6"/>
  <c r="E607" i="6"/>
  <c r="E603" i="6"/>
  <c r="E599" i="6"/>
  <c r="E595" i="6"/>
  <c r="E591" i="6"/>
  <c r="E587" i="6"/>
  <c r="E583" i="6"/>
  <c r="E579" i="6"/>
  <c r="E575" i="6"/>
  <c r="E571" i="6"/>
  <c r="E610" i="6"/>
  <c r="E606" i="6"/>
  <c r="E602" i="6"/>
  <c r="E598" i="6"/>
  <c r="E594" i="6"/>
  <c r="E590" i="6"/>
  <c r="E586" i="6"/>
  <c r="E582" i="6"/>
  <c r="E578" i="6"/>
  <c r="E574" i="6"/>
  <c r="E570" i="6"/>
  <c r="E612" i="6"/>
  <c r="E608" i="6"/>
  <c r="E609" i="6"/>
  <c r="E605" i="6"/>
  <c r="E592" i="6"/>
  <c r="E589" i="6"/>
  <c r="E576" i="6"/>
  <c r="E573" i="6"/>
  <c r="E569" i="6"/>
  <c r="E557" i="6"/>
  <c r="E556" i="6"/>
  <c r="E555" i="6"/>
  <c r="E547" i="6"/>
  <c r="E546" i="6"/>
  <c r="E558" i="6"/>
  <c r="E545" i="6"/>
  <c r="E541" i="6"/>
  <c r="E537" i="6"/>
  <c r="E533" i="6"/>
  <c r="E529" i="6"/>
  <c r="E525" i="6"/>
  <c r="E521" i="6"/>
  <c r="E596" i="6"/>
  <c r="E593" i="6"/>
  <c r="E580" i="6"/>
  <c r="E577" i="6"/>
  <c r="E561" i="6"/>
  <c r="E560" i="6"/>
  <c r="E559" i="6"/>
  <c r="E562" i="6"/>
  <c r="E544" i="6"/>
  <c r="E540" i="6"/>
  <c r="E536" i="6"/>
  <c r="E532" i="6"/>
  <c r="E528" i="6"/>
  <c r="E524" i="6"/>
  <c r="E520" i="6"/>
  <c r="E600" i="6"/>
  <c r="E597" i="6"/>
  <c r="E584" i="6"/>
  <c r="E581" i="6"/>
  <c r="E565" i="6"/>
  <c r="E564" i="6"/>
  <c r="E563" i="6"/>
  <c r="E566" i="6"/>
  <c r="E550" i="6"/>
  <c r="E543" i="6"/>
  <c r="E539" i="6"/>
  <c r="E535" i="6"/>
  <c r="E531" i="6"/>
  <c r="E527" i="6"/>
  <c r="E523" i="6"/>
  <c r="E542" i="6"/>
  <c r="E518" i="6"/>
  <c r="E514" i="6"/>
  <c r="E510" i="6"/>
  <c r="E506" i="6"/>
  <c r="E502" i="6"/>
  <c r="E498" i="6"/>
  <c r="E494" i="6"/>
  <c r="E490" i="6"/>
  <c r="E486" i="6"/>
  <c r="E482" i="6"/>
  <c r="E478" i="6"/>
  <c r="E474" i="6"/>
  <c r="E568" i="6"/>
  <c r="E549" i="6"/>
  <c r="E522" i="6"/>
  <c r="E515" i="6"/>
  <c r="E604" i="6"/>
  <c r="E552" i="6"/>
  <c r="E534" i="6"/>
  <c r="E509" i="6"/>
  <c r="E505" i="6"/>
  <c r="E501" i="6"/>
  <c r="E497" i="6"/>
  <c r="E493" i="6"/>
  <c r="E489" i="6"/>
  <c r="E485" i="6"/>
  <c r="E481" i="6"/>
  <c r="E477" i="6"/>
  <c r="E473" i="6"/>
  <c r="E585" i="6"/>
  <c r="E567" i="6"/>
  <c r="E519" i="6"/>
  <c r="E516" i="6"/>
  <c r="E588" i="6"/>
  <c r="E526" i="6"/>
  <c r="E512" i="6"/>
  <c r="E508" i="6"/>
  <c r="E504" i="6"/>
  <c r="E500" i="6"/>
  <c r="E496" i="6"/>
  <c r="E492" i="6"/>
  <c r="E488" i="6"/>
  <c r="E484" i="6"/>
  <c r="E480" i="6"/>
  <c r="E476" i="6"/>
  <c r="E472" i="6"/>
  <c r="E601" i="6"/>
  <c r="E553" i="6"/>
  <c r="E530" i="6"/>
  <c r="E511" i="6"/>
  <c r="E479" i="6"/>
  <c r="E467" i="6"/>
  <c r="E462" i="6"/>
  <c r="E458" i="6"/>
  <c r="E454" i="6"/>
  <c r="E450" i="6"/>
  <c r="E446" i="6"/>
  <c r="E442" i="6"/>
  <c r="E438" i="6"/>
  <c r="E434" i="6"/>
  <c r="E430" i="6"/>
  <c r="E554" i="6"/>
  <c r="E548" i="6"/>
  <c r="E538" i="6"/>
  <c r="E517" i="6"/>
  <c r="E491" i="6"/>
  <c r="E468" i="6"/>
  <c r="E466" i="6"/>
  <c r="E513" i="6"/>
  <c r="E483" i="6"/>
  <c r="E469" i="6"/>
  <c r="E551" i="6"/>
  <c r="E507" i="6"/>
  <c r="E475" i="6"/>
  <c r="E487" i="6"/>
  <c r="E470" i="6"/>
  <c r="E463" i="6"/>
  <c r="E459" i="6"/>
  <c r="E455" i="6"/>
  <c r="E451" i="6"/>
  <c r="E447" i="6"/>
  <c r="E443" i="6"/>
  <c r="E439" i="6"/>
  <c r="E435" i="6"/>
  <c r="E431" i="6"/>
  <c r="E457" i="6"/>
  <c r="E440" i="6"/>
  <c r="E427" i="6"/>
  <c r="E503" i="6"/>
  <c r="E453" i="6"/>
  <c r="E436" i="6"/>
  <c r="E420" i="6"/>
  <c r="E416" i="6"/>
  <c r="E412" i="6"/>
  <c r="E408" i="6"/>
  <c r="E404" i="6"/>
  <c r="E400" i="6"/>
  <c r="E396" i="6"/>
  <c r="E392" i="6"/>
  <c r="E388" i="6"/>
  <c r="E499" i="6"/>
  <c r="E495" i="6"/>
  <c r="E464" i="6"/>
  <c r="E449" i="6"/>
  <c r="E432" i="6"/>
  <c r="E572" i="6"/>
  <c r="E460" i="6"/>
  <c r="E445" i="6"/>
  <c r="E428" i="6"/>
  <c r="E419" i="6"/>
  <c r="E415" i="6"/>
  <c r="E411" i="6"/>
  <c r="E407" i="6"/>
  <c r="E403" i="6"/>
  <c r="E399" i="6"/>
  <c r="E395" i="6"/>
  <c r="E471" i="6"/>
  <c r="E456" i="6"/>
  <c r="E441" i="6"/>
  <c r="E424" i="6"/>
  <c r="E423" i="6"/>
  <c r="E452" i="6"/>
  <c r="E437" i="6"/>
  <c r="E425" i="6"/>
  <c r="E422" i="6"/>
  <c r="E418" i="6"/>
  <c r="E414" i="6"/>
  <c r="E410" i="6"/>
  <c r="E406" i="6"/>
  <c r="E402" i="6"/>
  <c r="E398" i="6"/>
  <c r="E465" i="6"/>
  <c r="E448" i="6"/>
  <c r="E433" i="6"/>
  <c r="E387" i="6"/>
  <c r="E383" i="6"/>
  <c r="E374" i="6"/>
  <c r="E461" i="6"/>
  <c r="E444" i="6"/>
  <c r="E373" i="6"/>
  <c r="E369" i="6"/>
  <c r="E365" i="6"/>
  <c r="E361" i="6"/>
  <c r="E357" i="6"/>
  <c r="E353" i="6"/>
  <c r="E349" i="6"/>
  <c r="E345" i="6"/>
  <c r="E384" i="6"/>
  <c r="E426" i="6"/>
  <c r="E394" i="6"/>
  <c r="E390" i="6"/>
  <c r="E372" i="6"/>
  <c r="E368" i="6"/>
  <c r="E364" i="6"/>
  <c r="E360" i="6"/>
  <c r="E356" i="6"/>
  <c r="E352" i="6"/>
  <c r="E348" i="6"/>
  <c r="E344" i="6"/>
  <c r="E340" i="6"/>
  <c r="E421" i="6"/>
  <c r="E417" i="6"/>
  <c r="E413" i="6"/>
  <c r="E409" i="6"/>
  <c r="E405" i="6"/>
  <c r="E401" i="6"/>
  <c r="E397" i="6"/>
  <c r="E385" i="6"/>
  <c r="E386" i="6"/>
  <c r="E378" i="6"/>
  <c r="E371" i="6"/>
  <c r="E367" i="6"/>
  <c r="E363" i="6"/>
  <c r="E359" i="6"/>
  <c r="E355" i="6"/>
  <c r="E351" i="6"/>
  <c r="E347" i="6"/>
  <c r="E343" i="6"/>
  <c r="E339" i="6"/>
  <c r="E429" i="6"/>
  <c r="E380" i="6"/>
  <c r="E379" i="6"/>
  <c r="E377" i="6"/>
  <c r="E376" i="6"/>
  <c r="E338" i="6"/>
  <c r="E336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391" i="6"/>
  <c r="E381" i="6"/>
  <c r="E331" i="6"/>
  <c r="E375" i="6"/>
  <c r="E334" i="6"/>
  <c r="E328" i="6"/>
  <c r="E327" i="6"/>
  <c r="E326" i="6"/>
  <c r="E322" i="6"/>
  <c r="E318" i="6"/>
  <c r="E314" i="6"/>
  <c r="E310" i="6"/>
  <c r="E306" i="6"/>
  <c r="E302" i="6"/>
  <c r="E298" i="6"/>
  <c r="E294" i="6"/>
  <c r="E290" i="6"/>
  <c r="E286" i="6"/>
  <c r="E282" i="6"/>
  <c r="E278" i="6"/>
  <c r="E274" i="6"/>
  <c r="E270" i="6"/>
  <c r="E337" i="6"/>
  <c r="E389" i="6"/>
  <c r="E370" i="6"/>
  <c r="E366" i="6"/>
  <c r="E362" i="6"/>
  <c r="E358" i="6"/>
  <c r="E354" i="6"/>
  <c r="E350" i="6"/>
  <c r="E346" i="6"/>
  <c r="E342" i="6"/>
  <c r="E332" i="6"/>
  <c r="E329" i="6"/>
  <c r="E325" i="6"/>
  <c r="E321" i="6"/>
  <c r="E317" i="6"/>
  <c r="E313" i="6"/>
  <c r="E309" i="6"/>
  <c r="E305" i="6"/>
  <c r="E301" i="6"/>
  <c r="E297" i="6"/>
  <c r="E293" i="6"/>
  <c r="E289" i="6"/>
  <c r="E285" i="6"/>
  <c r="E281" i="6"/>
  <c r="E277" i="6"/>
  <c r="E273" i="6"/>
  <c r="E335" i="6"/>
  <c r="E393" i="6"/>
  <c r="E330" i="6"/>
  <c r="E324" i="6"/>
  <c r="E320" i="6"/>
  <c r="E316" i="6"/>
  <c r="E312" i="6"/>
  <c r="E308" i="6"/>
  <c r="E304" i="6"/>
  <c r="E300" i="6"/>
  <c r="E296" i="6"/>
  <c r="E292" i="6"/>
  <c r="E288" i="6"/>
  <c r="E284" i="6"/>
  <c r="E280" i="6"/>
  <c r="E276" i="6"/>
  <c r="E341" i="6"/>
  <c r="E266" i="6"/>
  <c r="E262" i="6"/>
  <c r="E258" i="6"/>
  <c r="E254" i="6"/>
  <c r="E250" i="6"/>
  <c r="E246" i="6"/>
  <c r="E242" i="6"/>
  <c r="E238" i="6"/>
  <c r="E234" i="6"/>
  <c r="E230" i="6"/>
  <c r="E226" i="6"/>
  <c r="E222" i="6"/>
  <c r="E218" i="6"/>
  <c r="E214" i="6"/>
  <c r="E210" i="6"/>
  <c r="E206" i="6"/>
  <c r="E202" i="6"/>
  <c r="E198" i="6"/>
  <c r="E194" i="6"/>
  <c r="E190" i="6"/>
  <c r="E186" i="6"/>
  <c r="E182" i="6"/>
  <c r="E178" i="6"/>
  <c r="E174" i="6"/>
  <c r="E265" i="6"/>
  <c r="E261" i="6"/>
  <c r="E257" i="6"/>
  <c r="E253" i="6"/>
  <c r="E249" i="6"/>
  <c r="E245" i="6"/>
  <c r="E241" i="6"/>
  <c r="E237" i="6"/>
  <c r="E233" i="6"/>
  <c r="E229" i="6"/>
  <c r="E225" i="6"/>
  <c r="E221" i="6"/>
  <c r="E217" i="6"/>
  <c r="E213" i="6"/>
  <c r="E209" i="6"/>
  <c r="E205" i="6"/>
  <c r="E201" i="6"/>
  <c r="E197" i="6"/>
  <c r="E193" i="6"/>
  <c r="E189" i="6"/>
  <c r="E185" i="6"/>
  <c r="E181" i="6"/>
  <c r="E177" i="6"/>
  <c r="E173" i="6"/>
  <c r="E268" i="6"/>
  <c r="E333" i="6"/>
  <c r="E264" i="6"/>
  <c r="E260" i="6"/>
  <c r="E256" i="6"/>
  <c r="E252" i="6"/>
  <c r="E248" i="6"/>
  <c r="E244" i="6"/>
  <c r="E240" i="6"/>
  <c r="E236" i="6"/>
  <c r="E232" i="6"/>
  <c r="E228" i="6"/>
  <c r="E224" i="6"/>
  <c r="E220" i="6"/>
  <c r="E216" i="6"/>
  <c r="E212" i="6"/>
  <c r="E208" i="6"/>
  <c r="E204" i="6"/>
  <c r="E200" i="6"/>
  <c r="E196" i="6"/>
  <c r="E192" i="6"/>
  <c r="E188" i="6"/>
  <c r="E184" i="6"/>
  <c r="E180" i="6"/>
  <c r="E176" i="6"/>
  <c r="E172" i="6"/>
  <c r="E272" i="6"/>
  <c r="E269" i="6"/>
  <c r="E164" i="6"/>
  <c r="E156" i="6"/>
  <c r="E144" i="6"/>
  <c r="E140" i="6"/>
  <c r="E136" i="6"/>
  <c r="E132" i="6"/>
  <c r="E128" i="6"/>
  <c r="E124" i="6"/>
  <c r="E120" i="6"/>
  <c r="E116" i="6"/>
  <c r="E112" i="6"/>
  <c r="E108" i="6"/>
  <c r="E104" i="6"/>
  <c r="E100" i="6"/>
  <c r="E96" i="6"/>
  <c r="E92" i="6"/>
  <c r="E88" i="6"/>
  <c r="E84" i="6"/>
  <c r="E80" i="6"/>
  <c r="E76" i="6"/>
  <c r="E72" i="6"/>
  <c r="E68" i="6"/>
  <c r="E64" i="6"/>
  <c r="E167" i="6"/>
  <c r="E159" i="6"/>
  <c r="E170" i="6"/>
  <c r="E162" i="6"/>
  <c r="E154" i="6"/>
  <c r="E149" i="6"/>
  <c r="E148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165" i="6"/>
  <c r="E157" i="6"/>
  <c r="E150" i="6"/>
  <c r="E168" i="6"/>
  <c r="E160" i="6"/>
  <c r="E151" i="6"/>
  <c r="E146" i="6"/>
  <c r="E142" i="6"/>
  <c r="E138" i="6"/>
  <c r="E134" i="6"/>
  <c r="E130" i="6"/>
  <c r="E126" i="6"/>
  <c r="E122" i="6"/>
  <c r="E118" i="6"/>
  <c r="E114" i="6"/>
  <c r="E110" i="6"/>
  <c r="E106" i="6"/>
  <c r="E102" i="6"/>
  <c r="E98" i="6"/>
  <c r="E94" i="6"/>
  <c r="E90" i="6"/>
  <c r="E86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3" i="6"/>
  <c r="E155" i="6"/>
  <c r="E152" i="6"/>
  <c r="E382" i="6"/>
  <c r="E166" i="6"/>
  <c r="E158" i="6"/>
  <c r="E145" i="6"/>
  <c r="E141" i="6"/>
  <c r="E137" i="6"/>
  <c r="E133" i="6"/>
  <c r="E129" i="6"/>
  <c r="E125" i="6"/>
  <c r="E121" i="6"/>
  <c r="E117" i="6"/>
  <c r="E113" i="6"/>
  <c r="E109" i="6"/>
  <c r="E105" i="6"/>
  <c r="E101" i="6"/>
  <c r="E97" i="6"/>
  <c r="E93" i="6"/>
  <c r="E89" i="6"/>
  <c r="E85" i="6"/>
  <c r="E81" i="6"/>
  <c r="E77" i="6"/>
  <c r="E73" i="6"/>
  <c r="E74" i="6"/>
  <c r="E60" i="6"/>
  <c r="E51" i="6"/>
  <c r="E15" i="6"/>
  <c r="E169" i="6"/>
  <c r="E153" i="6"/>
  <c r="E65" i="6"/>
  <c r="E61" i="6"/>
  <c r="E56" i="6"/>
  <c r="E47" i="6"/>
  <c r="E43" i="6"/>
  <c r="E39" i="6"/>
  <c r="E35" i="6"/>
  <c r="E31" i="6"/>
  <c r="E27" i="6"/>
  <c r="E23" i="6"/>
  <c r="E19" i="6"/>
  <c r="E14" i="6"/>
  <c r="E57" i="6"/>
  <c r="E52" i="6"/>
  <c r="E13" i="6"/>
  <c r="E78" i="6"/>
  <c r="E71" i="6"/>
  <c r="E62" i="6"/>
  <c r="E53" i="6"/>
  <c r="E48" i="6"/>
  <c r="E42" i="6"/>
  <c r="E38" i="6"/>
  <c r="E34" i="6"/>
  <c r="E30" i="6"/>
  <c r="E26" i="6"/>
  <c r="E22" i="6"/>
  <c r="E18" i="6"/>
  <c r="E69" i="6"/>
  <c r="E66" i="6"/>
  <c r="E58" i="6"/>
  <c r="E49" i="6"/>
  <c r="E161" i="6"/>
  <c r="E63" i="6"/>
  <c r="E54" i="6"/>
  <c r="E45" i="6"/>
  <c r="E41" i="6"/>
  <c r="E37" i="6"/>
  <c r="E33" i="6"/>
  <c r="E29" i="6"/>
  <c r="E25" i="6"/>
  <c r="E21" i="6"/>
  <c r="E17" i="6"/>
  <c r="J7" i="6"/>
  <c r="E82" i="6"/>
  <c r="E59" i="6"/>
  <c r="E50" i="6"/>
  <c r="E16" i="6"/>
  <c r="E70" i="6"/>
  <c r="E46" i="6"/>
  <c r="E55" i="6"/>
  <c r="E44" i="6"/>
  <c r="E40" i="6"/>
  <c r="E36" i="6"/>
  <c r="E32" i="6"/>
  <c r="E28" i="6"/>
  <c r="E24" i="6"/>
  <c r="E20" i="6"/>
  <c r="E67" i="6"/>
  <c r="N138" i="4"/>
  <c r="N130" i="4"/>
  <c r="N122" i="4"/>
  <c r="N114" i="4"/>
  <c r="N108" i="4"/>
  <c r="N92" i="4"/>
  <c r="N76" i="4"/>
  <c r="N60" i="4"/>
  <c r="N44" i="4"/>
  <c r="N28" i="4"/>
  <c r="M65" i="4"/>
  <c r="M143" i="4"/>
  <c r="M127" i="4"/>
  <c r="M111" i="4"/>
  <c r="M95" i="4"/>
  <c r="M73" i="4"/>
  <c r="M49" i="4"/>
  <c r="M27" i="4"/>
  <c r="N311" i="4"/>
  <c r="N319" i="4"/>
  <c r="N482" i="4"/>
  <c r="N490" i="4"/>
  <c r="N498" i="4"/>
  <c r="N506" i="4"/>
  <c r="M607" i="4"/>
  <c r="M598" i="4"/>
  <c r="N607" i="4"/>
  <c r="N137" i="4"/>
  <c r="M25" i="4"/>
  <c r="N102" i="4"/>
  <c r="N86" i="4"/>
  <c r="N38" i="4"/>
  <c r="N22" i="4"/>
  <c r="M53" i="4"/>
  <c r="M141" i="4"/>
  <c r="M125" i="4"/>
  <c r="M109" i="4"/>
  <c r="M93" i="4"/>
  <c r="M71" i="4"/>
  <c r="M47" i="4"/>
  <c r="M23" i="4"/>
  <c r="M600" i="4"/>
  <c r="N141" i="4"/>
  <c r="N113" i="4"/>
  <c r="M17" i="4"/>
  <c r="N144" i="4"/>
  <c r="N136" i="4"/>
  <c r="N128" i="4"/>
  <c r="N120" i="4"/>
  <c r="N112" i="4"/>
  <c r="N96" i="4"/>
  <c r="N80" i="4"/>
  <c r="N64" i="4"/>
  <c r="N48" i="4"/>
  <c r="N32" i="4"/>
  <c r="M43" i="4"/>
  <c r="M139" i="4"/>
  <c r="M123" i="4"/>
  <c r="M107" i="4"/>
  <c r="M91" i="4"/>
  <c r="M63" i="4"/>
  <c r="M45" i="4"/>
  <c r="M21" i="4"/>
  <c r="N313" i="4"/>
  <c r="N484" i="4"/>
  <c r="N492" i="4"/>
  <c r="N500" i="4"/>
  <c r="M510" i="4"/>
  <c r="M564" i="4"/>
  <c r="M586" i="4"/>
  <c r="N143" i="4"/>
  <c r="N125" i="4"/>
  <c r="N119" i="4"/>
  <c r="D612" i="6"/>
  <c r="D608" i="6"/>
  <c r="D611" i="6"/>
  <c r="D607" i="6"/>
  <c r="D603" i="6"/>
  <c r="D599" i="6"/>
  <c r="D595" i="6"/>
  <c r="D591" i="6"/>
  <c r="D587" i="6"/>
  <c r="D583" i="6"/>
  <c r="D579" i="6"/>
  <c r="D575" i="6"/>
  <c r="D571" i="6"/>
  <c r="D567" i="6"/>
  <c r="D563" i="6"/>
  <c r="D559" i="6"/>
  <c r="D555" i="6"/>
  <c r="D551" i="6"/>
  <c r="D547" i="6"/>
  <c r="D610" i="6"/>
  <c r="D606" i="6"/>
  <c r="D602" i="6"/>
  <c r="D598" i="6"/>
  <c r="D594" i="6"/>
  <c r="D590" i="6"/>
  <c r="D586" i="6"/>
  <c r="D582" i="6"/>
  <c r="D578" i="6"/>
  <c r="D574" i="6"/>
  <c r="D570" i="6"/>
  <c r="D566" i="6"/>
  <c r="D562" i="6"/>
  <c r="D558" i="6"/>
  <c r="D554" i="6"/>
  <c r="D568" i="6"/>
  <c r="D548" i="6"/>
  <c r="D542" i="6"/>
  <c r="D538" i="6"/>
  <c r="D534" i="6"/>
  <c r="D530" i="6"/>
  <c r="D526" i="6"/>
  <c r="D522" i="6"/>
  <c r="D518" i="6"/>
  <c r="D514" i="6"/>
  <c r="D609" i="6"/>
  <c r="D605" i="6"/>
  <c r="D592" i="6"/>
  <c r="D589" i="6"/>
  <c r="D576" i="6"/>
  <c r="D573" i="6"/>
  <c r="D569" i="6"/>
  <c r="D557" i="6"/>
  <c r="D556" i="6"/>
  <c r="D546" i="6"/>
  <c r="D545" i="6"/>
  <c r="D541" i="6"/>
  <c r="D537" i="6"/>
  <c r="D533" i="6"/>
  <c r="D529" i="6"/>
  <c r="D525" i="6"/>
  <c r="D521" i="6"/>
  <c r="D517" i="6"/>
  <c r="D513" i="6"/>
  <c r="D596" i="6"/>
  <c r="D593" i="6"/>
  <c r="D580" i="6"/>
  <c r="D577" i="6"/>
  <c r="D561" i="6"/>
  <c r="D560" i="6"/>
  <c r="D544" i="6"/>
  <c r="D540" i="6"/>
  <c r="D536" i="6"/>
  <c r="D532" i="6"/>
  <c r="D528" i="6"/>
  <c r="D524" i="6"/>
  <c r="D520" i="6"/>
  <c r="D516" i="6"/>
  <c r="D600" i="6"/>
  <c r="D597" i="6"/>
  <c r="D584" i="6"/>
  <c r="D581" i="6"/>
  <c r="D565" i="6"/>
  <c r="D564" i="6"/>
  <c r="D604" i="6"/>
  <c r="D601" i="6"/>
  <c r="D553" i="6"/>
  <c r="D527" i="6"/>
  <c r="D510" i="6"/>
  <c r="D506" i="6"/>
  <c r="D502" i="6"/>
  <c r="D498" i="6"/>
  <c r="D494" i="6"/>
  <c r="D490" i="6"/>
  <c r="D486" i="6"/>
  <c r="D482" i="6"/>
  <c r="D478" i="6"/>
  <c r="D474" i="6"/>
  <c r="D470" i="6"/>
  <c r="D549" i="6"/>
  <c r="D539" i="6"/>
  <c r="D515" i="6"/>
  <c r="D552" i="6"/>
  <c r="D509" i="6"/>
  <c r="D505" i="6"/>
  <c r="D501" i="6"/>
  <c r="D497" i="6"/>
  <c r="D493" i="6"/>
  <c r="D489" i="6"/>
  <c r="D485" i="6"/>
  <c r="D481" i="6"/>
  <c r="D477" i="6"/>
  <c r="D473" i="6"/>
  <c r="D469" i="6"/>
  <c r="D585" i="6"/>
  <c r="D531" i="6"/>
  <c r="D519" i="6"/>
  <c r="D572" i="6"/>
  <c r="D550" i="6"/>
  <c r="D535" i="6"/>
  <c r="D511" i="6"/>
  <c r="D507" i="6"/>
  <c r="D503" i="6"/>
  <c r="D499" i="6"/>
  <c r="D495" i="6"/>
  <c r="D491" i="6"/>
  <c r="D487" i="6"/>
  <c r="D483" i="6"/>
  <c r="D479" i="6"/>
  <c r="D475" i="6"/>
  <c r="D471" i="6"/>
  <c r="D523" i="6"/>
  <c r="D484" i="6"/>
  <c r="D543" i="6"/>
  <c r="D496" i="6"/>
  <c r="D467" i="6"/>
  <c r="D462" i="6"/>
  <c r="D458" i="6"/>
  <c r="D454" i="6"/>
  <c r="D450" i="6"/>
  <c r="D446" i="6"/>
  <c r="D442" i="6"/>
  <c r="D438" i="6"/>
  <c r="D434" i="6"/>
  <c r="D430" i="6"/>
  <c r="D426" i="6"/>
  <c r="D588" i="6"/>
  <c r="D488" i="6"/>
  <c r="D465" i="6"/>
  <c r="D461" i="6"/>
  <c r="D457" i="6"/>
  <c r="D453" i="6"/>
  <c r="D449" i="6"/>
  <c r="D445" i="6"/>
  <c r="D441" i="6"/>
  <c r="D437" i="6"/>
  <c r="D433" i="6"/>
  <c r="D429" i="6"/>
  <c r="D425" i="6"/>
  <c r="D512" i="6"/>
  <c r="D480" i="6"/>
  <c r="D464" i="6"/>
  <c r="D460" i="6"/>
  <c r="D456" i="6"/>
  <c r="D452" i="6"/>
  <c r="D448" i="6"/>
  <c r="D444" i="6"/>
  <c r="D440" i="6"/>
  <c r="D436" i="6"/>
  <c r="D432" i="6"/>
  <c r="D428" i="6"/>
  <c r="D492" i="6"/>
  <c r="D500" i="6"/>
  <c r="D459" i="6"/>
  <c r="D421" i="6"/>
  <c r="D417" i="6"/>
  <c r="D413" i="6"/>
  <c r="D409" i="6"/>
  <c r="D405" i="6"/>
  <c r="D401" i="6"/>
  <c r="D397" i="6"/>
  <c r="D393" i="6"/>
  <c r="D389" i="6"/>
  <c r="D385" i="6"/>
  <c r="D381" i="6"/>
  <c r="D377" i="6"/>
  <c r="D455" i="6"/>
  <c r="D427" i="6"/>
  <c r="D476" i="6"/>
  <c r="D472" i="6"/>
  <c r="D466" i="6"/>
  <c r="D451" i="6"/>
  <c r="D420" i="6"/>
  <c r="D416" i="6"/>
  <c r="D412" i="6"/>
  <c r="D408" i="6"/>
  <c r="D404" i="6"/>
  <c r="D400" i="6"/>
  <c r="D396" i="6"/>
  <c r="D392" i="6"/>
  <c r="D388" i="6"/>
  <c r="D384" i="6"/>
  <c r="D468" i="6"/>
  <c r="D447" i="6"/>
  <c r="D443" i="6"/>
  <c r="D419" i="6"/>
  <c r="D415" i="6"/>
  <c r="D411" i="6"/>
  <c r="D407" i="6"/>
  <c r="D403" i="6"/>
  <c r="D399" i="6"/>
  <c r="D395" i="6"/>
  <c r="D391" i="6"/>
  <c r="D387" i="6"/>
  <c r="D383" i="6"/>
  <c r="D379" i="6"/>
  <c r="D439" i="6"/>
  <c r="D424" i="6"/>
  <c r="D423" i="6"/>
  <c r="D435" i="6"/>
  <c r="D422" i="6"/>
  <c r="D418" i="6"/>
  <c r="D414" i="6"/>
  <c r="D410" i="6"/>
  <c r="D406" i="6"/>
  <c r="D402" i="6"/>
  <c r="D398" i="6"/>
  <c r="D394" i="6"/>
  <c r="D390" i="6"/>
  <c r="D504" i="6"/>
  <c r="D382" i="6"/>
  <c r="D375" i="6"/>
  <c r="D370" i="6"/>
  <c r="D366" i="6"/>
  <c r="D362" i="6"/>
  <c r="D358" i="6"/>
  <c r="D354" i="6"/>
  <c r="D350" i="6"/>
  <c r="D346" i="6"/>
  <c r="D342" i="6"/>
  <c r="D338" i="6"/>
  <c r="D334" i="6"/>
  <c r="D330" i="6"/>
  <c r="D374" i="6"/>
  <c r="D373" i="6"/>
  <c r="D369" i="6"/>
  <c r="D365" i="6"/>
  <c r="D361" i="6"/>
  <c r="D357" i="6"/>
  <c r="D353" i="6"/>
  <c r="D349" i="6"/>
  <c r="D345" i="6"/>
  <c r="D341" i="6"/>
  <c r="D337" i="6"/>
  <c r="D333" i="6"/>
  <c r="D329" i="6"/>
  <c r="D508" i="6"/>
  <c r="D431" i="6"/>
  <c r="D372" i="6"/>
  <c r="D368" i="6"/>
  <c r="D364" i="6"/>
  <c r="D360" i="6"/>
  <c r="D356" i="6"/>
  <c r="D352" i="6"/>
  <c r="D348" i="6"/>
  <c r="D344" i="6"/>
  <c r="D340" i="6"/>
  <c r="D336" i="6"/>
  <c r="D332" i="6"/>
  <c r="D463" i="6"/>
  <c r="D386" i="6"/>
  <c r="D378" i="6"/>
  <c r="D371" i="6"/>
  <c r="D367" i="6"/>
  <c r="D363" i="6"/>
  <c r="D359" i="6"/>
  <c r="D355" i="6"/>
  <c r="D351" i="6"/>
  <c r="D347" i="6"/>
  <c r="D343" i="6"/>
  <c r="D339" i="6"/>
  <c r="D335" i="6"/>
  <c r="D331" i="6"/>
  <c r="D376" i="6"/>
  <c r="D323" i="6"/>
  <c r="D319" i="6"/>
  <c r="D315" i="6"/>
  <c r="D311" i="6"/>
  <c r="D307" i="6"/>
  <c r="D303" i="6"/>
  <c r="D299" i="6"/>
  <c r="D295" i="6"/>
  <c r="D291" i="6"/>
  <c r="D287" i="6"/>
  <c r="D283" i="6"/>
  <c r="D279" i="6"/>
  <c r="D275" i="6"/>
  <c r="D271" i="6"/>
  <c r="D267" i="6"/>
  <c r="D380" i="6"/>
  <c r="D328" i="6"/>
  <c r="D327" i="6"/>
  <c r="D326" i="6"/>
  <c r="D322" i="6"/>
  <c r="D318" i="6"/>
  <c r="D314" i="6"/>
  <c r="D310" i="6"/>
  <c r="D306" i="6"/>
  <c r="D302" i="6"/>
  <c r="D298" i="6"/>
  <c r="D294" i="6"/>
  <c r="D290" i="6"/>
  <c r="D286" i="6"/>
  <c r="D282" i="6"/>
  <c r="D278" i="6"/>
  <c r="D274" i="6"/>
  <c r="D270" i="6"/>
  <c r="D325" i="6"/>
  <c r="D321" i="6"/>
  <c r="D317" i="6"/>
  <c r="D313" i="6"/>
  <c r="D309" i="6"/>
  <c r="D305" i="6"/>
  <c r="D301" i="6"/>
  <c r="D297" i="6"/>
  <c r="D293" i="6"/>
  <c r="D289" i="6"/>
  <c r="D285" i="6"/>
  <c r="D281" i="6"/>
  <c r="D277" i="6"/>
  <c r="D312" i="6"/>
  <c r="D280" i="6"/>
  <c r="D263" i="6"/>
  <c r="D259" i="6"/>
  <c r="D255" i="6"/>
  <c r="D251" i="6"/>
  <c r="D247" i="6"/>
  <c r="D243" i="6"/>
  <c r="D239" i="6"/>
  <c r="D235" i="6"/>
  <c r="D231" i="6"/>
  <c r="D227" i="6"/>
  <c r="D223" i="6"/>
  <c r="D219" i="6"/>
  <c r="D215" i="6"/>
  <c r="D211" i="6"/>
  <c r="D207" i="6"/>
  <c r="D203" i="6"/>
  <c r="D199" i="6"/>
  <c r="D195" i="6"/>
  <c r="D191" i="6"/>
  <c r="D187" i="6"/>
  <c r="D183" i="6"/>
  <c r="D179" i="6"/>
  <c r="D175" i="6"/>
  <c r="D171" i="6"/>
  <c r="D167" i="6"/>
  <c r="D163" i="6"/>
  <c r="D159" i="6"/>
  <c r="D155" i="6"/>
  <c r="D151" i="6"/>
  <c r="D308" i="6"/>
  <c r="D276" i="6"/>
  <c r="D304" i="6"/>
  <c r="D273" i="6"/>
  <c r="D266" i="6"/>
  <c r="D262" i="6"/>
  <c r="D258" i="6"/>
  <c r="D254" i="6"/>
  <c r="D250" i="6"/>
  <c r="D246" i="6"/>
  <c r="D242" i="6"/>
  <c r="D238" i="6"/>
  <c r="D234" i="6"/>
  <c r="D230" i="6"/>
  <c r="D226" i="6"/>
  <c r="D222" i="6"/>
  <c r="D218" i="6"/>
  <c r="D214" i="6"/>
  <c r="D210" i="6"/>
  <c r="D206" i="6"/>
  <c r="D202" i="6"/>
  <c r="D198" i="6"/>
  <c r="D194" i="6"/>
  <c r="D190" i="6"/>
  <c r="D186" i="6"/>
  <c r="D182" i="6"/>
  <c r="D178" i="6"/>
  <c r="D174" i="6"/>
  <c r="D170" i="6"/>
  <c r="D166" i="6"/>
  <c r="D162" i="6"/>
  <c r="D158" i="6"/>
  <c r="D154" i="6"/>
  <c r="D150" i="6"/>
  <c r="D300" i="6"/>
  <c r="D296" i="6"/>
  <c r="D265" i="6"/>
  <c r="D261" i="6"/>
  <c r="D257" i="6"/>
  <c r="D253" i="6"/>
  <c r="D249" i="6"/>
  <c r="D245" i="6"/>
  <c r="D241" i="6"/>
  <c r="D237" i="6"/>
  <c r="D233" i="6"/>
  <c r="D229" i="6"/>
  <c r="D225" i="6"/>
  <c r="D221" i="6"/>
  <c r="D217" i="6"/>
  <c r="D213" i="6"/>
  <c r="D209" i="6"/>
  <c r="D205" i="6"/>
  <c r="D201" i="6"/>
  <c r="D197" i="6"/>
  <c r="D193" i="6"/>
  <c r="D189" i="6"/>
  <c r="D185" i="6"/>
  <c r="D181" i="6"/>
  <c r="D177" i="6"/>
  <c r="D173" i="6"/>
  <c r="D169" i="6"/>
  <c r="D165" i="6"/>
  <c r="D161" i="6"/>
  <c r="D157" i="6"/>
  <c r="D153" i="6"/>
  <c r="D324" i="6"/>
  <c r="D292" i="6"/>
  <c r="D268" i="6"/>
  <c r="D320" i="6"/>
  <c r="D288" i="6"/>
  <c r="D264" i="6"/>
  <c r="D260" i="6"/>
  <c r="D256" i="6"/>
  <c r="D252" i="6"/>
  <c r="D248" i="6"/>
  <c r="D244" i="6"/>
  <c r="D240" i="6"/>
  <c r="D236" i="6"/>
  <c r="D232" i="6"/>
  <c r="D228" i="6"/>
  <c r="D224" i="6"/>
  <c r="D220" i="6"/>
  <c r="D216" i="6"/>
  <c r="D212" i="6"/>
  <c r="D208" i="6"/>
  <c r="D204" i="6"/>
  <c r="D200" i="6"/>
  <c r="D196" i="6"/>
  <c r="D192" i="6"/>
  <c r="D188" i="6"/>
  <c r="D184" i="6"/>
  <c r="D180" i="6"/>
  <c r="D176" i="6"/>
  <c r="D172" i="6"/>
  <c r="D168" i="6"/>
  <c r="D164" i="6"/>
  <c r="D160" i="6"/>
  <c r="D156" i="6"/>
  <c r="D144" i="6"/>
  <c r="D140" i="6"/>
  <c r="D136" i="6"/>
  <c r="D132" i="6"/>
  <c r="D128" i="6"/>
  <c r="D124" i="6"/>
  <c r="D120" i="6"/>
  <c r="D116" i="6"/>
  <c r="D112" i="6"/>
  <c r="D108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316" i="6"/>
  <c r="D269" i="6"/>
  <c r="D149" i="6"/>
  <c r="D148" i="6"/>
  <c r="D147" i="6"/>
  <c r="D143" i="6"/>
  <c r="D139" i="6"/>
  <c r="D135" i="6"/>
  <c r="D131" i="6"/>
  <c r="D127" i="6"/>
  <c r="D123" i="6"/>
  <c r="D119" i="6"/>
  <c r="D115" i="6"/>
  <c r="D111" i="6"/>
  <c r="D107" i="6"/>
  <c r="D103" i="6"/>
  <c r="D99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272" i="6"/>
  <c r="D146" i="6"/>
  <c r="D142" i="6"/>
  <c r="D138" i="6"/>
  <c r="D134" i="6"/>
  <c r="D130" i="6"/>
  <c r="D126" i="6"/>
  <c r="D122" i="6"/>
  <c r="D118" i="6"/>
  <c r="D114" i="6"/>
  <c r="D110" i="6"/>
  <c r="D106" i="6"/>
  <c r="D102" i="6"/>
  <c r="D98" i="6"/>
  <c r="D94" i="6"/>
  <c r="D90" i="6"/>
  <c r="D86" i="6"/>
  <c r="D82" i="6"/>
  <c r="D78" i="6"/>
  <c r="D74" i="6"/>
  <c r="D70" i="6"/>
  <c r="D66" i="6"/>
  <c r="D62" i="6"/>
  <c r="D58" i="6"/>
  <c r="D54" i="6"/>
  <c r="D50" i="6"/>
  <c r="D46" i="6"/>
  <c r="D152" i="6"/>
  <c r="D145" i="6"/>
  <c r="D113" i="6"/>
  <c r="D44" i="6"/>
  <c r="D40" i="6"/>
  <c r="D36" i="6"/>
  <c r="D32" i="6"/>
  <c r="D28" i="6"/>
  <c r="D24" i="6"/>
  <c r="D20" i="6"/>
  <c r="D16" i="6"/>
  <c r="D141" i="6"/>
  <c r="D109" i="6"/>
  <c r="D15" i="6"/>
  <c r="J15" i="6" s="1"/>
  <c r="D137" i="6"/>
  <c r="D105" i="6"/>
  <c r="D81" i="6"/>
  <c r="D65" i="6"/>
  <c r="D61" i="6"/>
  <c r="D43" i="6"/>
  <c r="D39" i="6"/>
  <c r="D35" i="6"/>
  <c r="D31" i="6"/>
  <c r="D27" i="6"/>
  <c r="D23" i="6"/>
  <c r="D19" i="6"/>
  <c r="D14" i="6"/>
  <c r="J14" i="6" s="1"/>
  <c r="D133" i="6"/>
  <c r="D101" i="6"/>
  <c r="D57" i="6"/>
  <c r="D13" i="6"/>
  <c r="J13" i="6" s="1"/>
  <c r="D284" i="6"/>
  <c r="D129" i="6"/>
  <c r="D97" i="6"/>
  <c r="D73" i="6"/>
  <c r="D53" i="6"/>
  <c r="D42" i="6"/>
  <c r="D38" i="6"/>
  <c r="D34" i="6"/>
  <c r="D30" i="6"/>
  <c r="D26" i="6"/>
  <c r="D22" i="6"/>
  <c r="D18" i="6"/>
  <c r="D125" i="6"/>
  <c r="D93" i="6"/>
  <c r="D69" i="6"/>
  <c r="D49" i="6"/>
  <c r="K13" i="6"/>
  <c r="D121" i="6"/>
  <c r="D89" i="6"/>
  <c r="D45" i="6"/>
  <c r="D41" i="6"/>
  <c r="D37" i="6"/>
  <c r="D33" i="6"/>
  <c r="D29" i="6"/>
  <c r="D25" i="6"/>
  <c r="D21" i="6"/>
  <c r="D17" i="6"/>
  <c r="D77" i="6"/>
  <c r="D117" i="6"/>
  <c r="J6" i="6"/>
  <c r="D85" i="6"/>
  <c r="N106" i="4"/>
  <c r="N90" i="4"/>
  <c r="N74" i="4"/>
  <c r="N58" i="4"/>
  <c r="N42" i="4"/>
  <c r="N26" i="4"/>
  <c r="M81" i="4"/>
  <c r="M39" i="4"/>
  <c r="M137" i="4"/>
  <c r="M121" i="4"/>
  <c r="M105" i="4"/>
  <c r="M89" i="4"/>
  <c r="M61" i="4"/>
  <c r="M41" i="4"/>
  <c r="M19" i="4"/>
  <c r="M588" i="4"/>
  <c r="N115" i="4"/>
  <c r="N135" i="4"/>
  <c r="N127" i="4"/>
  <c r="N142" i="4"/>
  <c r="N134" i="4"/>
  <c r="N126" i="4"/>
  <c r="N118" i="4"/>
  <c r="N100" i="4"/>
  <c r="N84" i="4"/>
  <c r="N68" i="4"/>
  <c r="N52" i="4"/>
  <c r="N36" i="4"/>
  <c r="N20" i="4"/>
  <c r="M77" i="4"/>
  <c r="M33" i="4"/>
  <c r="M135" i="4"/>
  <c r="M119" i="4"/>
  <c r="M103" i="4"/>
  <c r="M87" i="4"/>
  <c r="M59" i="4"/>
  <c r="M37" i="4"/>
  <c r="M15" i="4"/>
  <c r="N315" i="4"/>
  <c r="N486" i="4"/>
  <c r="N494" i="4"/>
  <c r="N502" i="4"/>
  <c r="M590" i="4"/>
  <c r="M551" i="4"/>
  <c r="N117" i="4"/>
  <c r="N129" i="4"/>
  <c r="N133" i="4"/>
  <c r="N110" i="4"/>
  <c r="N94" i="4"/>
  <c r="N46" i="4"/>
  <c r="M75" i="4"/>
  <c r="M13" i="4"/>
  <c r="I5" i="4" s="1"/>
  <c r="I7" i="4" s="1"/>
  <c r="M133" i="4"/>
  <c r="M117" i="4"/>
  <c r="M101" i="4"/>
  <c r="M85" i="4"/>
  <c r="M57" i="4"/>
  <c r="M35" i="4"/>
  <c r="M592" i="4"/>
  <c r="N121" i="4"/>
  <c r="N139" i="4"/>
  <c r="G15" i="6"/>
  <c r="G15" i="5"/>
  <c r="D609" i="5"/>
  <c r="D605" i="5"/>
  <c r="D601" i="5"/>
  <c r="D597" i="5"/>
  <c r="D593" i="5"/>
  <c r="D589" i="5"/>
  <c r="D585" i="5"/>
  <c r="D581" i="5"/>
  <c r="D577" i="5"/>
  <c r="D573" i="5"/>
  <c r="D569" i="5"/>
  <c r="D565" i="5"/>
  <c r="D561" i="5"/>
  <c r="D557" i="5"/>
  <c r="D553" i="5"/>
  <c r="D549" i="5"/>
  <c r="D545" i="5"/>
  <c r="D612" i="5"/>
  <c r="D608" i="5"/>
  <c r="D604" i="5"/>
  <c r="D600" i="5"/>
  <c r="D596" i="5"/>
  <c r="D592" i="5"/>
  <c r="D588" i="5"/>
  <c r="D584" i="5"/>
  <c r="D580" i="5"/>
  <c r="D576" i="5"/>
  <c r="D572" i="5"/>
  <c r="D568" i="5"/>
  <c r="D564" i="5"/>
  <c r="D560" i="5"/>
  <c r="D556" i="5"/>
  <c r="D552" i="5"/>
  <c r="D548" i="5"/>
  <c r="D544" i="5"/>
  <c r="D611" i="5"/>
  <c r="D607" i="5"/>
  <c r="D603" i="5"/>
  <c r="D599" i="5"/>
  <c r="D595" i="5"/>
  <c r="D591" i="5"/>
  <c r="D587" i="5"/>
  <c r="D583" i="5"/>
  <c r="D579" i="5"/>
  <c r="D575" i="5"/>
  <c r="D571" i="5"/>
  <c r="D567" i="5"/>
  <c r="D563" i="5"/>
  <c r="D559" i="5"/>
  <c r="D555" i="5"/>
  <c r="D551" i="5"/>
  <c r="D547" i="5"/>
  <c r="D543" i="5"/>
  <c r="D586" i="5"/>
  <c r="D562" i="5"/>
  <c r="D540" i="5"/>
  <c r="D536" i="5"/>
  <c r="D532" i="5"/>
  <c r="D528" i="5"/>
  <c r="D524" i="5"/>
  <c r="D520" i="5"/>
  <c r="D516" i="5"/>
  <c r="D512" i="5"/>
  <c r="D508" i="5"/>
  <c r="D504" i="5"/>
  <c r="D500" i="5"/>
  <c r="D496" i="5"/>
  <c r="D492" i="5"/>
  <c r="D488" i="5"/>
  <c r="D484" i="5"/>
  <c r="D480" i="5"/>
  <c r="D476" i="5"/>
  <c r="D472" i="5"/>
  <c r="D468" i="5"/>
  <c r="D464" i="5"/>
  <c r="D460" i="5"/>
  <c r="D456" i="5"/>
  <c r="D452" i="5"/>
  <c r="D448" i="5"/>
  <c r="D602" i="5"/>
  <c r="D582" i="5"/>
  <c r="D578" i="5"/>
  <c r="D539" i="5"/>
  <c r="D535" i="5"/>
  <c r="D531" i="5"/>
  <c r="D527" i="5"/>
  <c r="D523" i="5"/>
  <c r="D519" i="5"/>
  <c r="D515" i="5"/>
  <c r="D511" i="5"/>
  <c r="D507" i="5"/>
  <c r="D503" i="5"/>
  <c r="D499" i="5"/>
  <c r="D495" i="5"/>
  <c r="D491" i="5"/>
  <c r="D487" i="5"/>
  <c r="D483" i="5"/>
  <c r="D479" i="5"/>
  <c r="D475" i="5"/>
  <c r="D471" i="5"/>
  <c r="D467" i="5"/>
  <c r="D463" i="5"/>
  <c r="D459" i="5"/>
  <c r="D455" i="5"/>
  <c r="D451" i="5"/>
  <c r="D574" i="5"/>
  <c r="D554" i="5"/>
  <c r="D566" i="5"/>
  <c r="D558" i="5"/>
  <c r="D546" i="5"/>
  <c r="D610" i="5"/>
  <c r="D598" i="5"/>
  <c r="D594" i="5"/>
  <c r="D542" i="5"/>
  <c r="D541" i="5"/>
  <c r="D537" i="5"/>
  <c r="D533" i="5"/>
  <c r="D529" i="5"/>
  <c r="D525" i="5"/>
  <c r="D521" i="5"/>
  <c r="D517" i="5"/>
  <c r="D513" i="5"/>
  <c r="D509" i="5"/>
  <c r="D505" i="5"/>
  <c r="D501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514" i="5"/>
  <c r="D482" i="5"/>
  <c r="D466" i="5"/>
  <c r="D526" i="5"/>
  <c r="D494" i="5"/>
  <c r="D462" i="5"/>
  <c r="D443" i="5"/>
  <c r="D439" i="5"/>
  <c r="D435" i="5"/>
  <c r="D431" i="5"/>
  <c r="D427" i="5"/>
  <c r="D423" i="5"/>
  <c r="D419" i="5"/>
  <c r="D415" i="5"/>
  <c r="D411" i="5"/>
  <c r="D407" i="5"/>
  <c r="D403" i="5"/>
  <c r="D399" i="5"/>
  <c r="D395" i="5"/>
  <c r="D391" i="5"/>
  <c r="D387" i="5"/>
  <c r="D383" i="5"/>
  <c r="D379" i="5"/>
  <c r="D375" i="5"/>
  <c r="D371" i="5"/>
  <c r="D367" i="5"/>
  <c r="D363" i="5"/>
  <c r="D359" i="5"/>
  <c r="D606" i="5"/>
  <c r="D538" i="5"/>
  <c r="D506" i="5"/>
  <c r="D458" i="5"/>
  <c r="D447" i="5"/>
  <c r="D518" i="5"/>
  <c r="D486" i="5"/>
  <c r="D454" i="5"/>
  <c r="D450" i="5"/>
  <c r="D449" i="5"/>
  <c r="D446" i="5"/>
  <c r="D442" i="5"/>
  <c r="D438" i="5"/>
  <c r="D434" i="5"/>
  <c r="D430" i="5"/>
  <c r="D426" i="5"/>
  <c r="D422" i="5"/>
  <c r="D418" i="5"/>
  <c r="D414" i="5"/>
  <c r="D410" i="5"/>
  <c r="D406" i="5"/>
  <c r="D402" i="5"/>
  <c r="D398" i="5"/>
  <c r="D394" i="5"/>
  <c r="D390" i="5"/>
  <c r="D386" i="5"/>
  <c r="D382" i="5"/>
  <c r="D378" i="5"/>
  <c r="D374" i="5"/>
  <c r="D370" i="5"/>
  <c r="D590" i="5"/>
  <c r="D550" i="5"/>
  <c r="D530" i="5"/>
  <c r="D498" i="5"/>
  <c r="D510" i="5"/>
  <c r="D478" i="5"/>
  <c r="D445" i="5"/>
  <c r="D441" i="5"/>
  <c r="D437" i="5"/>
  <c r="D433" i="5"/>
  <c r="D429" i="5"/>
  <c r="D425" i="5"/>
  <c r="D421" i="5"/>
  <c r="D417" i="5"/>
  <c r="D413" i="5"/>
  <c r="D409" i="5"/>
  <c r="D405" i="5"/>
  <c r="D401" i="5"/>
  <c r="D397" i="5"/>
  <c r="D393" i="5"/>
  <c r="D389" i="5"/>
  <c r="D385" i="5"/>
  <c r="D381" i="5"/>
  <c r="D377" i="5"/>
  <c r="D373" i="5"/>
  <c r="D369" i="5"/>
  <c r="D365" i="5"/>
  <c r="D361" i="5"/>
  <c r="D432" i="5"/>
  <c r="D400" i="5"/>
  <c r="D372" i="5"/>
  <c r="D366" i="5"/>
  <c r="D490" i="5"/>
  <c r="D470" i="5"/>
  <c r="D444" i="5"/>
  <c r="D412" i="5"/>
  <c r="D380" i="5"/>
  <c r="D368" i="5"/>
  <c r="D355" i="5"/>
  <c r="D351" i="5"/>
  <c r="D347" i="5"/>
  <c r="D343" i="5"/>
  <c r="D339" i="5"/>
  <c r="D335" i="5"/>
  <c r="D331" i="5"/>
  <c r="D327" i="5"/>
  <c r="D323" i="5"/>
  <c r="D319" i="5"/>
  <c r="D315" i="5"/>
  <c r="D311" i="5"/>
  <c r="D307" i="5"/>
  <c r="D303" i="5"/>
  <c r="D299" i="5"/>
  <c r="D295" i="5"/>
  <c r="D291" i="5"/>
  <c r="D287" i="5"/>
  <c r="D283" i="5"/>
  <c r="D279" i="5"/>
  <c r="D275" i="5"/>
  <c r="D271" i="5"/>
  <c r="D267" i="5"/>
  <c r="D263" i="5"/>
  <c r="D259" i="5"/>
  <c r="D255" i="5"/>
  <c r="D251" i="5"/>
  <c r="D247" i="5"/>
  <c r="D243" i="5"/>
  <c r="D239" i="5"/>
  <c r="D474" i="5"/>
  <c r="D424" i="5"/>
  <c r="D392" i="5"/>
  <c r="D436" i="5"/>
  <c r="D404" i="5"/>
  <c r="D354" i="5"/>
  <c r="D350" i="5"/>
  <c r="D346" i="5"/>
  <c r="D342" i="5"/>
  <c r="D338" i="5"/>
  <c r="D334" i="5"/>
  <c r="D330" i="5"/>
  <c r="D326" i="5"/>
  <c r="D322" i="5"/>
  <c r="D318" i="5"/>
  <c r="D314" i="5"/>
  <c r="D310" i="5"/>
  <c r="D306" i="5"/>
  <c r="D302" i="5"/>
  <c r="D298" i="5"/>
  <c r="D294" i="5"/>
  <c r="D290" i="5"/>
  <c r="D286" i="5"/>
  <c r="D282" i="5"/>
  <c r="D278" i="5"/>
  <c r="D274" i="5"/>
  <c r="D270" i="5"/>
  <c r="D266" i="5"/>
  <c r="D262" i="5"/>
  <c r="D258" i="5"/>
  <c r="D254" i="5"/>
  <c r="D250" i="5"/>
  <c r="D246" i="5"/>
  <c r="D242" i="5"/>
  <c r="D238" i="5"/>
  <c r="D534" i="5"/>
  <c r="D416" i="5"/>
  <c r="D384" i="5"/>
  <c r="D358" i="5"/>
  <c r="D428" i="5"/>
  <c r="D396" i="5"/>
  <c r="D360" i="5"/>
  <c r="D357" i="5"/>
  <c r="D353" i="5"/>
  <c r="D349" i="5"/>
  <c r="D345" i="5"/>
  <c r="D341" i="5"/>
  <c r="D337" i="5"/>
  <c r="D333" i="5"/>
  <c r="D329" i="5"/>
  <c r="D325" i="5"/>
  <c r="D321" i="5"/>
  <c r="D317" i="5"/>
  <c r="D313" i="5"/>
  <c r="D309" i="5"/>
  <c r="D305" i="5"/>
  <c r="D301" i="5"/>
  <c r="D297" i="5"/>
  <c r="D293" i="5"/>
  <c r="D289" i="5"/>
  <c r="D285" i="5"/>
  <c r="D281" i="5"/>
  <c r="D277" i="5"/>
  <c r="D273" i="5"/>
  <c r="D269" i="5"/>
  <c r="D265" i="5"/>
  <c r="D261" i="5"/>
  <c r="D257" i="5"/>
  <c r="D253" i="5"/>
  <c r="D249" i="5"/>
  <c r="D245" i="5"/>
  <c r="D241" i="5"/>
  <c r="D237" i="5"/>
  <c r="D570" i="5"/>
  <c r="D502" i="5"/>
  <c r="D440" i="5"/>
  <c r="D408" i="5"/>
  <c r="D362" i="5"/>
  <c r="D328" i="5"/>
  <c r="D296" i="5"/>
  <c r="D244" i="5"/>
  <c r="D356" i="5"/>
  <c r="D324" i="5"/>
  <c r="D292" i="5"/>
  <c r="D260" i="5"/>
  <c r="D240" i="5"/>
  <c r="D234" i="5"/>
  <c r="D230" i="5"/>
  <c r="D226" i="5"/>
  <c r="D222" i="5"/>
  <c r="D218" i="5"/>
  <c r="D214" i="5"/>
  <c r="D210" i="5"/>
  <c r="D206" i="5"/>
  <c r="D202" i="5"/>
  <c r="D198" i="5"/>
  <c r="D194" i="5"/>
  <c r="D190" i="5"/>
  <c r="D186" i="5"/>
  <c r="D182" i="5"/>
  <c r="D178" i="5"/>
  <c r="D174" i="5"/>
  <c r="D170" i="5"/>
  <c r="D166" i="5"/>
  <c r="D162" i="5"/>
  <c r="D158" i="5"/>
  <c r="D154" i="5"/>
  <c r="D150" i="5"/>
  <c r="D146" i="5"/>
  <c r="D142" i="5"/>
  <c r="D138" i="5"/>
  <c r="D134" i="5"/>
  <c r="D130" i="5"/>
  <c r="D126" i="5"/>
  <c r="D122" i="5"/>
  <c r="D118" i="5"/>
  <c r="D114" i="5"/>
  <c r="D110" i="5"/>
  <c r="D106" i="5"/>
  <c r="D102" i="5"/>
  <c r="D98" i="5"/>
  <c r="D94" i="5"/>
  <c r="D90" i="5"/>
  <c r="D86" i="5"/>
  <c r="D522" i="5"/>
  <c r="D352" i="5"/>
  <c r="D320" i="5"/>
  <c r="D288" i="5"/>
  <c r="D256" i="5"/>
  <c r="D248" i="5"/>
  <c r="D364" i="5"/>
  <c r="D348" i="5"/>
  <c r="D316" i="5"/>
  <c r="D284" i="5"/>
  <c r="D264" i="5"/>
  <c r="D233" i="5"/>
  <c r="D229" i="5"/>
  <c r="D225" i="5"/>
  <c r="D221" i="5"/>
  <c r="D217" i="5"/>
  <c r="D213" i="5"/>
  <c r="D209" i="5"/>
  <c r="D205" i="5"/>
  <c r="D201" i="5"/>
  <c r="D197" i="5"/>
  <c r="D193" i="5"/>
  <c r="D189" i="5"/>
  <c r="D185" i="5"/>
  <c r="D181" i="5"/>
  <c r="D177" i="5"/>
  <c r="D173" i="5"/>
  <c r="D169" i="5"/>
  <c r="D165" i="5"/>
  <c r="D161" i="5"/>
  <c r="D157" i="5"/>
  <c r="D153" i="5"/>
  <c r="D149" i="5"/>
  <c r="D145" i="5"/>
  <c r="D141" i="5"/>
  <c r="D137" i="5"/>
  <c r="D133" i="5"/>
  <c r="D129" i="5"/>
  <c r="D125" i="5"/>
  <c r="D121" i="5"/>
  <c r="D117" i="5"/>
  <c r="D113" i="5"/>
  <c r="D109" i="5"/>
  <c r="D105" i="5"/>
  <c r="D101" i="5"/>
  <c r="D97" i="5"/>
  <c r="D93" i="5"/>
  <c r="D89" i="5"/>
  <c r="D420" i="5"/>
  <c r="D344" i="5"/>
  <c r="D312" i="5"/>
  <c r="D280" i="5"/>
  <c r="D388" i="5"/>
  <c r="D340" i="5"/>
  <c r="D308" i="5"/>
  <c r="D276" i="5"/>
  <c r="D252" i="5"/>
  <c r="D236" i="5"/>
  <c r="D232" i="5"/>
  <c r="D228" i="5"/>
  <c r="D224" i="5"/>
  <c r="D220" i="5"/>
  <c r="D216" i="5"/>
  <c r="D212" i="5"/>
  <c r="D208" i="5"/>
  <c r="D204" i="5"/>
  <c r="D200" i="5"/>
  <c r="D196" i="5"/>
  <c r="D192" i="5"/>
  <c r="D188" i="5"/>
  <c r="D184" i="5"/>
  <c r="D180" i="5"/>
  <c r="D176" i="5"/>
  <c r="D172" i="5"/>
  <c r="D168" i="5"/>
  <c r="D164" i="5"/>
  <c r="D160" i="5"/>
  <c r="D156" i="5"/>
  <c r="D152" i="5"/>
  <c r="D148" i="5"/>
  <c r="D144" i="5"/>
  <c r="D140" i="5"/>
  <c r="D136" i="5"/>
  <c r="D132" i="5"/>
  <c r="D128" i="5"/>
  <c r="D124" i="5"/>
  <c r="D120" i="5"/>
  <c r="D116" i="5"/>
  <c r="D112" i="5"/>
  <c r="D108" i="5"/>
  <c r="D104" i="5"/>
  <c r="D100" i="5"/>
  <c r="D96" i="5"/>
  <c r="D92" i="5"/>
  <c r="D88" i="5"/>
  <c r="D376" i="5"/>
  <c r="D336" i="5"/>
  <c r="D304" i="5"/>
  <c r="D272" i="5"/>
  <c r="D219" i="5"/>
  <c r="D187" i="5"/>
  <c r="D155" i="5"/>
  <c r="D123" i="5"/>
  <c r="D83" i="5"/>
  <c r="D79" i="5"/>
  <c r="D75" i="5"/>
  <c r="D71" i="5"/>
  <c r="D67" i="5"/>
  <c r="D63" i="5"/>
  <c r="D59" i="5"/>
  <c r="D55" i="5"/>
  <c r="D51" i="5"/>
  <c r="D47" i="5"/>
  <c r="D43" i="5"/>
  <c r="D39" i="5"/>
  <c r="D35" i="5"/>
  <c r="D31" i="5"/>
  <c r="D27" i="5"/>
  <c r="D23" i="5"/>
  <c r="D19" i="5"/>
  <c r="D14" i="5"/>
  <c r="J14" i="5" s="1"/>
  <c r="D268" i="5"/>
  <c r="D215" i="5"/>
  <c r="D183" i="5"/>
  <c r="D151" i="5"/>
  <c r="D111" i="5"/>
  <c r="D13" i="5"/>
  <c r="J13" i="5" s="1"/>
  <c r="D211" i="5"/>
  <c r="D179" i="5"/>
  <c r="D147" i="5"/>
  <c r="D82" i="5"/>
  <c r="D78" i="5"/>
  <c r="D74" i="5"/>
  <c r="D70" i="5"/>
  <c r="D66" i="5"/>
  <c r="D62" i="5"/>
  <c r="D58" i="5"/>
  <c r="D54" i="5"/>
  <c r="D50" i="5"/>
  <c r="D46" i="5"/>
  <c r="D42" i="5"/>
  <c r="D38" i="5"/>
  <c r="D34" i="5"/>
  <c r="D30" i="5"/>
  <c r="D26" i="5"/>
  <c r="D22" i="5"/>
  <c r="D18" i="5"/>
  <c r="D207" i="5"/>
  <c r="D175" i="5"/>
  <c r="D143" i="5"/>
  <c r="D103" i="5"/>
  <c r="D99" i="5"/>
  <c r="K13" i="5"/>
  <c r="D300" i="5"/>
  <c r="D235" i="5"/>
  <c r="D203" i="5"/>
  <c r="D171" i="5"/>
  <c r="D139" i="5"/>
  <c r="D119" i="5"/>
  <c r="D115" i="5"/>
  <c r="D95" i="5"/>
  <c r="D85" i="5"/>
  <c r="D81" i="5"/>
  <c r="D77" i="5"/>
  <c r="D73" i="5"/>
  <c r="D69" i="5"/>
  <c r="D65" i="5"/>
  <c r="D61" i="5"/>
  <c r="D57" i="5"/>
  <c r="D53" i="5"/>
  <c r="D49" i="5"/>
  <c r="D45" i="5"/>
  <c r="D41" i="5"/>
  <c r="D37" i="5"/>
  <c r="D33" i="5"/>
  <c r="D29" i="5"/>
  <c r="D25" i="5"/>
  <c r="D21" i="5"/>
  <c r="D17" i="5"/>
  <c r="D231" i="5"/>
  <c r="D199" i="5"/>
  <c r="D167" i="5"/>
  <c r="D135" i="5"/>
  <c r="D91" i="5"/>
  <c r="D227" i="5"/>
  <c r="D195" i="5"/>
  <c r="D163" i="5"/>
  <c r="D131" i="5"/>
  <c r="D107" i="5"/>
  <c r="D87" i="5"/>
  <c r="D84" i="5"/>
  <c r="D80" i="5"/>
  <c r="D76" i="5"/>
  <c r="D72" i="5"/>
  <c r="D68" i="5"/>
  <c r="D64" i="5"/>
  <c r="D60" i="5"/>
  <c r="D56" i="5"/>
  <c r="D52" i="5"/>
  <c r="D48" i="5"/>
  <c r="D44" i="5"/>
  <c r="D40" i="5"/>
  <c r="D36" i="5"/>
  <c r="D32" i="5"/>
  <c r="D28" i="5"/>
  <c r="D24" i="5"/>
  <c r="D20" i="5"/>
  <c r="D16" i="5"/>
  <c r="D332" i="5"/>
  <c r="D223" i="5"/>
  <c r="D191" i="5"/>
  <c r="D159" i="5"/>
  <c r="D127" i="5"/>
  <c r="D15" i="5"/>
  <c r="J15" i="5" s="1"/>
  <c r="J6" i="5"/>
  <c r="N140" i="4"/>
  <c r="N132" i="4"/>
  <c r="N124" i="4"/>
  <c r="N116" i="4"/>
  <c r="N104" i="4"/>
  <c r="N88" i="4"/>
  <c r="N72" i="4"/>
  <c r="N56" i="4"/>
  <c r="M69" i="4"/>
  <c r="M131" i="4"/>
  <c r="M115" i="4"/>
  <c r="M99" i="4"/>
  <c r="M83" i="4"/>
  <c r="M55" i="4"/>
  <c r="M31" i="4"/>
  <c r="N317" i="4"/>
  <c r="M562" i="4"/>
  <c r="N488" i="4"/>
  <c r="N496" i="4"/>
  <c r="N504" i="4"/>
  <c r="M548" i="4"/>
  <c r="M580" i="4"/>
  <c r="M594" i="4"/>
  <c r="N605" i="4"/>
  <c r="F7" i="4"/>
  <c r="F8" i="4" s="1"/>
  <c r="N123" i="4"/>
  <c r="I6" i="4" l="1"/>
  <c r="I8" i="4" s="1"/>
  <c r="G4" i="1"/>
  <c r="F9" i="4"/>
  <c r="J99" i="5"/>
  <c r="J185" i="5"/>
  <c r="J292" i="5"/>
  <c r="J321" i="5"/>
  <c r="J298" i="5"/>
  <c r="J377" i="5"/>
  <c r="J409" i="5"/>
  <c r="J402" i="5"/>
  <c r="J399" i="5"/>
  <c r="J509" i="5"/>
  <c r="J507" i="5"/>
  <c r="J539" i="5"/>
  <c r="J528" i="5"/>
  <c r="J576" i="5"/>
  <c r="J608" i="5"/>
  <c r="G11" i="6"/>
  <c r="G6" i="1"/>
  <c r="G12" i="6"/>
  <c r="J107" i="5"/>
  <c r="J102" i="5"/>
  <c r="J88" i="5"/>
  <c r="J157" i="5"/>
  <c r="J90" i="5"/>
  <c r="J218" i="5"/>
  <c r="J324" i="5"/>
  <c r="J293" i="5"/>
  <c r="J270" i="5"/>
  <c r="J302" i="5"/>
  <c r="J372" i="5"/>
  <c r="J374" i="5"/>
  <c r="J403" i="5"/>
  <c r="J481" i="5"/>
  <c r="J479" i="5"/>
  <c r="J500" i="5"/>
  <c r="J548" i="5"/>
  <c r="J605" i="5"/>
  <c r="J31" i="5"/>
  <c r="J22" i="5"/>
  <c r="J43" i="5"/>
  <c r="J284" i="5"/>
  <c r="J24" i="5"/>
  <c r="J56" i="5"/>
  <c r="J37" i="5"/>
  <c r="J38" i="5"/>
  <c r="J70" i="5"/>
  <c r="J59" i="5"/>
  <c r="J156" i="5"/>
  <c r="J188" i="5"/>
  <c r="J570" i="5"/>
  <c r="J338" i="5"/>
  <c r="J327" i="5"/>
  <c r="J439" i="5"/>
  <c r="J582" i="5"/>
  <c r="J160" i="5"/>
  <c r="J224" i="5"/>
  <c r="J133" i="5"/>
  <c r="J256" i="5"/>
  <c r="J98" i="5"/>
  <c r="J194" i="5"/>
  <c r="J269" i="5"/>
  <c r="J301" i="5"/>
  <c r="J474" i="5"/>
  <c r="J267" i="5"/>
  <c r="J380" i="5"/>
  <c r="J382" i="5"/>
  <c r="J457" i="5"/>
  <c r="J489" i="5"/>
  <c r="J455" i="5"/>
  <c r="J476" i="5"/>
  <c r="J508" i="5"/>
  <c r="J595" i="5"/>
  <c r="J581" i="5"/>
  <c r="F612" i="5"/>
  <c r="J612" i="5" s="1"/>
  <c r="F608" i="5"/>
  <c r="F604" i="5"/>
  <c r="F600" i="5"/>
  <c r="F596" i="5"/>
  <c r="F592" i="5"/>
  <c r="F588" i="5"/>
  <c r="J588" i="5" s="1"/>
  <c r="F584" i="5"/>
  <c r="J584" i="5" s="1"/>
  <c r="F580" i="5"/>
  <c r="J580" i="5" s="1"/>
  <c r="F576" i="5"/>
  <c r="F572" i="5"/>
  <c r="F568" i="5"/>
  <c r="F564" i="5"/>
  <c r="F560" i="5"/>
  <c r="F556" i="5"/>
  <c r="J556" i="5" s="1"/>
  <c r="F552" i="5"/>
  <c r="J552" i="5" s="1"/>
  <c r="F548" i="5"/>
  <c r="F544" i="5"/>
  <c r="J544" i="5" s="1"/>
  <c r="F611" i="5"/>
  <c r="F607" i="5"/>
  <c r="F603" i="5"/>
  <c r="F599" i="5"/>
  <c r="F595" i="5"/>
  <c r="F591" i="5"/>
  <c r="J591" i="5" s="1"/>
  <c r="F587" i="5"/>
  <c r="J587" i="5" s="1"/>
  <c r="F583" i="5"/>
  <c r="J583" i="5" s="1"/>
  <c r="F579" i="5"/>
  <c r="F575" i="5"/>
  <c r="F571" i="5"/>
  <c r="F567" i="5"/>
  <c r="F563" i="5"/>
  <c r="J563" i="5" s="1"/>
  <c r="F559" i="5"/>
  <c r="J559" i="5" s="1"/>
  <c r="F555" i="5"/>
  <c r="J555" i="5" s="1"/>
  <c r="F551" i="5"/>
  <c r="J551" i="5" s="1"/>
  <c r="F547" i="5"/>
  <c r="F543" i="5"/>
  <c r="F610" i="5"/>
  <c r="F606" i="5"/>
  <c r="F602" i="5"/>
  <c r="J602" i="5" s="1"/>
  <c r="F598" i="5"/>
  <c r="J598" i="5" s="1"/>
  <c r="F594" i="5"/>
  <c r="J594" i="5" s="1"/>
  <c r="F590" i="5"/>
  <c r="F586" i="5"/>
  <c r="F582" i="5"/>
  <c r="F578" i="5"/>
  <c r="J578" i="5" s="1"/>
  <c r="F574" i="5"/>
  <c r="J574" i="5" s="1"/>
  <c r="F570" i="5"/>
  <c r="F566" i="5"/>
  <c r="J566" i="5" s="1"/>
  <c r="F562" i="5"/>
  <c r="F558" i="5"/>
  <c r="F554" i="5"/>
  <c r="J554" i="5" s="1"/>
  <c r="F550" i="5"/>
  <c r="J550" i="5" s="1"/>
  <c r="F546" i="5"/>
  <c r="F542" i="5"/>
  <c r="J542" i="5" s="1"/>
  <c r="F609" i="5"/>
  <c r="J609" i="5" s="1"/>
  <c r="F565" i="5"/>
  <c r="J565" i="5" s="1"/>
  <c r="F553" i="5"/>
  <c r="F539" i="5"/>
  <c r="F535" i="5"/>
  <c r="F531" i="5"/>
  <c r="F527" i="5"/>
  <c r="F523" i="5"/>
  <c r="F519" i="5"/>
  <c r="J519" i="5" s="1"/>
  <c r="F515" i="5"/>
  <c r="J515" i="5" s="1"/>
  <c r="F511" i="5"/>
  <c r="J511" i="5" s="1"/>
  <c r="F507" i="5"/>
  <c r="F503" i="5"/>
  <c r="F499" i="5"/>
  <c r="F495" i="5"/>
  <c r="F491" i="5"/>
  <c r="F487" i="5"/>
  <c r="J487" i="5" s="1"/>
  <c r="F483" i="5"/>
  <c r="J483" i="5" s="1"/>
  <c r="F479" i="5"/>
  <c r="F475" i="5"/>
  <c r="J475" i="5" s="1"/>
  <c r="F471" i="5"/>
  <c r="F467" i="5"/>
  <c r="F463" i="5"/>
  <c r="F459" i="5"/>
  <c r="F455" i="5"/>
  <c r="F451" i="5"/>
  <c r="J451" i="5" s="1"/>
  <c r="F447" i="5"/>
  <c r="J447" i="5" s="1"/>
  <c r="F605" i="5"/>
  <c r="F597" i="5"/>
  <c r="F593" i="5"/>
  <c r="F557" i="5"/>
  <c r="F549" i="5"/>
  <c r="J549" i="5" s="1"/>
  <c r="F589" i="5"/>
  <c r="F545" i="5"/>
  <c r="J545" i="5" s="1"/>
  <c r="F538" i="5"/>
  <c r="F534" i="5"/>
  <c r="J534" i="5" s="1"/>
  <c r="F530" i="5"/>
  <c r="F526" i="5"/>
  <c r="F522" i="5"/>
  <c r="F518" i="5"/>
  <c r="J518" i="5" s="1"/>
  <c r="F514" i="5"/>
  <c r="J514" i="5" s="1"/>
  <c r="F510" i="5"/>
  <c r="J510" i="5" s="1"/>
  <c r="F506" i="5"/>
  <c r="J506" i="5" s="1"/>
  <c r="F502" i="5"/>
  <c r="J502" i="5" s="1"/>
  <c r="F498" i="5"/>
  <c r="F494" i="5"/>
  <c r="F490" i="5"/>
  <c r="F486" i="5"/>
  <c r="F482" i="5"/>
  <c r="J482" i="5" s="1"/>
  <c r="F478" i="5"/>
  <c r="J478" i="5" s="1"/>
  <c r="F474" i="5"/>
  <c r="F470" i="5"/>
  <c r="F466" i="5"/>
  <c r="F462" i="5"/>
  <c r="F458" i="5"/>
  <c r="J458" i="5" s="1"/>
  <c r="F454" i="5"/>
  <c r="F450" i="5"/>
  <c r="F585" i="5"/>
  <c r="J585" i="5" s="1"/>
  <c r="F577" i="5"/>
  <c r="J577" i="5" s="1"/>
  <c r="F573" i="5"/>
  <c r="J573" i="5" s="1"/>
  <c r="F540" i="5"/>
  <c r="J540" i="5" s="1"/>
  <c r="F536" i="5"/>
  <c r="J536" i="5" s="1"/>
  <c r="F532" i="5"/>
  <c r="J532" i="5" s="1"/>
  <c r="F528" i="5"/>
  <c r="F524" i="5"/>
  <c r="F520" i="5"/>
  <c r="J520" i="5" s="1"/>
  <c r="F516" i="5"/>
  <c r="F512" i="5"/>
  <c r="F508" i="5"/>
  <c r="F504" i="5"/>
  <c r="J504" i="5" s="1"/>
  <c r="F500" i="5"/>
  <c r="F496" i="5"/>
  <c r="J496" i="5" s="1"/>
  <c r="F492" i="5"/>
  <c r="F488" i="5"/>
  <c r="J488" i="5" s="1"/>
  <c r="F484" i="5"/>
  <c r="F480" i="5"/>
  <c r="F476" i="5"/>
  <c r="F472" i="5"/>
  <c r="J472" i="5" s="1"/>
  <c r="F468" i="5"/>
  <c r="J468" i="5" s="1"/>
  <c r="F464" i="5"/>
  <c r="J464" i="5" s="1"/>
  <c r="F460" i="5"/>
  <c r="F456" i="5"/>
  <c r="J456" i="5" s="1"/>
  <c r="F452" i="5"/>
  <c r="F541" i="5"/>
  <c r="J541" i="5" s="1"/>
  <c r="F509" i="5"/>
  <c r="F601" i="5"/>
  <c r="J601" i="5" s="1"/>
  <c r="F569" i="5"/>
  <c r="J569" i="5" s="1"/>
  <c r="F521" i="5"/>
  <c r="J521" i="5" s="1"/>
  <c r="F489" i="5"/>
  <c r="F477" i="5"/>
  <c r="J477" i="5" s="1"/>
  <c r="F449" i="5"/>
  <c r="F448" i="5"/>
  <c r="F446" i="5"/>
  <c r="J446" i="5" s="1"/>
  <c r="F442" i="5"/>
  <c r="J442" i="5" s="1"/>
  <c r="F438" i="5"/>
  <c r="J438" i="5" s="1"/>
  <c r="F434" i="5"/>
  <c r="J434" i="5" s="1"/>
  <c r="F430" i="5"/>
  <c r="F426" i="5"/>
  <c r="J426" i="5" s="1"/>
  <c r="F422" i="5"/>
  <c r="F418" i="5"/>
  <c r="F414" i="5"/>
  <c r="J414" i="5" s="1"/>
  <c r="F410" i="5"/>
  <c r="J410" i="5" s="1"/>
  <c r="F406" i="5"/>
  <c r="J406" i="5" s="1"/>
  <c r="F402" i="5"/>
  <c r="F398" i="5"/>
  <c r="F394" i="5"/>
  <c r="J394" i="5" s="1"/>
  <c r="F390" i="5"/>
  <c r="F386" i="5"/>
  <c r="F382" i="5"/>
  <c r="F378" i="5"/>
  <c r="J378" i="5" s="1"/>
  <c r="F374" i="5"/>
  <c r="F370" i="5"/>
  <c r="J370" i="5" s="1"/>
  <c r="F366" i="5"/>
  <c r="J366" i="5" s="1"/>
  <c r="F362" i="5"/>
  <c r="J362" i="5" s="1"/>
  <c r="F358" i="5"/>
  <c r="F561" i="5"/>
  <c r="F533" i="5"/>
  <c r="F501" i="5"/>
  <c r="F473" i="5"/>
  <c r="F513" i="5"/>
  <c r="J513" i="5" s="1"/>
  <c r="F481" i="5"/>
  <c r="F469" i="5"/>
  <c r="J469" i="5" s="1"/>
  <c r="F445" i="5"/>
  <c r="J445" i="5" s="1"/>
  <c r="F441" i="5"/>
  <c r="J441" i="5" s="1"/>
  <c r="F437" i="5"/>
  <c r="F433" i="5"/>
  <c r="F429" i="5"/>
  <c r="F425" i="5"/>
  <c r="F421" i="5"/>
  <c r="J421" i="5" s="1"/>
  <c r="F417" i="5"/>
  <c r="J417" i="5" s="1"/>
  <c r="F413" i="5"/>
  <c r="J413" i="5" s="1"/>
  <c r="F409" i="5"/>
  <c r="F405" i="5"/>
  <c r="F401" i="5"/>
  <c r="F397" i="5"/>
  <c r="F393" i="5"/>
  <c r="F389" i="5"/>
  <c r="J389" i="5" s="1"/>
  <c r="F385" i="5"/>
  <c r="J385" i="5" s="1"/>
  <c r="F381" i="5"/>
  <c r="J381" i="5" s="1"/>
  <c r="F377" i="5"/>
  <c r="F373" i="5"/>
  <c r="F581" i="5"/>
  <c r="F525" i="5"/>
  <c r="F493" i="5"/>
  <c r="F465" i="5"/>
  <c r="F537" i="5"/>
  <c r="J537" i="5" s="1"/>
  <c r="F505" i="5"/>
  <c r="F461" i="5"/>
  <c r="F444" i="5"/>
  <c r="F440" i="5"/>
  <c r="J440" i="5" s="1"/>
  <c r="F436" i="5"/>
  <c r="J436" i="5" s="1"/>
  <c r="F432" i="5"/>
  <c r="J432" i="5" s="1"/>
  <c r="F428" i="5"/>
  <c r="F424" i="5"/>
  <c r="J424" i="5" s="1"/>
  <c r="F420" i="5"/>
  <c r="F416" i="5"/>
  <c r="F412" i="5"/>
  <c r="F408" i="5"/>
  <c r="F404" i="5"/>
  <c r="F400" i="5"/>
  <c r="J400" i="5" s="1"/>
  <c r="F396" i="5"/>
  <c r="J396" i="5" s="1"/>
  <c r="F392" i="5"/>
  <c r="J392" i="5" s="1"/>
  <c r="F388" i="5"/>
  <c r="J388" i="5" s="1"/>
  <c r="F384" i="5"/>
  <c r="F380" i="5"/>
  <c r="F376" i="5"/>
  <c r="J376" i="5" s="1"/>
  <c r="F372" i="5"/>
  <c r="F368" i="5"/>
  <c r="J368" i="5" s="1"/>
  <c r="F364" i="5"/>
  <c r="J364" i="5" s="1"/>
  <c r="F360" i="5"/>
  <c r="J360" i="5" s="1"/>
  <c r="F453" i="5"/>
  <c r="J453" i="5" s="1"/>
  <c r="F427" i="5"/>
  <c r="F395" i="5"/>
  <c r="F369" i="5"/>
  <c r="F485" i="5"/>
  <c r="J485" i="5" s="1"/>
  <c r="F457" i="5"/>
  <c r="F439" i="5"/>
  <c r="F407" i="5"/>
  <c r="J407" i="5" s="1"/>
  <c r="F354" i="5"/>
  <c r="F350" i="5"/>
  <c r="F346" i="5"/>
  <c r="F342" i="5"/>
  <c r="J342" i="5" s="1"/>
  <c r="F338" i="5"/>
  <c r="F334" i="5"/>
  <c r="J334" i="5" s="1"/>
  <c r="F330" i="5"/>
  <c r="J330" i="5" s="1"/>
  <c r="F326" i="5"/>
  <c r="J326" i="5" s="1"/>
  <c r="F322" i="5"/>
  <c r="F318" i="5"/>
  <c r="F314" i="5"/>
  <c r="F310" i="5"/>
  <c r="J310" i="5" s="1"/>
  <c r="F306" i="5"/>
  <c r="J306" i="5" s="1"/>
  <c r="F302" i="5"/>
  <c r="F298" i="5"/>
  <c r="F294" i="5"/>
  <c r="J294" i="5" s="1"/>
  <c r="F290" i="5"/>
  <c r="F286" i="5"/>
  <c r="F282" i="5"/>
  <c r="F278" i="5"/>
  <c r="J278" i="5" s="1"/>
  <c r="F274" i="5"/>
  <c r="J274" i="5" s="1"/>
  <c r="F270" i="5"/>
  <c r="F266" i="5"/>
  <c r="J266" i="5" s="1"/>
  <c r="F262" i="5"/>
  <c r="J262" i="5" s="1"/>
  <c r="F258" i="5"/>
  <c r="F254" i="5"/>
  <c r="F250" i="5"/>
  <c r="F246" i="5"/>
  <c r="J246" i="5" s="1"/>
  <c r="F242" i="5"/>
  <c r="J242" i="5" s="1"/>
  <c r="F238" i="5"/>
  <c r="J238" i="5" s="1"/>
  <c r="F419" i="5"/>
  <c r="F387" i="5"/>
  <c r="J387" i="5" s="1"/>
  <c r="F431" i="5"/>
  <c r="J431" i="5" s="1"/>
  <c r="F399" i="5"/>
  <c r="F375" i="5"/>
  <c r="J375" i="5" s="1"/>
  <c r="F359" i="5"/>
  <c r="F357" i="5"/>
  <c r="J357" i="5" s="1"/>
  <c r="F353" i="5"/>
  <c r="J353" i="5" s="1"/>
  <c r="F349" i="5"/>
  <c r="F345" i="5"/>
  <c r="J345" i="5" s="1"/>
  <c r="F341" i="5"/>
  <c r="F337" i="5"/>
  <c r="F333" i="5"/>
  <c r="J333" i="5" s="1"/>
  <c r="F329" i="5"/>
  <c r="J329" i="5" s="1"/>
  <c r="F325" i="5"/>
  <c r="J325" i="5" s="1"/>
  <c r="F321" i="5"/>
  <c r="F317" i="5"/>
  <c r="F313" i="5"/>
  <c r="J313" i="5" s="1"/>
  <c r="F309" i="5"/>
  <c r="F305" i="5"/>
  <c r="F301" i="5"/>
  <c r="F297" i="5"/>
  <c r="J297" i="5" s="1"/>
  <c r="F293" i="5"/>
  <c r="F289" i="5"/>
  <c r="J289" i="5" s="1"/>
  <c r="F285" i="5"/>
  <c r="F281" i="5"/>
  <c r="J281" i="5" s="1"/>
  <c r="F277" i="5"/>
  <c r="F273" i="5"/>
  <c r="F269" i="5"/>
  <c r="F265" i="5"/>
  <c r="J265" i="5" s="1"/>
  <c r="F261" i="5"/>
  <c r="J261" i="5" s="1"/>
  <c r="F257" i="5"/>
  <c r="J257" i="5" s="1"/>
  <c r="F253" i="5"/>
  <c r="F249" i="5"/>
  <c r="J249" i="5" s="1"/>
  <c r="F245" i="5"/>
  <c r="F241" i="5"/>
  <c r="F237" i="5"/>
  <c r="J237" i="5" s="1"/>
  <c r="F529" i="5"/>
  <c r="F443" i="5"/>
  <c r="J443" i="5" s="1"/>
  <c r="F411" i="5"/>
  <c r="J411" i="5" s="1"/>
  <c r="F379" i="5"/>
  <c r="J379" i="5" s="1"/>
  <c r="F371" i="5"/>
  <c r="J371" i="5" s="1"/>
  <c r="F361" i="5"/>
  <c r="F423" i="5"/>
  <c r="F391" i="5"/>
  <c r="F363" i="5"/>
  <c r="F356" i="5"/>
  <c r="J356" i="5" s="1"/>
  <c r="F352" i="5"/>
  <c r="J352" i="5" s="1"/>
  <c r="F348" i="5"/>
  <c r="J348" i="5" s="1"/>
  <c r="F344" i="5"/>
  <c r="F340" i="5"/>
  <c r="J340" i="5" s="1"/>
  <c r="F336" i="5"/>
  <c r="F332" i="5"/>
  <c r="J332" i="5" s="1"/>
  <c r="F328" i="5"/>
  <c r="F324" i="5"/>
  <c r="F320" i="5"/>
  <c r="F316" i="5"/>
  <c r="F312" i="5"/>
  <c r="J312" i="5" s="1"/>
  <c r="F308" i="5"/>
  <c r="J308" i="5" s="1"/>
  <c r="F304" i="5"/>
  <c r="J304" i="5" s="1"/>
  <c r="F300" i="5"/>
  <c r="F296" i="5"/>
  <c r="F292" i="5"/>
  <c r="F288" i="5"/>
  <c r="F284" i="5"/>
  <c r="F280" i="5"/>
  <c r="J280" i="5" s="1"/>
  <c r="F276" i="5"/>
  <c r="J276" i="5" s="1"/>
  <c r="F272" i="5"/>
  <c r="F268" i="5"/>
  <c r="F264" i="5"/>
  <c r="F260" i="5"/>
  <c r="F256" i="5"/>
  <c r="F252" i="5"/>
  <c r="F248" i="5"/>
  <c r="J248" i="5" s="1"/>
  <c r="F244" i="5"/>
  <c r="J244" i="5" s="1"/>
  <c r="F240" i="5"/>
  <c r="J240" i="5" s="1"/>
  <c r="F497" i="5"/>
  <c r="F435" i="5"/>
  <c r="J435" i="5" s="1"/>
  <c r="F403" i="5"/>
  <c r="F365" i="5"/>
  <c r="F517" i="5"/>
  <c r="J517" i="5" s="1"/>
  <c r="F335" i="5"/>
  <c r="J335" i="5" s="1"/>
  <c r="F303" i="5"/>
  <c r="F271" i="5"/>
  <c r="F331" i="5"/>
  <c r="J331" i="5" s="1"/>
  <c r="F299" i="5"/>
  <c r="J299" i="5" s="1"/>
  <c r="F267" i="5"/>
  <c r="F233" i="5"/>
  <c r="F229" i="5"/>
  <c r="J229" i="5" s="1"/>
  <c r="F225" i="5"/>
  <c r="J225" i="5" s="1"/>
  <c r="F221" i="5"/>
  <c r="J221" i="5" s="1"/>
  <c r="F217" i="5"/>
  <c r="J217" i="5" s="1"/>
  <c r="F213" i="5"/>
  <c r="F209" i="5"/>
  <c r="J209" i="5" s="1"/>
  <c r="F205" i="5"/>
  <c r="F201" i="5"/>
  <c r="F197" i="5"/>
  <c r="J197" i="5" s="1"/>
  <c r="F193" i="5"/>
  <c r="J193" i="5" s="1"/>
  <c r="F189" i="5"/>
  <c r="J189" i="5" s="1"/>
  <c r="F185" i="5"/>
  <c r="F181" i="5"/>
  <c r="F177" i="5"/>
  <c r="F173" i="5"/>
  <c r="F169" i="5"/>
  <c r="J169" i="5" s="1"/>
  <c r="F165" i="5"/>
  <c r="J165" i="5" s="1"/>
  <c r="F161" i="5"/>
  <c r="J161" i="5" s="1"/>
  <c r="F157" i="5"/>
  <c r="F153" i="5"/>
  <c r="J153" i="5" s="1"/>
  <c r="F149" i="5"/>
  <c r="F145" i="5"/>
  <c r="J145" i="5" s="1"/>
  <c r="F141" i="5"/>
  <c r="F137" i="5"/>
  <c r="J137" i="5" s="1"/>
  <c r="F133" i="5"/>
  <c r="F129" i="5"/>
  <c r="J129" i="5" s="1"/>
  <c r="F125" i="5"/>
  <c r="J125" i="5" s="1"/>
  <c r="F121" i="5"/>
  <c r="J121" i="5" s="1"/>
  <c r="F117" i="5"/>
  <c r="F113" i="5"/>
  <c r="J113" i="5" s="1"/>
  <c r="F109" i="5"/>
  <c r="F105" i="5"/>
  <c r="F101" i="5"/>
  <c r="J101" i="5" s="1"/>
  <c r="F97" i="5"/>
  <c r="J97" i="5" s="1"/>
  <c r="F93" i="5"/>
  <c r="J93" i="5" s="1"/>
  <c r="F89" i="5"/>
  <c r="J89" i="5" s="1"/>
  <c r="F327" i="5"/>
  <c r="F295" i="5"/>
  <c r="J295" i="5" s="1"/>
  <c r="F251" i="5"/>
  <c r="F415" i="5"/>
  <c r="F355" i="5"/>
  <c r="J355" i="5" s="1"/>
  <c r="F323" i="5"/>
  <c r="J323" i="5" s="1"/>
  <c r="F291" i="5"/>
  <c r="J291" i="5" s="1"/>
  <c r="F236" i="5"/>
  <c r="J236" i="5" s="1"/>
  <c r="F232" i="5"/>
  <c r="F228" i="5"/>
  <c r="F224" i="5"/>
  <c r="F220" i="5"/>
  <c r="J220" i="5" s="1"/>
  <c r="F216" i="5"/>
  <c r="J216" i="5" s="1"/>
  <c r="F212" i="5"/>
  <c r="J212" i="5" s="1"/>
  <c r="F208" i="5"/>
  <c r="F204" i="5"/>
  <c r="F200" i="5"/>
  <c r="F196" i="5"/>
  <c r="F192" i="5"/>
  <c r="F188" i="5"/>
  <c r="F184" i="5"/>
  <c r="J184" i="5" s="1"/>
  <c r="F180" i="5"/>
  <c r="J180" i="5" s="1"/>
  <c r="F176" i="5"/>
  <c r="F172" i="5"/>
  <c r="J172" i="5" s="1"/>
  <c r="F168" i="5"/>
  <c r="F164" i="5"/>
  <c r="J164" i="5" s="1"/>
  <c r="F160" i="5"/>
  <c r="F156" i="5"/>
  <c r="F152" i="5"/>
  <c r="J152" i="5" s="1"/>
  <c r="F148" i="5"/>
  <c r="J148" i="5" s="1"/>
  <c r="F144" i="5"/>
  <c r="F140" i="5"/>
  <c r="J140" i="5" s="1"/>
  <c r="F136" i="5"/>
  <c r="F132" i="5"/>
  <c r="F128" i="5"/>
  <c r="F124" i="5"/>
  <c r="J124" i="5" s="1"/>
  <c r="F120" i="5"/>
  <c r="J120" i="5" s="1"/>
  <c r="F116" i="5"/>
  <c r="J116" i="5" s="1"/>
  <c r="F112" i="5"/>
  <c r="F108" i="5"/>
  <c r="F104" i="5"/>
  <c r="F100" i="5"/>
  <c r="J100" i="5" s="1"/>
  <c r="F96" i="5"/>
  <c r="F92" i="5"/>
  <c r="J92" i="5" s="1"/>
  <c r="F88" i="5"/>
  <c r="F383" i="5"/>
  <c r="J383" i="5" s="1"/>
  <c r="F351" i="5"/>
  <c r="J351" i="5" s="1"/>
  <c r="F319" i="5"/>
  <c r="J319" i="5" s="1"/>
  <c r="F287" i="5"/>
  <c r="J287" i="5" s="1"/>
  <c r="F367" i="5"/>
  <c r="J367" i="5" s="1"/>
  <c r="F347" i="5"/>
  <c r="F315" i="5"/>
  <c r="F283" i="5"/>
  <c r="F259" i="5"/>
  <c r="J259" i="5" s="1"/>
  <c r="F243" i="5"/>
  <c r="F235" i="5"/>
  <c r="F231" i="5"/>
  <c r="J231" i="5" s="1"/>
  <c r="F227" i="5"/>
  <c r="J227" i="5" s="1"/>
  <c r="F223" i="5"/>
  <c r="F219" i="5"/>
  <c r="J219" i="5" s="1"/>
  <c r="F215" i="5"/>
  <c r="F211" i="5"/>
  <c r="J211" i="5" s="1"/>
  <c r="F207" i="5"/>
  <c r="J207" i="5" s="1"/>
  <c r="F203" i="5"/>
  <c r="F199" i="5"/>
  <c r="J199" i="5" s="1"/>
  <c r="F195" i="5"/>
  <c r="J195" i="5" s="1"/>
  <c r="F191" i="5"/>
  <c r="F187" i="5"/>
  <c r="J187" i="5" s="1"/>
  <c r="F183" i="5"/>
  <c r="F179" i="5"/>
  <c r="J179" i="5" s="1"/>
  <c r="F175" i="5"/>
  <c r="J175" i="5" s="1"/>
  <c r="F171" i="5"/>
  <c r="F167" i="5"/>
  <c r="J167" i="5" s="1"/>
  <c r="F163" i="5"/>
  <c r="F159" i="5"/>
  <c r="F155" i="5"/>
  <c r="J155" i="5" s="1"/>
  <c r="F151" i="5"/>
  <c r="J151" i="5" s="1"/>
  <c r="F147" i="5"/>
  <c r="J147" i="5" s="1"/>
  <c r="F143" i="5"/>
  <c r="J143" i="5" s="1"/>
  <c r="F139" i="5"/>
  <c r="J139" i="5" s="1"/>
  <c r="F135" i="5"/>
  <c r="J135" i="5" s="1"/>
  <c r="F131" i="5"/>
  <c r="J131" i="5" s="1"/>
  <c r="F127" i="5"/>
  <c r="F123" i="5"/>
  <c r="J123" i="5" s="1"/>
  <c r="F119" i="5"/>
  <c r="J119" i="5" s="1"/>
  <c r="F115" i="5"/>
  <c r="J115" i="5" s="1"/>
  <c r="F111" i="5"/>
  <c r="J111" i="5" s="1"/>
  <c r="F107" i="5"/>
  <c r="F103" i="5"/>
  <c r="J103" i="5" s="1"/>
  <c r="F99" i="5"/>
  <c r="F95" i="5"/>
  <c r="J95" i="5" s="1"/>
  <c r="F91" i="5"/>
  <c r="J91" i="5" s="1"/>
  <c r="F87" i="5"/>
  <c r="J87" i="5" s="1"/>
  <c r="F343" i="5"/>
  <c r="F311" i="5"/>
  <c r="J311" i="5" s="1"/>
  <c r="F279" i="5"/>
  <c r="J279" i="5" s="1"/>
  <c r="F263" i="5"/>
  <c r="J263" i="5" s="1"/>
  <c r="F255" i="5"/>
  <c r="J255" i="5" s="1"/>
  <c r="F239" i="5"/>
  <c r="F226" i="5"/>
  <c r="J226" i="5" s="1"/>
  <c r="F194" i="5"/>
  <c r="F162" i="5"/>
  <c r="J162" i="5" s="1"/>
  <c r="F130" i="5"/>
  <c r="J130" i="5" s="1"/>
  <c r="F102" i="5"/>
  <c r="F98" i="5"/>
  <c r="F82" i="5"/>
  <c r="F78" i="5"/>
  <c r="J78" i="5" s="1"/>
  <c r="F74" i="5"/>
  <c r="F70" i="5"/>
  <c r="F66" i="5"/>
  <c r="J66" i="5" s="1"/>
  <c r="F62" i="5"/>
  <c r="J62" i="5" s="1"/>
  <c r="F58" i="5"/>
  <c r="F54" i="5"/>
  <c r="J54" i="5" s="1"/>
  <c r="F50" i="5"/>
  <c r="F46" i="5"/>
  <c r="F42" i="5"/>
  <c r="F38" i="5"/>
  <c r="F34" i="5"/>
  <c r="J34" i="5" s="1"/>
  <c r="F30" i="5"/>
  <c r="J30" i="5" s="1"/>
  <c r="F26" i="5"/>
  <c r="J26" i="5" s="1"/>
  <c r="F22" i="5"/>
  <c r="F18" i="5"/>
  <c r="F275" i="5"/>
  <c r="F222" i="5"/>
  <c r="J222" i="5" s="1"/>
  <c r="F190" i="5"/>
  <c r="J190" i="5" s="1"/>
  <c r="F158" i="5"/>
  <c r="J158" i="5" s="1"/>
  <c r="F126" i="5"/>
  <c r="J126" i="5" s="1"/>
  <c r="F114" i="5"/>
  <c r="F94" i="5"/>
  <c r="J94" i="5" s="1"/>
  <c r="K15" i="5"/>
  <c r="J8" i="5"/>
  <c r="F218" i="5"/>
  <c r="F186" i="5"/>
  <c r="J186" i="5" s="1"/>
  <c r="F154" i="5"/>
  <c r="J154" i="5" s="1"/>
  <c r="F122" i="5"/>
  <c r="J122" i="5" s="1"/>
  <c r="F90" i="5"/>
  <c r="F85" i="5"/>
  <c r="F81" i="5"/>
  <c r="F77" i="5"/>
  <c r="F73" i="5"/>
  <c r="J73" i="5" s="1"/>
  <c r="F69" i="5"/>
  <c r="J69" i="5" s="1"/>
  <c r="F65" i="5"/>
  <c r="J65" i="5" s="1"/>
  <c r="F61" i="5"/>
  <c r="J61" i="5" s="1"/>
  <c r="F57" i="5"/>
  <c r="F53" i="5"/>
  <c r="J53" i="5" s="1"/>
  <c r="F49" i="5"/>
  <c r="F45" i="5"/>
  <c r="J45" i="5" s="1"/>
  <c r="F41" i="5"/>
  <c r="J41" i="5" s="1"/>
  <c r="F37" i="5"/>
  <c r="F33" i="5"/>
  <c r="J33" i="5" s="1"/>
  <c r="F29" i="5"/>
  <c r="J29" i="5" s="1"/>
  <c r="F25" i="5"/>
  <c r="J25" i="5" s="1"/>
  <c r="F21" i="5"/>
  <c r="J21" i="5" s="1"/>
  <c r="F17" i="5"/>
  <c r="F214" i="5"/>
  <c r="J214" i="5" s="1"/>
  <c r="F182" i="5"/>
  <c r="J182" i="5" s="1"/>
  <c r="F150" i="5"/>
  <c r="J150" i="5" s="1"/>
  <c r="F106" i="5"/>
  <c r="J106" i="5" s="1"/>
  <c r="F86" i="5"/>
  <c r="J86" i="5" s="1"/>
  <c r="F307" i="5"/>
  <c r="F210" i="5"/>
  <c r="F178" i="5"/>
  <c r="F146" i="5"/>
  <c r="F84" i="5"/>
  <c r="J84" i="5" s="1"/>
  <c r="F80" i="5"/>
  <c r="J80" i="5" s="1"/>
  <c r="F76" i="5"/>
  <c r="J76" i="5" s="1"/>
  <c r="F72" i="5"/>
  <c r="J72" i="5" s="1"/>
  <c r="F68" i="5"/>
  <c r="F64" i="5"/>
  <c r="F60" i="5"/>
  <c r="F56" i="5"/>
  <c r="F52" i="5"/>
  <c r="J52" i="5" s="1"/>
  <c r="F48" i="5"/>
  <c r="J48" i="5" s="1"/>
  <c r="F44" i="5"/>
  <c r="J44" i="5" s="1"/>
  <c r="F40" i="5"/>
  <c r="J40" i="5" s="1"/>
  <c r="F36" i="5"/>
  <c r="F32" i="5"/>
  <c r="F28" i="5"/>
  <c r="F24" i="5"/>
  <c r="F20" i="5"/>
  <c r="J20" i="5" s="1"/>
  <c r="F16" i="5"/>
  <c r="J16" i="5" s="1"/>
  <c r="F206" i="5"/>
  <c r="J206" i="5" s="1"/>
  <c r="F174" i="5"/>
  <c r="J174" i="5" s="1"/>
  <c r="F142" i="5"/>
  <c r="F234" i="5"/>
  <c r="F202" i="5"/>
  <c r="F170" i="5"/>
  <c r="F138" i="5"/>
  <c r="F110" i="5"/>
  <c r="F83" i="5"/>
  <c r="J83" i="5" s="1"/>
  <c r="F79" i="5"/>
  <c r="F75" i="5"/>
  <c r="J75" i="5" s="1"/>
  <c r="F71" i="5"/>
  <c r="F67" i="5"/>
  <c r="F63" i="5"/>
  <c r="J63" i="5" s="1"/>
  <c r="F59" i="5"/>
  <c r="F55" i="5"/>
  <c r="J55" i="5" s="1"/>
  <c r="F51" i="5"/>
  <c r="J51" i="5" s="1"/>
  <c r="F47" i="5"/>
  <c r="F43" i="5"/>
  <c r="F39" i="5"/>
  <c r="F35" i="5"/>
  <c r="J35" i="5" s="1"/>
  <c r="F31" i="5"/>
  <c r="F27" i="5"/>
  <c r="J27" i="5" s="1"/>
  <c r="F23" i="5"/>
  <c r="J23" i="5" s="1"/>
  <c r="F19" i="5"/>
  <c r="J19" i="5" s="1"/>
  <c r="F339" i="5"/>
  <c r="F247" i="5"/>
  <c r="F230" i="5"/>
  <c r="F198" i="5"/>
  <c r="J198" i="5" s="1"/>
  <c r="F166" i="5"/>
  <c r="J166" i="5" s="1"/>
  <c r="F134" i="5"/>
  <c r="F118" i="5"/>
  <c r="J118" i="5" s="1"/>
  <c r="G612" i="5"/>
  <c r="K612" i="5" s="1"/>
  <c r="G608" i="5"/>
  <c r="K608" i="5" s="1"/>
  <c r="G604" i="5"/>
  <c r="K604" i="5" s="1"/>
  <c r="G600" i="5"/>
  <c r="K600" i="5" s="1"/>
  <c r="G611" i="5"/>
  <c r="K611" i="5" s="1"/>
  <c r="G607" i="5"/>
  <c r="K607" i="5" s="1"/>
  <c r="G603" i="5"/>
  <c r="K603" i="5" s="1"/>
  <c r="G599" i="5"/>
  <c r="K599" i="5" s="1"/>
  <c r="G595" i="5"/>
  <c r="K595" i="5" s="1"/>
  <c r="G591" i="5"/>
  <c r="K591" i="5" s="1"/>
  <c r="G587" i="5"/>
  <c r="K587" i="5" s="1"/>
  <c r="G583" i="5"/>
  <c r="K583" i="5" s="1"/>
  <c r="G579" i="5"/>
  <c r="K579" i="5" s="1"/>
  <c r="G575" i="5"/>
  <c r="K575" i="5" s="1"/>
  <c r="G571" i="5"/>
  <c r="K571" i="5" s="1"/>
  <c r="G567" i="5"/>
  <c r="K567" i="5" s="1"/>
  <c r="G563" i="5"/>
  <c r="K563" i="5" s="1"/>
  <c r="G559" i="5"/>
  <c r="K559" i="5" s="1"/>
  <c r="G555" i="5"/>
  <c r="K555" i="5" s="1"/>
  <c r="G610" i="5"/>
  <c r="K610" i="5" s="1"/>
  <c r="G606" i="5"/>
  <c r="K606" i="5" s="1"/>
  <c r="G602" i="5"/>
  <c r="K602" i="5" s="1"/>
  <c r="G598" i="5"/>
  <c r="K598" i="5" s="1"/>
  <c r="G594" i="5"/>
  <c r="K594" i="5" s="1"/>
  <c r="G590" i="5"/>
  <c r="K590" i="5" s="1"/>
  <c r="G586" i="5"/>
  <c r="K586" i="5" s="1"/>
  <c r="G582" i="5"/>
  <c r="K582" i="5" s="1"/>
  <c r="G578" i="5"/>
  <c r="K578" i="5" s="1"/>
  <c r="G574" i="5"/>
  <c r="K574" i="5" s="1"/>
  <c r="G570" i="5"/>
  <c r="K570" i="5" s="1"/>
  <c r="G566" i="5"/>
  <c r="K566" i="5" s="1"/>
  <c r="G609" i="5"/>
  <c r="K609" i="5" s="1"/>
  <c r="G605" i="5"/>
  <c r="K605" i="5" s="1"/>
  <c r="G597" i="5"/>
  <c r="K597" i="5" s="1"/>
  <c r="G593" i="5"/>
  <c r="K593" i="5" s="1"/>
  <c r="G584" i="5"/>
  <c r="K584" i="5" s="1"/>
  <c r="G557" i="5"/>
  <c r="K557" i="5" s="1"/>
  <c r="G549" i="5"/>
  <c r="K549" i="5" s="1"/>
  <c r="G544" i="5"/>
  <c r="K544" i="5" s="1"/>
  <c r="G589" i="5"/>
  <c r="K589" i="5" s="1"/>
  <c r="G580" i="5"/>
  <c r="K580" i="5" s="1"/>
  <c r="G554" i="5"/>
  <c r="K554" i="5" s="1"/>
  <c r="G545" i="5"/>
  <c r="K545" i="5" s="1"/>
  <c r="G538" i="5"/>
  <c r="K538" i="5" s="1"/>
  <c r="G534" i="5"/>
  <c r="K534" i="5" s="1"/>
  <c r="G530" i="5"/>
  <c r="K530" i="5" s="1"/>
  <c r="G526" i="5"/>
  <c r="K526" i="5" s="1"/>
  <c r="G522" i="5"/>
  <c r="K522" i="5" s="1"/>
  <c r="G518" i="5"/>
  <c r="K518" i="5" s="1"/>
  <c r="G514" i="5"/>
  <c r="K514" i="5" s="1"/>
  <c r="G510" i="5"/>
  <c r="K510" i="5" s="1"/>
  <c r="G506" i="5"/>
  <c r="K506" i="5" s="1"/>
  <c r="G502" i="5"/>
  <c r="K502" i="5" s="1"/>
  <c r="G498" i="5"/>
  <c r="K498" i="5" s="1"/>
  <c r="G494" i="5"/>
  <c r="K494" i="5" s="1"/>
  <c r="G490" i="5"/>
  <c r="K490" i="5" s="1"/>
  <c r="G486" i="5"/>
  <c r="K486" i="5" s="1"/>
  <c r="G482" i="5"/>
  <c r="K482" i="5" s="1"/>
  <c r="G478" i="5"/>
  <c r="K478" i="5" s="1"/>
  <c r="G585" i="5"/>
  <c r="K585" i="5" s="1"/>
  <c r="G576" i="5"/>
  <c r="K576" i="5" s="1"/>
  <c r="G560" i="5"/>
  <c r="K560" i="5" s="1"/>
  <c r="G550" i="5"/>
  <c r="K550" i="5" s="1"/>
  <c r="G601" i="5"/>
  <c r="K601" i="5" s="1"/>
  <c r="G581" i="5"/>
  <c r="K581" i="5" s="1"/>
  <c r="G572" i="5"/>
  <c r="K572" i="5" s="1"/>
  <c r="G561" i="5"/>
  <c r="K561" i="5" s="1"/>
  <c r="G558" i="5"/>
  <c r="K558" i="5" s="1"/>
  <c r="G546" i="5"/>
  <c r="K546" i="5" s="1"/>
  <c r="G541" i="5"/>
  <c r="K541" i="5" s="1"/>
  <c r="G537" i="5"/>
  <c r="K537" i="5" s="1"/>
  <c r="G533" i="5"/>
  <c r="K533" i="5" s="1"/>
  <c r="G529" i="5"/>
  <c r="K529" i="5" s="1"/>
  <c r="G525" i="5"/>
  <c r="K525" i="5" s="1"/>
  <c r="G521" i="5"/>
  <c r="K521" i="5" s="1"/>
  <c r="G517" i="5"/>
  <c r="K517" i="5" s="1"/>
  <c r="G513" i="5"/>
  <c r="K513" i="5" s="1"/>
  <c r="G509" i="5"/>
  <c r="K509" i="5" s="1"/>
  <c r="G505" i="5"/>
  <c r="K505" i="5" s="1"/>
  <c r="G501" i="5"/>
  <c r="K501" i="5" s="1"/>
  <c r="G497" i="5"/>
  <c r="K497" i="5" s="1"/>
  <c r="G493" i="5"/>
  <c r="K493" i="5" s="1"/>
  <c r="G489" i="5"/>
  <c r="K489" i="5" s="1"/>
  <c r="G485" i="5"/>
  <c r="K485" i="5" s="1"/>
  <c r="G481" i="5"/>
  <c r="K481" i="5" s="1"/>
  <c r="G477" i="5"/>
  <c r="K477" i="5" s="1"/>
  <c r="G473" i="5"/>
  <c r="K473" i="5" s="1"/>
  <c r="G469" i="5"/>
  <c r="K469" i="5" s="1"/>
  <c r="G465" i="5"/>
  <c r="K465" i="5" s="1"/>
  <c r="G461" i="5"/>
  <c r="K461" i="5" s="1"/>
  <c r="G457" i="5"/>
  <c r="K457" i="5" s="1"/>
  <c r="G453" i="5"/>
  <c r="K453" i="5" s="1"/>
  <c r="G596" i="5"/>
  <c r="K596" i="5" s="1"/>
  <c r="G573" i="5"/>
  <c r="K573" i="5" s="1"/>
  <c r="G564" i="5"/>
  <c r="K564" i="5" s="1"/>
  <c r="G547" i="5"/>
  <c r="K547" i="5" s="1"/>
  <c r="G540" i="5"/>
  <c r="K540" i="5" s="1"/>
  <c r="G536" i="5"/>
  <c r="K536" i="5" s="1"/>
  <c r="G532" i="5"/>
  <c r="K532" i="5" s="1"/>
  <c r="G528" i="5"/>
  <c r="K528" i="5" s="1"/>
  <c r="G524" i="5"/>
  <c r="K524" i="5" s="1"/>
  <c r="G520" i="5"/>
  <c r="K520" i="5" s="1"/>
  <c r="G516" i="5"/>
  <c r="K516" i="5" s="1"/>
  <c r="G512" i="5"/>
  <c r="K512" i="5" s="1"/>
  <c r="G508" i="5"/>
  <c r="K508" i="5" s="1"/>
  <c r="G504" i="5"/>
  <c r="K504" i="5" s="1"/>
  <c r="G500" i="5"/>
  <c r="K500" i="5" s="1"/>
  <c r="G496" i="5"/>
  <c r="K496" i="5" s="1"/>
  <c r="G492" i="5"/>
  <c r="K492" i="5" s="1"/>
  <c r="G488" i="5"/>
  <c r="K488" i="5" s="1"/>
  <c r="G484" i="5"/>
  <c r="K484" i="5" s="1"/>
  <c r="G480" i="5"/>
  <c r="K480" i="5" s="1"/>
  <c r="G476" i="5"/>
  <c r="K476" i="5" s="1"/>
  <c r="G472" i="5"/>
  <c r="K472" i="5" s="1"/>
  <c r="G468" i="5"/>
  <c r="K468" i="5" s="1"/>
  <c r="G464" i="5"/>
  <c r="K464" i="5" s="1"/>
  <c r="G460" i="5"/>
  <c r="K460" i="5" s="1"/>
  <c r="G456" i="5"/>
  <c r="K456" i="5" s="1"/>
  <c r="G592" i="5"/>
  <c r="K592" i="5" s="1"/>
  <c r="G569" i="5"/>
  <c r="K569" i="5" s="1"/>
  <c r="G562" i="5"/>
  <c r="K562" i="5" s="1"/>
  <c r="G552" i="5"/>
  <c r="K552" i="5" s="1"/>
  <c r="G543" i="5"/>
  <c r="K543" i="5" s="1"/>
  <c r="G531" i="5"/>
  <c r="K531" i="5" s="1"/>
  <c r="G499" i="5"/>
  <c r="K499" i="5" s="1"/>
  <c r="G475" i="5"/>
  <c r="K475" i="5" s="1"/>
  <c r="G462" i="5"/>
  <c r="K462" i="5" s="1"/>
  <c r="G449" i="5"/>
  <c r="K449" i="5" s="1"/>
  <c r="G448" i="5"/>
  <c r="K448" i="5" s="1"/>
  <c r="G447" i="5"/>
  <c r="K447" i="5" s="1"/>
  <c r="G446" i="5"/>
  <c r="K446" i="5" s="1"/>
  <c r="G442" i="5"/>
  <c r="K442" i="5" s="1"/>
  <c r="G438" i="5"/>
  <c r="K438" i="5" s="1"/>
  <c r="G434" i="5"/>
  <c r="K434" i="5" s="1"/>
  <c r="G430" i="5"/>
  <c r="K430" i="5" s="1"/>
  <c r="G426" i="5"/>
  <c r="K426" i="5" s="1"/>
  <c r="G422" i="5"/>
  <c r="K422" i="5" s="1"/>
  <c r="G418" i="5"/>
  <c r="K418" i="5" s="1"/>
  <c r="G414" i="5"/>
  <c r="K414" i="5" s="1"/>
  <c r="G410" i="5"/>
  <c r="K410" i="5" s="1"/>
  <c r="G406" i="5"/>
  <c r="K406" i="5" s="1"/>
  <c r="G402" i="5"/>
  <c r="K402" i="5" s="1"/>
  <c r="G398" i="5"/>
  <c r="K398" i="5" s="1"/>
  <c r="G394" i="5"/>
  <c r="K394" i="5" s="1"/>
  <c r="G390" i="5"/>
  <c r="K390" i="5" s="1"/>
  <c r="G386" i="5"/>
  <c r="K386" i="5" s="1"/>
  <c r="G382" i="5"/>
  <c r="K382" i="5" s="1"/>
  <c r="G378" i="5"/>
  <c r="K378" i="5" s="1"/>
  <c r="G374" i="5"/>
  <c r="K374" i="5" s="1"/>
  <c r="G565" i="5"/>
  <c r="K565" i="5" s="1"/>
  <c r="G551" i="5"/>
  <c r="K551" i="5" s="1"/>
  <c r="G548" i="5"/>
  <c r="K548" i="5" s="1"/>
  <c r="G511" i="5"/>
  <c r="K511" i="5" s="1"/>
  <c r="G479" i="5"/>
  <c r="K479" i="5" s="1"/>
  <c r="G471" i="5"/>
  <c r="K471" i="5" s="1"/>
  <c r="G458" i="5"/>
  <c r="K458" i="5" s="1"/>
  <c r="G450" i="5"/>
  <c r="K450" i="5" s="1"/>
  <c r="G523" i="5"/>
  <c r="K523" i="5" s="1"/>
  <c r="G491" i="5"/>
  <c r="K491" i="5" s="1"/>
  <c r="G467" i="5"/>
  <c r="K467" i="5" s="1"/>
  <c r="G454" i="5"/>
  <c r="K454" i="5" s="1"/>
  <c r="G445" i="5"/>
  <c r="K445" i="5" s="1"/>
  <c r="G441" i="5"/>
  <c r="K441" i="5" s="1"/>
  <c r="G437" i="5"/>
  <c r="K437" i="5" s="1"/>
  <c r="G433" i="5"/>
  <c r="K433" i="5" s="1"/>
  <c r="G429" i="5"/>
  <c r="K429" i="5" s="1"/>
  <c r="G425" i="5"/>
  <c r="K425" i="5" s="1"/>
  <c r="G421" i="5"/>
  <c r="K421" i="5" s="1"/>
  <c r="G417" i="5"/>
  <c r="K417" i="5" s="1"/>
  <c r="G413" i="5"/>
  <c r="K413" i="5" s="1"/>
  <c r="G409" i="5"/>
  <c r="K409" i="5" s="1"/>
  <c r="G405" i="5"/>
  <c r="K405" i="5" s="1"/>
  <c r="G401" i="5"/>
  <c r="K401" i="5" s="1"/>
  <c r="G397" i="5"/>
  <c r="K397" i="5" s="1"/>
  <c r="G393" i="5"/>
  <c r="K393" i="5" s="1"/>
  <c r="G389" i="5"/>
  <c r="K389" i="5" s="1"/>
  <c r="G385" i="5"/>
  <c r="K385" i="5" s="1"/>
  <c r="G381" i="5"/>
  <c r="K381" i="5" s="1"/>
  <c r="G377" i="5"/>
  <c r="K377" i="5" s="1"/>
  <c r="G568" i="5"/>
  <c r="K568" i="5" s="1"/>
  <c r="G535" i="5"/>
  <c r="K535" i="5" s="1"/>
  <c r="G503" i="5"/>
  <c r="K503" i="5" s="1"/>
  <c r="G463" i="5"/>
  <c r="K463" i="5" s="1"/>
  <c r="G451" i="5"/>
  <c r="K451" i="5" s="1"/>
  <c r="G577" i="5"/>
  <c r="K577" i="5" s="1"/>
  <c r="G553" i="5"/>
  <c r="K553" i="5" s="1"/>
  <c r="G515" i="5"/>
  <c r="K515" i="5" s="1"/>
  <c r="G483" i="5"/>
  <c r="K483" i="5" s="1"/>
  <c r="G459" i="5"/>
  <c r="K459" i="5" s="1"/>
  <c r="G444" i="5"/>
  <c r="K444" i="5" s="1"/>
  <c r="G440" i="5"/>
  <c r="K440" i="5" s="1"/>
  <c r="G436" i="5"/>
  <c r="K436" i="5" s="1"/>
  <c r="G432" i="5"/>
  <c r="K432" i="5" s="1"/>
  <c r="G428" i="5"/>
  <c r="K428" i="5" s="1"/>
  <c r="G424" i="5"/>
  <c r="K424" i="5" s="1"/>
  <c r="G420" i="5"/>
  <c r="K420" i="5" s="1"/>
  <c r="G416" i="5"/>
  <c r="K416" i="5" s="1"/>
  <c r="G412" i="5"/>
  <c r="K412" i="5" s="1"/>
  <c r="G408" i="5"/>
  <c r="K408" i="5" s="1"/>
  <c r="G404" i="5"/>
  <c r="K404" i="5" s="1"/>
  <c r="G400" i="5"/>
  <c r="K400" i="5" s="1"/>
  <c r="G396" i="5"/>
  <c r="K396" i="5" s="1"/>
  <c r="G392" i="5"/>
  <c r="K392" i="5" s="1"/>
  <c r="G388" i="5"/>
  <c r="K388" i="5" s="1"/>
  <c r="G384" i="5"/>
  <c r="K384" i="5" s="1"/>
  <c r="G380" i="5"/>
  <c r="K380" i="5" s="1"/>
  <c r="G376" i="5"/>
  <c r="K376" i="5" s="1"/>
  <c r="G372" i="5"/>
  <c r="K372" i="5" s="1"/>
  <c r="G527" i="5"/>
  <c r="K527" i="5" s="1"/>
  <c r="G495" i="5"/>
  <c r="K495" i="5" s="1"/>
  <c r="G474" i="5"/>
  <c r="K474" i="5" s="1"/>
  <c r="G455" i="5"/>
  <c r="K455" i="5" s="1"/>
  <c r="G452" i="5"/>
  <c r="K452" i="5" s="1"/>
  <c r="G556" i="5"/>
  <c r="K556" i="5" s="1"/>
  <c r="G542" i="5"/>
  <c r="K542" i="5" s="1"/>
  <c r="G470" i="5"/>
  <c r="K470" i="5" s="1"/>
  <c r="G439" i="5"/>
  <c r="K439" i="5" s="1"/>
  <c r="G407" i="5"/>
  <c r="K407" i="5" s="1"/>
  <c r="G354" i="5"/>
  <c r="K354" i="5" s="1"/>
  <c r="G350" i="5"/>
  <c r="K350" i="5" s="1"/>
  <c r="G346" i="5"/>
  <c r="K346" i="5" s="1"/>
  <c r="G342" i="5"/>
  <c r="K342" i="5" s="1"/>
  <c r="G338" i="5"/>
  <c r="K338" i="5" s="1"/>
  <c r="G334" i="5"/>
  <c r="K334" i="5" s="1"/>
  <c r="G330" i="5"/>
  <c r="K330" i="5" s="1"/>
  <c r="G326" i="5"/>
  <c r="K326" i="5" s="1"/>
  <c r="G322" i="5"/>
  <c r="K322" i="5" s="1"/>
  <c r="G318" i="5"/>
  <c r="K318" i="5" s="1"/>
  <c r="G314" i="5"/>
  <c r="K314" i="5" s="1"/>
  <c r="G310" i="5"/>
  <c r="K310" i="5" s="1"/>
  <c r="G306" i="5"/>
  <c r="K306" i="5" s="1"/>
  <c r="G302" i="5"/>
  <c r="K302" i="5" s="1"/>
  <c r="G298" i="5"/>
  <c r="K298" i="5" s="1"/>
  <c r="G294" i="5"/>
  <c r="K294" i="5" s="1"/>
  <c r="G290" i="5"/>
  <c r="K290" i="5" s="1"/>
  <c r="G286" i="5"/>
  <c r="K286" i="5" s="1"/>
  <c r="G282" i="5"/>
  <c r="K282" i="5" s="1"/>
  <c r="G278" i="5"/>
  <c r="K278" i="5" s="1"/>
  <c r="G274" i="5"/>
  <c r="K274" i="5" s="1"/>
  <c r="G270" i="5"/>
  <c r="K270" i="5" s="1"/>
  <c r="G266" i="5"/>
  <c r="K266" i="5" s="1"/>
  <c r="G262" i="5"/>
  <c r="K262" i="5" s="1"/>
  <c r="G258" i="5"/>
  <c r="K258" i="5" s="1"/>
  <c r="G254" i="5"/>
  <c r="K254" i="5" s="1"/>
  <c r="G250" i="5"/>
  <c r="K250" i="5" s="1"/>
  <c r="G246" i="5"/>
  <c r="K246" i="5" s="1"/>
  <c r="G466" i="5"/>
  <c r="K466" i="5" s="1"/>
  <c r="G419" i="5"/>
  <c r="K419" i="5" s="1"/>
  <c r="G387" i="5"/>
  <c r="K387" i="5" s="1"/>
  <c r="G370" i="5"/>
  <c r="K370" i="5" s="1"/>
  <c r="G588" i="5"/>
  <c r="K588" i="5" s="1"/>
  <c r="G431" i="5"/>
  <c r="K431" i="5" s="1"/>
  <c r="G399" i="5"/>
  <c r="K399" i="5" s="1"/>
  <c r="G375" i="5"/>
  <c r="K375" i="5" s="1"/>
  <c r="G359" i="5"/>
  <c r="K359" i="5" s="1"/>
  <c r="G358" i="5"/>
  <c r="K358" i="5" s="1"/>
  <c r="G357" i="5"/>
  <c r="K357" i="5" s="1"/>
  <c r="G353" i="5"/>
  <c r="K353" i="5" s="1"/>
  <c r="G349" i="5"/>
  <c r="K349" i="5" s="1"/>
  <c r="G345" i="5"/>
  <c r="K345" i="5" s="1"/>
  <c r="G341" i="5"/>
  <c r="K341" i="5" s="1"/>
  <c r="G337" i="5"/>
  <c r="K337" i="5" s="1"/>
  <c r="G333" i="5"/>
  <c r="K333" i="5" s="1"/>
  <c r="G329" i="5"/>
  <c r="K329" i="5" s="1"/>
  <c r="G325" i="5"/>
  <c r="K325" i="5" s="1"/>
  <c r="G321" i="5"/>
  <c r="K321" i="5" s="1"/>
  <c r="G317" i="5"/>
  <c r="K317" i="5" s="1"/>
  <c r="G313" i="5"/>
  <c r="K313" i="5" s="1"/>
  <c r="G309" i="5"/>
  <c r="K309" i="5" s="1"/>
  <c r="G305" i="5"/>
  <c r="K305" i="5" s="1"/>
  <c r="G301" i="5"/>
  <c r="K301" i="5" s="1"/>
  <c r="G297" i="5"/>
  <c r="K297" i="5" s="1"/>
  <c r="G293" i="5"/>
  <c r="K293" i="5" s="1"/>
  <c r="G289" i="5"/>
  <c r="K289" i="5" s="1"/>
  <c r="G285" i="5"/>
  <c r="K285" i="5" s="1"/>
  <c r="G281" i="5"/>
  <c r="K281" i="5" s="1"/>
  <c r="G277" i="5"/>
  <c r="K277" i="5" s="1"/>
  <c r="G273" i="5"/>
  <c r="K273" i="5" s="1"/>
  <c r="G269" i="5"/>
  <c r="K269" i="5" s="1"/>
  <c r="G443" i="5"/>
  <c r="K443" i="5" s="1"/>
  <c r="G411" i="5"/>
  <c r="K411" i="5" s="1"/>
  <c r="G379" i="5"/>
  <c r="K379" i="5" s="1"/>
  <c r="G373" i="5"/>
  <c r="K373" i="5" s="1"/>
  <c r="G371" i="5"/>
  <c r="K371" i="5" s="1"/>
  <c r="G361" i="5"/>
  <c r="K361" i="5" s="1"/>
  <c r="G360" i="5"/>
  <c r="K360" i="5" s="1"/>
  <c r="G539" i="5"/>
  <c r="K539" i="5" s="1"/>
  <c r="G519" i="5"/>
  <c r="K519" i="5" s="1"/>
  <c r="G423" i="5"/>
  <c r="K423" i="5" s="1"/>
  <c r="G391" i="5"/>
  <c r="K391" i="5" s="1"/>
  <c r="G363" i="5"/>
  <c r="K363" i="5" s="1"/>
  <c r="G362" i="5"/>
  <c r="K362" i="5" s="1"/>
  <c r="G356" i="5"/>
  <c r="K356" i="5" s="1"/>
  <c r="G352" i="5"/>
  <c r="K352" i="5" s="1"/>
  <c r="G348" i="5"/>
  <c r="K348" i="5" s="1"/>
  <c r="G344" i="5"/>
  <c r="K344" i="5" s="1"/>
  <c r="G340" i="5"/>
  <c r="K340" i="5" s="1"/>
  <c r="G336" i="5"/>
  <c r="K336" i="5" s="1"/>
  <c r="G332" i="5"/>
  <c r="K332" i="5" s="1"/>
  <c r="G328" i="5"/>
  <c r="K328" i="5" s="1"/>
  <c r="G324" i="5"/>
  <c r="K324" i="5" s="1"/>
  <c r="G320" i="5"/>
  <c r="K320" i="5" s="1"/>
  <c r="G316" i="5"/>
  <c r="K316" i="5" s="1"/>
  <c r="G312" i="5"/>
  <c r="K312" i="5" s="1"/>
  <c r="G308" i="5"/>
  <c r="K308" i="5" s="1"/>
  <c r="G304" i="5"/>
  <c r="K304" i="5" s="1"/>
  <c r="G300" i="5"/>
  <c r="K300" i="5" s="1"/>
  <c r="G296" i="5"/>
  <c r="K296" i="5" s="1"/>
  <c r="G292" i="5"/>
  <c r="K292" i="5" s="1"/>
  <c r="G288" i="5"/>
  <c r="K288" i="5" s="1"/>
  <c r="G284" i="5"/>
  <c r="K284" i="5" s="1"/>
  <c r="G280" i="5"/>
  <c r="K280" i="5" s="1"/>
  <c r="G276" i="5"/>
  <c r="K276" i="5" s="1"/>
  <c r="G272" i="5"/>
  <c r="K272" i="5" s="1"/>
  <c r="G268" i="5"/>
  <c r="K268" i="5" s="1"/>
  <c r="G264" i="5"/>
  <c r="K264" i="5" s="1"/>
  <c r="G260" i="5"/>
  <c r="K260" i="5" s="1"/>
  <c r="G256" i="5"/>
  <c r="K256" i="5" s="1"/>
  <c r="G435" i="5"/>
  <c r="K435" i="5" s="1"/>
  <c r="G403" i="5"/>
  <c r="K403" i="5" s="1"/>
  <c r="G365" i="5"/>
  <c r="K365" i="5" s="1"/>
  <c r="G364" i="5"/>
  <c r="K364" i="5" s="1"/>
  <c r="G507" i="5"/>
  <c r="K507" i="5" s="1"/>
  <c r="G487" i="5"/>
  <c r="K487" i="5" s="1"/>
  <c r="G415" i="5"/>
  <c r="K415" i="5" s="1"/>
  <c r="G383" i="5"/>
  <c r="K383" i="5" s="1"/>
  <c r="G367" i="5"/>
  <c r="K367" i="5" s="1"/>
  <c r="G366" i="5"/>
  <c r="K366" i="5" s="1"/>
  <c r="G355" i="5"/>
  <c r="K355" i="5" s="1"/>
  <c r="G351" i="5"/>
  <c r="K351" i="5" s="1"/>
  <c r="G347" i="5"/>
  <c r="K347" i="5" s="1"/>
  <c r="G343" i="5"/>
  <c r="K343" i="5" s="1"/>
  <c r="G339" i="5"/>
  <c r="K339" i="5" s="1"/>
  <c r="G335" i="5"/>
  <c r="K335" i="5" s="1"/>
  <c r="G331" i="5"/>
  <c r="K331" i="5" s="1"/>
  <c r="G327" i="5"/>
  <c r="K327" i="5" s="1"/>
  <c r="G323" i="5"/>
  <c r="K323" i="5" s="1"/>
  <c r="G319" i="5"/>
  <c r="K319" i="5" s="1"/>
  <c r="G315" i="5"/>
  <c r="K315" i="5" s="1"/>
  <c r="G311" i="5"/>
  <c r="K311" i="5" s="1"/>
  <c r="G307" i="5"/>
  <c r="K307" i="5" s="1"/>
  <c r="G303" i="5"/>
  <c r="K303" i="5" s="1"/>
  <c r="G299" i="5"/>
  <c r="K299" i="5" s="1"/>
  <c r="G295" i="5"/>
  <c r="K295" i="5" s="1"/>
  <c r="G291" i="5"/>
  <c r="K291" i="5" s="1"/>
  <c r="G287" i="5"/>
  <c r="K287" i="5" s="1"/>
  <c r="G283" i="5"/>
  <c r="K283" i="5" s="1"/>
  <c r="G279" i="5"/>
  <c r="K279" i="5" s="1"/>
  <c r="G275" i="5"/>
  <c r="K275" i="5" s="1"/>
  <c r="G271" i="5"/>
  <c r="K271" i="5" s="1"/>
  <c r="G267" i="5"/>
  <c r="K267" i="5" s="1"/>
  <c r="G263" i="5"/>
  <c r="K263" i="5" s="1"/>
  <c r="G248" i="5"/>
  <c r="K248" i="5" s="1"/>
  <c r="G245" i="5"/>
  <c r="K245" i="5" s="1"/>
  <c r="G233" i="5"/>
  <c r="K233" i="5" s="1"/>
  <c r="G229" i="5"/>
  <c r="K229" i="5" s="1"/>
  <c r="G225" i="5"/>
  <c r="K225" i="5" s="1"/>
  <c r="G221" i="5"/>
  <c r="K221" i="5" s="1"/>
  <c r="G217" i="5"/>
  <c r="K217" i="5" s="1"/>
  <c r="G213" i="5"/>
  <c r="K213" i="5" s="1"/>
  <c r="G209" i="5"/>
  <c r="K209" i="5" s="1"/>
  <c r="G205" i="5"/>
  <c r="K205" i="5" s="1"/>
  <c r="G201" i="5"/>
  <c r="K201" i="5" s="1"/>
  <c r="G197" i="5"/>
  <c r="K197" i="5" s="1"/>
  <c r="G193" i="5"/>
  <c r="K193" i="5" s="1"/>
  <c r="G189" i="5"/>
  <c r="K189" i="5" s="1"/>
  <c r="G185" i="5"/>
  <c r="K185" i="5" s="1"/>
  <c r="G181" i="5"/>
  <c r="K181" i="5" s="1"/>
  <c r="G177" i="5"/>
  <c r="K177" i="5" s="1"/>
  <c r="G173" i="5"/>
  <c r="K173" i="5" s="1"/>
  <c r="G169" i="5"/>
  <c r="K169" i="5" s="1"/>
  <c r="G165" i="5"/>
  <c r="K165" i="5" s="1"/>
  <c r="G161" i="5"/>
  <c r="K161" i="5" s="1"/>
  <c r="G157" i="5"/>
  <c r="K157" i="5" s="1"/>
  <c r="G153" i="5"/>
  <c r="K153" i="5" s="1"/>
  <c r="G149" i="5"/>
  <c r="K149" i="5" s="1"/>
  <c r="G145" i="5"/>
  <c r="K145" i="5" s="1"/>
  <c r="G141" i="5"/>
  <c r="K141" i="5" s="1"/>
  <c r="G137" i="5"/>
  <c r="K137" i="5" s="1"/>
  <c r="G133" i="5"/>
  <c r="K133" i="5" s="1"/>
  <c r="G129" i="5"/>
  <c r="K129" i="5" s="1"/>
  <c r="G125" i="5"/>
  <c r="K125" i="5" s="1"/>
  <c r="G121" i="5"/>
  <c r="K121" i="5" s="1"/>
  <c r="G117" i="5"/>
  <c r="K117" i="5" s="1"/>
  <c r="G113" i="5"/>
  <c r="K113" i="5" s="1"/>
  <c r="G109" i="5"/>
  <c r="K109" i="5" s="1"/>
  <c r="G105" i="5"/>
  <c r="K105" i="5" s="1"/>
  <c r="G369" i="5"/>
  <c r="K369" i="5" s="1"/>
  <c r="G251" i="5"/>
  <c r="K251" i="5" s="1"/>
  <c r="G241" i="5"/>
  <c r="K241" i="5" s="1"/>
  <c r="G237" i="5"/>
  <c r="K237" i="5" s="1"/>
  <c r="G236" i="5"/>
  <c r="K236" i="5" s="1"/>
  <c r="G232" i="5"/>
  <c r="K232" i="5" s="1"/>
  <c r="G228" i="5"/>
  <c r="K228" i="5" s="1"/>
  <c r="G224" i="5"/>
  <c r="K224" i="5" s="1"/>
  <c r="G220" i="5"/>
  <c r="K220" i="5" s="1"/>
  <c r="G216" i="5"/>
  <c r="K216" i="5" s="1"/>
  <c r="G212" i="5"/>
  <c r="K212" i="5" s="1"/>
  <c r="G208" i="5"/>
  <c r="K208" i="5" s="1"/>
  <c r="G204" i="5"/>
  <c r="K204" i="5" s="1"/>
  <c r="G200" i="5"/>
  <c r="K200" i="5" s="1"/>
  <c r="G196" i="5"/>
  <c r="K196" i="5" s="1"/>
  <c r="G192" i="5"/>
  <c r="K192" i="5" s="1"/>
  <c r="G188" i="5"/>
  <c r="K188" i="5" s="1"/>
  <c r="G184" i="5"/>
  <c r="K184" i="5" s="1"/>
  <c r="G180" i="5"/>
  <c r="K180" i="5" s="1"/>
  <c r="G176" i="5"/>
  <c r="K176" i="5" s="1"/>
  <c r="G172" i="5"/>
  <c r="K172" i="5" s="1"/>
  <c r="G168" i="5"/>
  <c r="K168" i="5" s="1"/>
  <c r="G164" i="5"/>
  <c r="K164" i="5" s="1"/>
  <c r="G160" i="5"/>
  <c r="K160" i="5" s="1"/>
  <c r="G156" i="5"/>
  <c r="K156" i="5" s="1"/>
  <c r="G152" i="5"/>
  <c r="K152" i="5" s="1"/>
  <c r="G148" i="5"/>
  <c r="K148" i="5" s="1"/>
  <c r="G144" i="5"/>
  <c r="K144" i="5" s="1"/>
  <c r="G140" i="5"/>
  <c r="K140" i="5" s="1"/>
  <c r="G136" i="5"/>
  <c r="K136" i="5" s="1"/>
  <c r="G132" i="5"/>
  <c r="K132" i="5" s="1"/>
  <c r="G128" i="5"/>
  <c r="K128" i="5" s="1"/>
  <c r="G124" i="5"/>
  <c r="K124" i="5" s="1"/>
  <c r="G427" i="5"/>
  <c r="K427" i="5" s="1"/>
  <c r="G368" i="5"/>
  <c r="K368" i="5" s="1"/>
  <c r="G252" i="5"/>
  <c r="K252" i="5" s="1"/>
  <c r="G249" i="5"/>
  <c r="K249" i="5" s="1"/>
  <c r="G242" i="5"/>
  <c r="K242" i="5" s="1"/>
  <c r="G395" i="5"/>
  <c r="K395" i="5" s="1"/>
  <c r="G261" i="5"/>
  <c r="K261" i="5" s="1"/>
  <c r="G259" i="5"/>
  <c r="K259" i="5" s="1"/>
  <c r="G243" i="5"/>
  <c r="K243" i="5" s="1"/>
  <c r="G238" i="5"/>
  <c r="K238" i="5" s="1"/>
  <c r="G235" i="5"/>
  <c r="K235" i="5" s="1"/>
  <c r="G231" i="5"/>
  <c r="K231" i="5" s="1"/>
  <c r="G227" i="5"/>
  <c r="K227" i="5" s="1"/>
  <c r="G223" i="5"/>
  <c r="K223" i="5" s="1"/>
  <c r="G219" i="5"/>
  <c r="K219" i="5" s="1"/>
  <c r="G215" i="5"/>
  <c r="K215" i="5" s="1"/>
  <c r="G211" i="5"/>
  <c r="K211" i="5" s="1"/>
  <c r="G207" i="5"/>
  <c r="K207" i="5" s="1"/>
  <c r="G203" i="5"/>
  <c r="K203" i="5" s="1"/>
  <c r="G199" i="5"/>
  <c r="K199" i="5" s="1"/>
  <c r="G195" i="5"/>
  <c r="K195" i="5" s="1"/>
  <c r="G191" i="5"/>
  <c r="K191" i="5" s="1"/>
  <c r="G187" i="5"/>
  <c r="K187" i="5" s="1"/>
  <c r="G183" i="5"/>
  <c r="K183" i="5" s="1"/>
  <c r="G179" i="5"/>
  <c r="K179" i="5" s="1"/>
  <c r="G175" i="5"/>
  <c r="K175" i="5" s="1"/>
  <c r="G171" i="5"/>
  <c r="K171" i="5" s="1"/>
  <c r="G167" i="5"/>
  <c r="K167" i="5" s="1"/>
  <c r="G163" i="5"/>
  <c r="K163" i="5" s="1"/>
  <c r="G159" i="5"/>
  <c r="K159" i="5" s="1"/>
  <c r="G155" i="5"/>
  <c r="K155" i="5" s="1"/>
  <c r="G151" i="5"/>
  <c r="K151" i="5" s="1"/>
  <c r="G147" i="5"/>
  <c r="K147" i="5" s="1"/>
  <c r="G143" i="5"/>
  <c r="K143" i="5" s="1"/>
  <c r="G139" i="5"/>
  <c r="K139" i="5" s="1"/>
  <c r="G135" i="5"/>
  <c r="K135" i="5" s="1"/>
  <c r="G131" i="5"/>
  <c r="K131" i="5" s="1"/>
  <c r="G127" i="5"/>
  <c r="K127" i="5" s="1"/>
  <c r="G123" i="5"/>
  <c r="K123" i="5" s="1"/>
  <c r="G119" i="5"/>
  <c r="K119" i="5" s="1"/>
  <c r="G257" i="5"/>
  <c r="K257" i="5" s="1"/>
  <c r="G255" i="5"/>
  <c r="K255" i="5" s="1"/>
  <c r="G239" i="5"/>
  <c r="K239" i="5" s="1"/>
  <c r="G253" i="5"/>
  <c r="K253" i="5" s="1"/>
  <c r="G247" i="5"/>
  <c r="K247" i="5" s="1"/>
  <c r="G244" i="5"/>
  <c r="K244" i="5" s="1"/>
  <c r="G234" i="5"/>
  <c r="K234" i="5" s="1"/>
  <c r="G230" i="5"/>
  <c r="K230" i="5" s="1"/>
  <c r="G226" i="5"/>
  <c r="K226" i="5" s="1"/>
  <c r="G222" i="5"/>
  <c r="K222" i="5" s="1"/>
  <c r="G218" i="5"/>
  <c r="K218" i="5" s="1"/>
  <c r="G214" i="5"/>
  <c r="K214" i="5" s="1"/>
  <c r="G210" i="5"/>
  <c r="K210" i="5" s="1"/>
  <c r="G206" i="5"/>
  <c r="K206" i="5" s="1"/>
  <c r="G202" i="5"/>
  <c r="K202" i="5" s="1"/>
  <c r="G198" i="5"/>
  <c r="K198" i="5" s="1"/>
  <c r="G194" i="5"/>
  <c r="K194" i="5" s="1"/>
  <c r="G190" i="5"/>
  <c r="K190" i="5" s="1"/>
  <c r="G186" i="5"/>
  <c r="K186" i="5" s="1"/>
  <c r="G182" i="5"/>
  <c r="K182" i="5" s="1"/>
  <c r="G178" i="5"/>
  <c r="K178" i="5" s="1"/>
  <c r="G174" i="5"/>
  <c r="K174" i="5" s="1"/>
  <c r="G170" i="5"/>
  <c r="K170" i="5" s="1"/>
  <c r="G166" i="5"/>
  <c r="K166" i="5" s="1"/>
  <c r="G162" i="5"/>
  <c r="K162" i="5" s="1"/>
  <c r="G158" i="5"/>
  <c r="K158" i="5" s="1"/>
  <c r="G154" i="5"/>
  <c r="K154" i="5" s="1"/>
  <c r="G150" i="5"/>
  <c r="K150" i="5" s="1"/>
  <c r="G146" i="5"/>
  <c r="K146" i="5" s="1"/>
  <c r="G142" i="5"/>
  <c r="K142" i="5" s="1"/>
  <c r="G138" i="5"/>
  <c r="K138" i="5" s="1"/>
  <c r="G134" i="5"/>
  <c r="K134" i="5" s="1"/>
  <c r="G130" i="5"/>
  <c r="K130" i="5" s="1"/>
  <c r="G126" i="5"/>
  <c r="K126" i="5" s="1"/>
  <c r="G122" i="5"/>
  <c r="K122" i="5" s="1"/>
  <c r="G118" i="5"/>
  <c r="K118" i="5" s="1"/>
  <c r="G120" i="5"/>
  <c r="K120" i="5" s="1"/>
  <c r="G114" i="5"/>
  <c r="K114" i="5" s="1"/>
  <c r="G94" i="5"/>
  <c r="K94" i="5" s="1"/>
  <c r="G89" i="5"/>
  <c r="K89" i="5" s="1"/>
  <c r="G103" i="5"/>
  <c r="K103" i="5" s="1"/>
  <c r="G99" i="5"/>
  <c r="K99" i="5" s="1"/>
  <c r="G90" i="5"/>
  <c r="K90" i="5" s="1"/>
  <c r="G85" i="5"/>
  <c r="K85" i="5" s="1"/>
  <c r="G81" i="5"/>
  <c r="K81" i="5" s="1"/>
  <c r="G77" i="5"/>
  <c r="K77" i="5" s="1"/>
  <c r="G73" i="5"/>
  <c r="K73" i="5" s="1"/>
  <c r="G69" i="5"/>
  <c r="K69" i="5" s="1"/>
  <c r="G65" i="5"/>
  <c r="K65" i="5" s="1"/>
  <c r="G61" i="5"/>
  <c r="K61" i="5" s="1"/>
  <c r="G57" i="5"/>
  <c r="K57" i="5" s="1"/>
  <c r="G53" i="5"/>
  <c r="K53" i="5" s="1"/>
  <c r="G49" i="5"/>
  <c r="K49" i="5" s="1"/>
  <c r="G45" i="5"/>
  <c r="K45" i="5" s="1"/>
  <c r="G41" i="5"/>
  <c r="K41" i="5" s="1"/>
  <c r="G37" i="5"/>
  <c r="K37" i="5" s="1"/>
  <c r="G33" i="5"/>
  <c r="K33" i="5" s="1"/>
  <c r="G29" i="5"/>
  <c r="K29" i="5" s="1"/>
  <c r="G25" i="5"/>
  <c r="K25" i="5" s="1"/>
  <c r="G21" i="5"/>
  <c r="K21" i="5" s="1"/>
  <c r="G240" i="5"/>
  <c r="K240" i="5" s="1"/>
  <c r="G112" i="5"/>
  <c r="K112" i="5" s="1"/>
  <c r="G106" i="5"/>
  <c r="K106" i="5" s="1"/>
  <c r="G95" i="5"/>
  <c r="K95" i="5" s="1"/>
  <c r="G86" i="5"/>
  <c r="K86" i="5" s="1"/>
  <c r="G115" i="5"/>
  <c r="K115" i="5" s="1"/>
  <c r="G100" i="5"/>
  <c r="K100" i="5" s="1"/>
  <c r="G91" i="5"/>
  <c r="K91" i="5" s="1"/>
  <c r="G84" i="5"/>
  <c r="K84" i="5" s="1"/>
  <c r="G80" i="5"/>
  <c r="K80" i="5" s="1"/>
  <c r="G76" i="5"/>
  <c r="K76" i="5" s="1"/>
  <c r="G72" i="5"/>
  <c r="K72" i="5" s="1"/>
  <c r="G68" i="5"/>
  <c r="K68" i="5" s="1"/>
  <c r="G64" i="5"/>
  <c r="K64" i="5" s="1"/>
  <c r="G60" i="5"/>
  <c r="K60" i="5" s="1"/>
  <c r="G56" i="5"/>
  <c r="K56" i="5" s="1"/>
  <c r="G52" i="5"/>
  <c r="K52" i="5" s="1"/>
  <c r="G48" i="5"/>
  <c r="K48" i="5" s="1"/>
  <c r="G44" i="5"/>
  <c r="K44" i="5" s="1"/>
  <c r="G40" i="5"/>
  <c r="K40" i="5" s="1"/>
  <c r="G36" i="5"/>
  <c r="K36" i="5" s="1"/>
  <c r="G32" i="5"/>
  <c r="K32" i="5" s="1"/>
  <c r="G28" i="5"/>
  <c r="K28" i="5" s="1"/>
  <c r="G24" i="5"/>
  <c r="K24" i="5" s="1"/>
  <c r="G20" i="5"/>
  <c r="K20" i="5" s="1"/>
  <c r="G107" i="5"/>
  <c r="K107" i="5" s="1"/>
  <c r="G104" i="5"/>
  <c r="K104" i="5" s="1"/>
  <c r="G96" i="5"/>
  <c r="K96" i="5" s="1"/>
  <c r="G87" i="5"/>
  <c r="K87" i="5" s="1"/>
  <c r="G265" i="5"/>
  <c r="K265" i="5" s="1"/>
  <c r="G110" i="5"/>
  <c r="K110" i="5" s="1"/>
  <c r="G101" i="5"/>
  <c r="K101" i="5" s="1"/>
  <c r="G92" i="5"/>
  <c r="K92" i="5" s="1"/>
  <c r="G83" i="5"/>
  <c r="K83" i="5" s="1"/>
  <c r="G79" i="5"/>
  <c r="K79" i="5" s="1"/>
  <c r="G75" i="5"/>
  <c r="K75" i="5" s="1"/>
  <c r="G71" i="5"/>
  <c r="K71" i="5" s="1"/>
  <c r="G67" i="5"/>
  <c r="K67" i="5" s="1"/>
  <c r="G63" i="5"/>
  <c r="K63" i="5" s="1"/>
  <c r="G59" i="5"/>
  <c r="K59" i="5" s="1"/>
  <c r="G55" i="5"/>
  <c r="K55" i="5" s="1"/>
  <c r="G51" i="5"/>
  <c r="K51" i="5" s="1"/>
  <c r="G47" i="5"/>
  <c r="K47" i="5" s="1"/>
  <c r="G43" i="5"/>
  <c r="K43" i="5" s="1"/>
  <c r="G39" i="5"/>
  <c r="K39" i="5" s="1"/>
  <c r="G35" i="5"/>
  <c r="K35" i="5" s="1"/>
  <c r="G31" i="5"/>
  <c r="K31" i="5" s="1"/>
  <c r="G27" i="5"/>
  <c r="K27" i="5" s="1"/>
  <c r="G23" i="5"/>
  <c r="K23" i="5" s="1"/>
  <c r="G19" i="5"/>
  <c r="K19" i="5" s="1"/>
  <c r="G116" i="5"/>
  <c r="K116" i="5" s="1"/>
  <c r="G97" i="5"/>
  <c r="K97" i="5" s="1"/>
  <c r="G88" i="5"/>
  <c r="K88" i="5" s="1"/>
  <c r="G111" i="5"/>
  <c r="K111" i="5" s="1"/>
  <c r="G108" i="5"/>
  <c r="K108" i="5" s="1"/>
  <c r="G102" i="5"/>
  <c r="K102" i="5" s="1"/>
  <c r="G98" i="5"/>
  <c r="K98" i="5" s="1"/>
  <c r="G93" i="5"/>
  <c r="K93" i="5" s="1"/>
  <c r="G82" i="5"/>
  <c r="K82" i="5" s="1"/>
  <c r="G78" i="5"/>
  <c r="K78" i="5" s="1"/>
  <c r="G74" i="5"/>
  <c r="K74" i="5" s="1"/>
  <c r="G70" i="5"/>
  <c r="K70" i="5" s="1"/>
  <c r="G66" i="5"/>
  <c r="K66" i="5" s="1"/>
  <c r="G62" i="5"/>
  <c r="K62" i="5" s="1"/>
  <c r="K16" i="5"/>
  <c r="J9" i="5"/>
  <c r="G58" i="5"/>
  <c r="K58" i="5" s="1"/>
  <c r="G54" i="5"/>
  <c r="K54" i="5" s="1"/>
  <c r="G50" i="5"/>
  <c r="K50" i="5" s="1"/>
  <c r="G46" i="5"/>
  <c r="K46" i="5" s="1"/>
  <c r="G42" i="5"/>
  <c r="K42" i="5" s="1"/>
  <c r="G38" i="5"/>
  <c r="K38" i="5" s="1"/>
  <c r="G34" i="5"/>
  <c r="K34" i="5" s="1"/>
  <c r="G30" i="5"/>
  <c r="K30" i="5" s="1"/>
  <c r="G26" i="5"/>
  <c r="K26" i="5" s="1"/>
  <c r="G22" i="5"/>
  <c r="K22" i="5" s="1"/>
  <c r="F611" i="6"/>
  <c r="J611" i="6" s="1"/>
  <c r="F610" i="6"/>
  <c r="J610" i="6" s="1"/>
  <c r="F606" i="6"/>
  <c r="F602" i="6"/>
  <c r="F598" i="6"/>
  <c r="F594" i="6"/>
  <c r="J594" i="6" s="1"/>
  <c r="F590" i="6"/>
  <c r="J590" i="6" s="1"/>
  <c r="F586" i="6"/>
  <c r="J586" i="6" s="1"/>
  <c r="F582" i="6"/>
  <c r="J582" i="6" s="1"/>
  <c r="F578" i="6"/>
  <c r="J578" i="6" s="1"/>
  <c r="F574" i="6"/>
  <c r="F570" i="6"/>
  <c r="J570" i="6" s="1"/>
  <c r="F566" i="6"/>
  <c r="F562" i="6"/>
  <c r="F558" i="6"/>
  <c r="J558" i="6" s="1"/>
  <c r="F554" i="6"/>
  <c r="J554" i="6" s="1"/>
  <c r="F550" i="6"/>
  <c r="J550" i="6" s="1"/>
  <c r="F546" i="6"/>
  <c r="J546" i="6" s="1"/>
  <c r="F609" i="6"/>
  <c r="F605" i="6"/>
  <c r="J605" i="6" s="1"/>
  <c r="F601" i="6"/>
  <c r="F597" i="6"/>
  <c r="F593" i="6"/>
  <c r="J593" i="6" s="1"/>
  <c r="F589" i="6"/>
  <c r="J589" i="6" s="1"/>
  <c r="F585" i="6"/>
  <c r="J585" i="6" s="1"/>
  <c r="F581" i="6"/>
  <c r="J581" i="6" s="1"/>
  <c r="F577" i="6"/>
  <c r="J577" i="6" s="1"/>
  <c r="F573" i="6"/>
  <c r="J573" i="6" s="1"/>
  <c r="F569" i="6"/>
  <c r="J569" i="6" s="1"/>
  <c r="F565" i="6"/>
  <c r="J565" i="6" s="1"/>
  <c r="F561" i="6"/>
  <c r="J561" i="6" s="1"/>
  <c r="F557" i="6"/>
  <c r="J557" i="6" s="1"/>
  <c r="F553" i="6"/>
  <c r="J553" i="6" s="1"/>
  <c r="F612" i="6"/>
  <c r="J612" i="6" s="1"/>
  <c r="F607" i="6"/>
  <c r="J607" i="6" s="1"/>
  <c r="F595" i="6"/>
  <c r="F579" i="6"/>
  <c r="J579" i="6" s="1"/>
  <c r="F545" i="6"/>
  <c r="F541" i="6"/>
  <c r="J541" i="6" s="1"/>
  <c r="F537" i="6"/>
  <c r="J537" i="6" s="1"/>
  <c r="F533" i="6"/>
  <c r="J533" i="6" s="1"/>
  <c r="F529" i="6"/>
  <c r="J529" i="6" s="1"/>
  <c r="F525" i="6"/>
  <c r="J525" i="6" s="1"/>
  <c r="F521" i="6"/>
  <c r="F517" i="6"/>
  <c r="F513" i="6"/>
  <c r="F596" i="6"/>
  <c r="J596" i="6" s="1"/>
  <c r="F580" i="6"/>
  <c r="J580" i="6" s="1"/>
  <c r="F560" i="6"/>
  <c r="J560" i="6" s="1"/>
  <c r="F559" i="6"/>
  <c r="J559" i="6" s="1"/>
  <c r="F599" i="6"/>
  <c r="F583" i="6"/>
  <c r="J583" i="6" s="1"/>
  <c r="F544" i="6"/>
  <c r="F540" i="6"/>
  <c r="F536" i="6"/>
  <c r="F532" i="6"/>
  <c r="J532" i="6" s="1"/>
  <c r="F528" i="6"/>
  <c r="J528" i="6" s="1"/>
  <c r="F524" i="6"/>
  <c r="J524" i="6" s="1"/>
  <c r="F520" i="6"/>
  <c r="J520" i="6" s="1"/>
  <c r="F516" i="6"/>
  <c r="J516" i="6" s="1"/>
  <c r="F512" i="6"/>
  <c r="F600" i="6"/>
  <c r="F584" i="6"/>
  <c r="J584" i="6" s="1"/>
  <c r="F564" i="6"/>
  <c r="J564" i="6" s="1"/>
  <c r="F563" i="6"/>
  <c r="J563" i="6" s="1"/>
  <c r="F608" i="6"/>
  <c r="J608" i="6" s="1"/>
  <c r="F603" i="6"/>
  <c r="F587" i="6"/>
  <c r="J587" i="6" s="1"/>
  <c r="F571" i="6"/>
  <c r="F543" i="6"/>
  <c r="F539" i="6"/>
  <c r="J539" i="6" s="1"/>
  <c r="F535" i="6"/>
  <c r="J535" i="6" s="1"/>
  <c r="F531" i="6"/>
  <c r="J531" i="6" s="1"/>
  <c r="F527" i="6"/>
  <c r="J527" i="6" s="1"/>
  <c r="F523" i="6"/>
  <c r="J523" i="6" s="1"/>
  <c r="F519" i="6"/>
  <c r="J519" i="6" s="1"/>
  <c r="F515" i="6"/>
  <c r="F604" i="6"/>
  <c r="J604" i="6" s="1"/>
  <c r="F588" i="6"/>
  <c r="J588" i="6" s="1"/>
  <c r="F572" i="6"/>
  <c r="J572" i="6" s="1"/>
  <c r="F567" i="6"/>
  <c r="J567" i="6" s="1"/>
  <c r="F552" i="6"/>
  <c r="J552" i="6" s="1"/>
  <c r="F551" i="6"/>
  <c r="J551" i="6" s="1"/>
  <c r="F549" i="6"/>
  <c r="J549" i="6" s="1"/>
  <c r="F575" i="6"/>
  <c r="J575" i="6" s="1"/>
  <c r="F568" i="6"/>
  <c r="J568" i="6" s="1"/>
  <c r="F547" i="6"/>
  <c r="J547" i="6" s="1"/>
  <c r="F522" i="6"/>
  <c r="J522" i="6" s="1"/>
  <c r="F534" i="6"/>
  <c r="J534" i="6" s="1"/>
  <c r="F509" i="6"/>
  <c r="J509" i="6" s="1"/>
  <c r="F505" i="6"/>
  <c r="F501" i="6"/>
  <c r="J501" i="6" s="1"/>
  <c r="F497" i="6"/>
  <c r="J497" i="6" s="1"/>
  <c r="F493" i="6"/>
  <c r="J493" i="6" s="1"/>
  <c r="F489" i="6"/>
  <c r="J489" i="6" s="1"/>
  <c r="F485" i="6"/>
  <c r="J485" i="6" s="1"/>
  <c r="F481" i="6"/>
  <c r="J481" i="6" s="1"/>
  <c r="F477" i="6"/>
  <c r="J477" i="6" s="1"/>
  <c r="F473" i="6"/>
  <c r="F469" i="6"/>
  <c r="J469" i="6" s="1"/>
  <c r="F555" i="6"/>
  <c r="J555" i="6" s="1"/>
  <c r="F526" i="6"/>
  <c r="J526" i="6" s="1"/>
  <c r="F508" i="6"/>
  <c r="J508" i="6" s="1"/>
  <c r="F504" i="6"/>
  <c r="J504" i="6" s="1"/>
  <c r="F500" i="6"/>
  <c r="J500" i="6" s="1"/>
  <c r="F496" i="6"/>
  <c r="J496" i="6" s="1"/>
  <c r="F492" i="6"/>
  <c r="J492" i="6" s="1"/>
  <c r="F488" i="6"/>
  <c r="J488" i="6" s="1"/>
  <c r="F484" i="6"/>
  <c r="J484" i="6" s="1"/>
  <c r="F480" i="6"/>
  <c r="J480" i="6" s="1"/>
  <c r="F476" i="6"/>
  <c r="J476" i="6" s="1"/>
  <c r="F472" i="6"/>
  <c r="J472" i="6" s="1"/>
  <c r="F468" i="6"/>
  <c r="J468" i="6" s="1"/>
  <c r="F592" i="6"/>
  <c r="J592" i="6" s="1"/>
  <c r="F548" i="6"/>
  <c r="J548" i="6" s="1"/>
  <c r="F538" i="6"/>
  <c r="J538" i="6" s="1"/>
  <c r="F556" i="6"/>
  <c r="F542" i="6"/>
  <c r="F518" i="6"/>
  <c r="J518" i="6" s="1"/>
  <c r="F514" i="6"/>
  <c r="J514" i="6" s="1"/>
  <c r="F510" i="6"/>
  <c r="J510" i="6" s="1"/>
  <c r="F506" i="6"/>
  <c r="J506" i="6" s="1"/>
  <c r="F502" i="6"/>
  <c r="J502" i="6" s="1"/>
  <c r="F498" i="6"/>
  <c r="J498" i="6" s="1"/>
  <c r="F494" i="6"/>
  <c r="J494" i="6" s="1"/>
  <c r="F490" i="6"/>
  <c r="F486" i="6"/>
  <c r="J486" i="6" s="1"/>
  <c r="F482" i="6"/>
  <c r="J482" i="6" s="1"/>
  <c r="F478" i="6"/>
  <c r="J478" i="6" s="1"/>
  <c r="F474" i="6"/>
  <c r="J474" i="6" s="1"/>
  <c r="F470" i="6"/>
  <c r="J470" i="6" s="1"/>
  <c r="F491" i="6"/>
  <c r="J491" i="6" s="1"/>
  <c r="F466" i="6"/>
  <c r="F503" i="6"/>
  <c r="J503" i="6" s="1"/>
  <c r="F471" i="6"/>
  <c r="J471" i="6" s="1"/>
  <c r="F465" i="6"/>
  <c r="J465" i="6" s="1"/>
  <c r="F461" i="6"/>
  <c r="J461" i="6" s="1"/>
  <c r="F457" i="6"/>
  <c r="J457" i="6" s="1"/>
  <c r="F453" i="6"/>
  <c r="F449" i="6"/>
  <c r="J449" i="6" s="1"/>
  <c r="F445" i="6"/>
  <c r="J445" i="6" s="1"/>
  <c r="F441" i="6"/>
  <c r="J441" i="6" s="1"/>
  <c r="F437" i="6"/>
  <c r="J437" i="6" s="1"/>
  <c r="F433" i="6"/>
  <c r="J433" i="6" s="1"/>
  <c r="F429" i="6"/>
  <c r="J429" i="6" s="1"/>
  <c r="F425" i="6"/>
  <c r="J425" i="6" s="1"/>
  <c r="F495" i="6"/>
  <c r="J495" i="6" s="1"/>
  <c r="F464" i="6"/>
  <c r="J464" i="6" s="1"/>
  <c r="F460" i="6"/>
  <c r="J460" i="6" s="1"/>
  <c r="F456" i="6"/>
  <c r="J456" i="6" s="1"/>
  <c r="F452" i="6"/>
  <c r="J452" i="6" s="1"/>
  <c r="F448" i="6"/>
  <c r="J448" i="6" s="1"/>
  <c r="F444" i="6"/>
  <c r="J444" i="6" s="1"/>
  <c r="F440" i="6"/>
  <c r="J440" i="6" s="1"/>
  <c r="F436" i="6"/>
  <c r="F432" i="6"/>
  <c r="J432" i="6" s="1"/>
  <c r="F428" i="6"/>
  <c r="J428" i="6" s="1"/>
  <c r="F424" i="6"/>
  <c r="J424" i="6" s="1"/>
  <c r="F530" i="6"/>
  <c r="J530" i="6" s="1"/>
  <c r="F487" i="6"/>
  <c r="J487" i="6" s="1"/>
  <c r="F463" i="6"/>
  <c r="J463" i="6" s="1"/>
  <c r="F459" i="6"/>
  <c r="J459" i="6" s="1"/>
  <c r="F455" i="6"/>
  <c r="J455" i="6" s="1"/>
  <c r="F451" i="6"/>
  <c r="J451" i="6" s="1"/>
  <c r="F447" i="6"/>
  <c r="J447" i="6" s="1"/>
  <c r="F443" i="6"/>
  <c r="J443" i="6" s="1"/>
  <c r="F439" i="6"/>
  <c r="J439" i="6" s="1"/>
  <c r="F435" i="6"/>
  <c r="J435" i="6" s="1"/>
  <c r="F431" i="6"/>
  <c r="J431" i="6" s="1"/>
  <c r="F427" i="6"/>
  <c r="J427" i="6" s="1"/>
  <c r="F499" i="6"/>
  <c r="J499" i="6" s="1"/>
  <c r="F442" i="6"/>
  <c r="F420" i="6"/>
  <c r="F416" i="6"/>
  <c r="J416" i="6" s="1"/>
  <c r="F412" i="6"/>
  <c r="J412" i="6" s="1"/>
  <c r="F408" i="6"/>
  <c r="J408" i="6" s="1"/>
  <c r="F404" i="6"/>
  <c r="J404" i="6" s="1"/>
  <c r="F400" i="6"/>
  <c r="J400" i="6" s="1"/>
  <c r="F396" i="6"/>
  <c r="F392" i="6"/>
  <c r="F388" i="6"/>
  <c r="F384" i="6"/>
  <c r="J384" i="6" s="1"/>
  <c r="F380" i="6"/>
  <c r="J380" i="6" s="1"/>
  <c r="F376" i="6"/>
  <c r="J376" i="6" s="1"/>
  <c r="F507" i="6"/>
  <c r="J507" i="6" s="1"/>
  <c r="F438" i="6"/>
  <c r="J438" i="6" s="1"/>
  <c r="F511" i="6"/>
  <c r="J511" i="6" s="1"/>
  <c r="F434" i="6"/>
  <c r="J434" i="6" s="1"/>
  <c r="F419" i="6"/>
  <c r="F415" i="6"/>
  <c r="F411" i="6"/>
  <c r="J411" i="6" s="1"/>
  <c r="F407" i="6"/>
  <c r="J407" i="6" s="1"/>
  <c r="F403" i="6"/>
  <c r="J403" i="6" s="1"/>
  <c r="F399" i="6"/>
  <c r="J399" i="6" s="1"/>
  <c r="F395" i="6"/>
  <c r="J395" i="6" s="1"/>
  <c r="F391" i="6"/>
  <c r="J391" i="6" s="1"/>
  <c r="F387" i="6"/>
  <c r="F383" i="6"/>
  <c r="F462" i="6"/>
  <c r="J462" i="6" s="1"/>
  <c r="F430" i="6"/>
  <c r="J430" i="6" s="1"/>
  <c r="F423" i="6"/>
  <c r="J423" i="6" s="1"/>
  <c r="F475" i="6"/>
  <c r="J475" i="6" s="1"/>
  <c r="F458" i="6"/>
  <c r="J458" i="6" s="1"/>
  <c r="F422" i="6"/>
  <c r="J422" i="6" s="1"/>
  <c r="F418" i="6"/>
  <c r="F414" i="6"/>
  <c r="F410" i="6"/>
  <c r="J410" i="6" s="1"/>
  <c r="F406" i="6"/>
  <c r="J406" i="6" s="1"/>
  <c r="F402" i="6"/>
  <c r="J402" i="6" s="1"/>
  <c r="F398" i="6"/>
  <c r="J398" i="6" s="1"/>
  <c r="F394" i="6"/>
  <c r="J394" i="6" s="1"/>
  <c r="F390" i="6"/>
  <c r="J390" i="6" s="1"/>
  <c r="F386" i="6"/>
  <c r="F382" i="6"/>
  <c r="F378" i="6"/>
  <c r="F591" i="6"/>
  <c r="J591" i="6" s="1"/>
  <c r="F479" i="6"/>
  <c r="J479" i="6" s="1"/>
  <c r="F454" i="6"/>
  <c r="J454" i="6" s="1"/>
  <c r="F576" i="6"/>
  <c r="J576" i="6" s="1"/>
  <c r="F467" i="6"/>
  <c r="J467" i="6" s="1"/>
  <c r="F450" i="6"/>
  <c r="J450" i="6" s="1"/>
  <c r="F426" i="6"/>
  <c r="J426" i="6" s="1"/>
  <c r="F421" i="6"/>
  <c r="J421" i="6" s="1"/>
  <c r="F417" i="6"/>
  <c r="J417" i="6" s="1"/>
  <c r="F413" i="6"/>
  <c r="J413" i="6" s="1"/>
  <c r="F409" i="6"/>
  <c r="J409" i="6" s="1"/>
  <c r="F405" i="6"/>
  <c r="J405" i="6" s="1"/>
  <c r="F401" i="6"/>
  <c r="J401" i="6" s="1"/>
  <c r="F397" i="6"/>
  <c r="J397" i="6" s="1"/>
  <c r="F393" i="6"/>
  <c r="F389" i="6"/>
  <c r="F483" i="6"/>
  <c r="J483" i="6" s="1"/>
  <c r="F373" i="6"/>
  <c r="J373" i="6" s="1"/>
  <c r="F369" i="6"/>
  <c r="J369" i="6" s="1"/>
  <c r="F365" i="6"/>
  <c r="F361" i="6"/>
  <c r="J361" i="6" s="1"/>
  <c r="F357" i="6"/>
  <c r="J357" i="6" s="1"/>
  <c r="F353" i="6"/>
  <c r="J353" i="6" s="1"/>
  <c r="F349" i="6"/>
  <c r="J349" i="6" s="1"/>
  <c r="F345" i="6"/>
  <c r="J345" i="6" s="1"/>
  <c r="F341" i="6"/>
  <c r="J341" i="6" s="1"/>
  <c r="F337" i="6"/>
  <c r="J337" i="6" s="1"/>
  <c r="F333" i="6"/>
  <c r="F329" i="6"/>
  <c r="J329" i="6" s="1"/>
  <c r="F372" i="6"/>
  <c r="J372" i="6" s="1"/>
  <c r="F368" i="6"/>
  <c r="J368" i="6" s="1"/>
  <c r="F364" i="6"/>
  <c r="J364" i="6" s="1"/>
  <c r="F360" i="6"/>
  <c r="J360" i="6" s="1"/>
  <c r="F356" i="6"/>
  <c r="J356" i="6" s="1"/>
  <c r="F352" i="6"/>
  <c r="J352" i="6" s="1"/>
  <c r="F348" i="6"/>
  <c r="F344" i="6"/>
  <c r="J344" i="6" s="1"/>
  <c r="F340" i="6"/>
  <c r="J340" i="6" s="1"/>
  <c r="F336" i="6"/>
  <c r="J336" i="6" s="1"/>
  <c r="F332" i="6"/>
  <c r="J332" i="6" s="1"/>
  <c r="F328" i="6"/>
  <c r="J328" i="6" s="1"/>
  <c r="F385" i="6"/>
  <c r="J385" i="6" s="1"/>
  <c r="F371" i="6"/>
  <c r="J371" i="6" s="1"/>
  <c r="F367" i="6"/>
  <c r="J367" i="6" s="1"/>
  <c r="F363" i="6"/>
  <c r="J363" i="6" s="1"/>
  <c r="F359" i="6"/>
  <c r="J359" i="6" s="1"/>
  <c r="F355" i="6"/>
  <c r="J355" i="6" s="1"/>
  <c r="F351" i="6"/>
  <c r="J351" i="6" s="1"/>
  <c r="F347" i="6"/>
  <c r="J347" i="6" s="1"/>
  <c r="F343" i="6"/>
  <c r="J343" i="6" s="1"/>
  <c r="F339" i="6"/>
  <c r="J339" i="6" s="1"/>
  <c r="F335" i="6"/>
  <c r="J335" i="6" s="1"/>
  <c r="F331" i="6"/>
  <c r="J331" i="6" s="1"/>
  <c r="F379" i="6"/>
  <c r="F377" i="6"/>
  <c r="J377" i="6" s="1"/>
  <c r="F446" i="6"/>
  <c r="J446" i="6" s="1"/>
  <c r="F381" i="6"/>
  <c r="J381" i="6" s="1"/>
  <c r="F375" i="6"/>
  <c r="J375" i="6" s="1"/>
  <c r="F370" i="6"/>
  <c r="J370" i="6" s="1"/>
  <c r="F366" i="6"/>
  <c r="J366" i="6" s="1"/>
  <c r="F362" i="6"/>
  <c r="J362" i="6" s="1"/>
  <c r="F358" i="6"/>
  <c r="J358" i="6" s="1"/>
  <c r="F354" i="6"/>
  <c r="J354" i="6" s="1"/>
  <c r="F350" i="6"/>
  <c r="J350" i="6" s="1"/>
  <c r="F346" i="6"/>
  <c r="J346" i="6" s="1"/>
  <c r="F342" i="6"/>
  <c r="J342" i="6" s="1"/>
  <c r="F338" i="6"/>
  <c r="J338" i="6" s="1"/>
  <c r="F334" i="6"/>
  <c r="J334" i="6" s="1"/>
  <c r="F330" i="6"/>
  <c r="J330" i="6" s="1"/>
  <c r="F327" i="6"/>
  <c r="F326" i="6"/>
  <c r="F322" i="6"/>
  <c r="J322" i="6" s="1"/>
  <c r="F318" i="6"/>
  <c r="J318" i="6" s="1"/>
  <c r="F314" i="6"/>
  <c r="J314" i="6" s="1"/>
  <c r="F310" i="6"/>
  <c r="J310" i="6" s="1"/>
  <c r="F306" i="6"/>
  <c r="J306" i="6" s="1"/>
  <c r="F302" i="6"/>
  <c r="J302" i="6" s="1"/>
  <c r="F298" i="6"/>
  <c r="F294" i="6"/>
  <c r="F290" i="6"/>
  <c r="F286" i="6"/>
  <c r="J286" i="6" s="1"/>
  <c r="F282" i="6"/>
  <c r="J282" i="6" s="1"/>
  <c r="F278" i="6"/>
  <c r="J278" i="6" s="1"/>
  <c r="F274" i="6"/>
  <c r="J274" i="6" s="1"/>
  <c r="F270" i="6"/>
  <c r="J270" i="6" s="1"/>
  <c r="F266" i="6"/>
  <c r="F325" i="6"/>
  <c r="F321" i="6"/>
  <c r="F317" i="6"/>
  <c r="J317" i="6" s="1"/>
  <c r="F313" i="6"/>
  <c r="J313" i="6" s="1"/>
  <c r="F309" i="6"/>
  <c r="J309" i="6" s="1"/>
  <c r="F305" i="6"/>
  <c r="J305" i="6" s="1"/>
  <c r="F301" i="6"/>
  <c r="J301" i="6" s="1"/>
  <c r="F297" i="6"/>
  <c r="J297" i="6" s="1"/>
  <c r="F293" i="6"/>
  <c r="F289" i="6"/>
  <c r="F285" i="6"/>
  <c r="J285" i="6" s="1"/>
  <c r="F281" i="6"/>
  <c r="J281" i="6" s="1"/>
  <c r="F277" i="6"/>
  <c r="J277" i="6" s="1"/>
  <c r="F273" i="6"/>
  <c r="J273" i="6" s="1"/>
  <c r="F269" i="6"/>
  <c r="J269" i="6" s="1"/>
  <c r="F374" i="6"/>
  <c r="J374" i="6" s="1"/>
  <c r="F324" i="6"/>
  <c r="J324" i="6" s="1"/>
  <c r="F320" i="6"/>
  <c r="F316" i="6"/>
  <c r="J316" i="6" s="1"/>
  <c r="F312" i="6"/>
  <c r="J312" i="6" s="1"/>
  <c r="F308" i="6"/>
  <c r="J308" i="6" s="1"/>
  <c r="F304" i="6"/>
  <c r="J304" i="6" s="1"/>
  <c r="F300" i="6"/>
  <c r="J300" i="6" s="1"/>
  <c r="F296" i="6"/>
  <c r="J296" i="6" s="1"/>
  <c r="F292" i="6"/>
  <c r="J292" i="6" s="1"/>
  <c r="F288" i="6"/>
  <c r="J288" i="6" s="1"/>
  <c r="F284" i="6"/>
  <c r="J284" i="6" s="1"/>
  <c r="F280" i="6"/>
  <c r="J280" i="6" s="1"/>
  <c r="F276" i="6"/>
  <c r="J276" i="6" s="1"/>
  <c r="F319" i="6"/>
  <c r="F287" i="6"/>
  <c r="F262" i="6"/>
  <c r="F258" i="6"/>
  <c r="F254" i="6"/>
  <c r="J254" i="6" s="1"/>
  <c r="F250" i="6"/>
  <c r="J250" i="6" s="1"/>
  <c r="F246" i="6"/>
  <c r="J246" i="6" s="1"/>
  <c r="F242" i="6"/>
  <c r="J242" i="6" s="1"/>
  <c r="F238" i="6"/>
  <c r="J238" i="6" s="1"/>
  <c r="F234" i="6"/>
  <c r="J234" i="6" s="1"/>
  <c r="F230" i="6"/>
  <c r="F226" i="6"/>
  <c r="F222" i="6"/>
  <c r="J222" i="6" s="1"/>
  <c r="F218" i="6"/>
  <c r="J218" i="6" s="1"/>
  <c r="F214" i="6"/>
  <c r="J214" i="6" s="1"/>
  <c r="F210" i="6"/>
  <c r="J210" i="6" s="1"/>
  <c r="F206" i="6"/>
  <c r="J206" i="6" s="1"/>
  <c r="F202" i="6"/>
  <c r="J202" i="6" s="1"/>
  <c r="F198" i="6"/>
  <c r="F194" i="6"/>
  <c r="F190" i="6"/>
  <c r="J190" i="6" s="1"/>
  <c r="F186" i="6"/>
  <c r="J186" i="6" s="1"/>
  <c r="F182" i="6"/>
  <c r="J182" i="6" s="1"/>
  <c r="F178" i="6"/>
  <c r="J178" i="6" s="1"/>
  <c r="F174" i="6"/>
  <c r="J174" i="6" s="1"/>
  <c r="F170" i="6"/>
  <c r="J170" i="6" s="1"/>
  <c r="F166" i="6"/>
  <c r="F162" i="6"/>
  <c r="F158" i="6"/>
  <c r="F154" i="6"/>
  <c r="J154" i="6" s="1"/>
  <c r="F150" i="6"/>
  <c r="J150" i="6" s="1"/>
  <c r="F315" i="6"/>
  <c r="J315" i="6" s="1"/>
  <c r="F283" i="6"/>
  <c r="F311" i="6"/>
  <c r="J311" i="6" s="1"/>
  <c r="F279" i="6"/>
  <c r="F267" i="6"/>
  <c r="J267" i="6" s="1"/>
  <c r="F265" i="6"/>
  <c r="J265" i="6" s="1"/>
  <c r="F261" i="6"/>
  <c r="J261" i="6" s="1"/>
  <c r="F257" i="6"/>
  <c r="J257" i="6" s="1"/>
  <c r="F253" i="6"/>
  <c r="J253" i="6" s="1"/>
  <c r="F249" i="6"/>
  <c r="J249" i="6" s="1"/>
  <c r="F245" i="6"/>
  <c r="J245" i="6" s="1"/>
  <c r="F241" i="6"/>
  <c r="J241" i="6" s="1"/>
  <c r="F237" i="6"/>
  <c r="J237" i="6" s="1"/>
  <c r="F233" i="6"/>
  <c r="J233" i="6" s="1"/>
  <c r="F229" i="6"/>
  <c r="J229" i="6" s="1"/>
  <c r="F225" i="6"/>
  <c r="J225" i="6" s="1"/>
  <c r="F221" i="6"/>
  <c r="J221" i="6" s="1"/>
  <c r="F217" i="6"/>
  <c r="J217" i="6" s="1"/>
  <c r="F213" i="6"/>
  <c r="J213" i="6" s="1"/>
  <c r="F209" i="6"/>
  <c r="J209" i="6" s="1"/>
  <c r="F205" i="6"/>
  <c r="J205" i="6" s="1"/>
  <c r="F201" i="6"/>
  <c r="J201" i="6" s="1"/>
  <c r="F197" i="6"/>
  <c r="J197" i="6" s="1"/>
  <c r="F193" i="6"/>
  <c r="J193" i="6" s="1"/>
  <c r="F189" i="6"/>
  <c r="J189" i="6" s="1"/>
  <c r="F185" i="6"/>
  <c r="J185" i="6" s="1"/>
  <c r="F181" i="6"/>
  <c r="J181" i="6" s="1"/>
  <c r="F177" i="6"/>
  <c r="J177" i="6" s="1"/>
  <c r="F173" i="6"/>
  <c r="J173" i="6" s="1"/>
  <c r="F169" i="6"/>
  <c r="J169" i="6" s="1"/>
  <c r="F165" i="6"/>
  <c r="J165" i="6" s="1"/>
  <c r="F161" i="6"/>
  <c r="J161" i="6" s="1"/>
  <c r="F157" i="6"/>
  <c r="J157" i="6" s="1"/>
  <c r="F153" i="6"/>
  <c r="J153" i="6" s="1"/>
  <c r="F149" i="6"/>
  <c r="J149" i="6" s="1"/>
  <c r="F307" i="6"/>
  <c r="J307" i="6" s="1"/>
  <c r="F275" i="6"/>
  <c r="F268" i="6"/>
  <c r="J268" i="6" s="1"/>
  <c r="F303" i="6"/>
  <c r="J303" i="6" s="1"/>
  <c r="F271" i="6"/>
  <c r="J271" i="6" s="1"/>
  <c r="F264" i="6"/>
  <c r="J264" i="6" s="1"/>
  <c r="F260" i="6"/>
  <c r="J260" i="6" s="1"/>
  <c r="F256" i="6"/>
  <c r="J256" i="6" s="1"/>
  <c r="F252" i="6"/>
  <c r="J252" i="6" s="1"/>
  <c r="F248" i="6"/>
  <c r="J248" i="6" s="1"/>
  <c r="F244" i="6"/>
  <c r="J244" i="6" s="1"/>
  <c r="F240" i="6"/>
  <c r="J240" i="6" s="1"/>
  <c r="F236" i="6"/>
  <c r="J236" i="6" s="1"/>
  <c r="F232" i="6"/>
  <c r="J232" i="6" s="1"/>
  <c r="F228" i="6"/>
  <c r="J228" i="6" s="1"/>
  <c r="F224" i="6"/>
  <c r="J224" i="6" s="1"/>
  <c r="F220" i="6"/>
  <c r="J220" i="6" s="1"/>
  <c r="F216" i="6"/>
  <c r="J216" i="6" s="1"/>
  <c r="F212" i="6"/>
  <c r="J212" i="6" s="1"/>
  <c r="F208" i="6"/>
  <c r="J208" i="6" s="1"/>
  <c r="F204" i="6"/>
  <c r="J204" i="6" s="1"/>
  <c r="F200" i="6"/>
  <c r="J200" i="6" s="1"/>
  <c r="F196" i="6"/>
  <c r="J196" i="6" s="1"/>
  <c r="F192" i="6"/>
  <c r="J192" i="6" s="1"/>
  <c r="F188" i="6"/>
  <c r="J188" i="6" s="1"/>
  <c r="F184" i="6"/>
  <c r="J184" i="6" s="1"/>
  <c r="F180" i="6"/>
  <c r="J180" i="6" s="1"/>
  <c r="F176" i="6"/>
  <c r="J176" i="6" s="1"/>
  <c r="F172" i="6"/>
  <c r="J172" i="6" s="1"/>
  <c r="F168" i="6"/>
  <c r="J168" i="6" s="1"/>
  <c r="F164" i="6"/>
  <c r="F160" i="6"/>
  <c r="J160" i="6" s="1"/>
  <c r="F156" i="6"/>
  <c r="J156" i="6" s="1"/>
  <c r="F152" i="6"/>
  <c r="F299" i="6"/>
  <c r="J299" i="6" s="1"/>
  <c r="F272" i="6"/>
  <c r="J272" i="6" s="1"/>
  <c r="F295" i="6"/>
  <c r="J295" i="6" s="1"/>
  <c r="F263" i="6"/>
  <c r="J263" i="6" s="1"/>
  <c r="F259" i="6"/>
  <c r="F255" i="6"/>
  <c r="J255" i="6" s="1"/>
  <c r="F251" i="6"/>
  <c r="F247" i="6"/>
  <c r="J247" i="6" s="1"/>
  <c r="F243" i="6"/>
  <c r="J243" i="6" s="1"/>
  <c r="F239" i="6"/>
  <c r="J239" i="6" s="1"/>
  <c r="F235" i="6"/>
  <c r="J235" i="6" s="1"/>
  <c r="F231" i="6"/>
  <c r="J231" i="6" s="1"/>
  <c r="F227" i="6"/>
  <c r="F223" i="6"/>
  <c r="J223" i="6" s="1"/>
  <c r="F219" i="6"/>
  <c r="J219" i="6" s="1"/>
  <c r="F215" i="6"/>
  <c r="J215" i="6" s="1"/>
  <c r="F211" i="6"/>
  <c r="J211" i="6" s="1"/>
  <c r="F207" i="6"/>
  <c r="J207" i="6" s="1"/>
  <c r="F203" i="6"/>
  <c r="J203" i="6" s="1"/>
  <c r="F199" i="6"/>
  <c r="J199" i="6" s="1"/>
  <c r="F195" i="6"/>
  <c r="F191" i="6"/>
  <c r="J191" i="6" s="1"/>
  <c r="F187" i="6"/>
  <c r="F183" i="6"/>
  <c r="J183" i="6" s="1"/>
  <c r="F179" i="6"/>
  <c r="J179" i="6" s="1"/>
  <c r="F175" i="6"/>
  <c r="J175" i="6" s="1"/>
  <c r="F171" i="6"/>
  <c r="J171" i="6" s="1"/>
  <c r="F167" i="6"/>
  <c r="J167" i="6" s="1"/>
  <c r="F163" i="6"/>
  <c r="J163" i="6" s="1"/>
  <c r="F159" i="6"/>
  <c r="J159" i="6" s="1"/>
  <c r="F155" i="6"/>
  <c r="F148" i="6"/>
  <c r="F147" i="6"/>
  <c r="J147" i="6" s="1"/>
  <c r="F143" i="6"/>
  <c r="J143" i="6" s="1"/>
  <c r="F139" i="6"/>
  <c r="J139" i="6" s="1"/>
  <c r="F135" i="6"/>
  <c r="J135" i="6" s="1"/>
  <c r="F131" i="6"/>
  <c r="J131" i="6" s="1"/>
  <c r="F127" i="6"/>
  <c r="J127" i="6" s="1"/>
  <c r="F123" i="6"/>
  <c r="F119" i="6"/>
  <c r="F115" i="6"/>
  <c r="J115" i="6" s="1"/>
  <c r="F111" i="6"/>
  <c r="J111" i="6" s="1"/>
  <c r="F107" i="6"/>
  <c r="J107" i="6" s="1"/>
  <c r="F103" i="6"/>
  <c r="J103" i="6" s="1"/>
  <c r="F99" i="6"/>
  <c r="J99" i="6" s="1"/>
  <c r="F95" i="6"/>
  <c r="J95" i="6" s="1"/>
  <c r="F91" i="6"/>
  <c r="J91" i="6" s="1"/>
  <c r="F87" i="6"/>
  <c r="F83" i="6"/>
  <c r="J83" i="6" s="1"/>
  <c r="F79" i="6"/>
  <c r="J79" i="6" s="1"/>
  <c r="F75" i="6"/>
  <c r="J75" i="6" s="1"/>
  <c r="F71" i="6"/>
  <c r="J71" i="6" s="1"/>
  <c r="F67" i="6"/>
  <c r="J67" i="6" s="1"/>
  <c r="F63" i="6"/>
  <c r="J63" i="6" s="1"/>
  <c r="F59" i="6"/>
  <c r="F55" i="6"/>
  <c r="F51" i="6"/>
  <c r="J51" i="6" s="1"/>
  <c r="F47" i="6"/>
  <c r="J47" i="6" s="1"/>
  <c r="F323" i="6"/>
  <c r="J323" i="6" s="1"/>
  <c r="F151" i="6"/>
  <c r="J151" i="6" s="1"/>
  <c r="F146" i="6"/>
  <c r="J146" i="6" s="1"/>
  <c r="F142" i="6"/>
  <c r="J142" i="6" s="1"/>
  <c r="F138" i="6"/>
  <c r="F134" i="6"/>
  <c r="F130" i="6"/>
  <c r="J130" i="6" s="1"/>
  <c r="F126" i="6"/>
  <c r="J126" i="6" s="1"/>
  <c r="F122" i="6"/>
  <c r="J122" i="6" s="1"/>
  <c r="F118" i="6"/>
  <c r="J118" i="6" s="1"/>
  <c r="F114" i="6"/>
  <c r="J114" i="6" s="1"/>
  <c r="F110" i="6"/>
  <c r="J110" i="6" s="1"/>
  <c r="F106" i="6"/>
  <c r="F102" i="6"/>
  <c r="F98" i="6"/>
  <c r="J98" i="6" s="1"/>
  <c r="F94" i="6"/>
  <c r="J94" i="6" s="1"/>
  <c r="F90" i="6"/>
  <c r="J90" i="6" s="1"/>
  <c r="F86" i="6"/>
  <c r="J86" i="6" s="1"/>
  <c r="F82" i="6"/>
  <c r="J82" i="6" s="1"/>
  <c r="F78" i="6"/>
  <c r="J78" i="6" s="1"/>
  <c r="F74" i="6"/>
  <c r="F70" i="6"/>
  <c r="F66" i="6"/>
  <c r="J66" i="6" s="1"/>
  <c r="F62" i="6"/>
  <c r="J62" i="6" s="1"/>
  <c r="F58" i="6"/>
  <c r="J58" i="6" s="1"/>
  <c r="F54" i="6"/>
  <c r="J54" i="6" s="1"/>
  <c r="F50" i="6"/>
  <c r="J50" i="6" s="1"/>
  <c r="F46" i="6"/>
  <c r="J46" i="6" s="1"/>
  <c r="F145" i="6"/>
  <c r="F141" i="6"/>
  <c r="J141" i="6" s="1"/>
  <c r="F137" i="6"/>
  <c r="J137" i="6" s="1"/>
  <c r="F133" i="6"/>
  <c r="J133" i="6" s="1"/>
  <c r="F129" i="6"/>
  <c r="J129" i="6" s="1"/>
  <c r="F125" i="6"/>
  <c r="J125" i="6" s="1"/>
  <c r="F121" i="6"/>
  <c r="J121" i="6" s="1"/>
  <c r="F117" i="6"/>
  <c r="J117" i="6" s="1"/>
  <c r="F113" i="6"/>
  <c r="J113" i="6" s="1"/>
  <c r="F109" i="6"/>
  <c r="J109" i="6" s="1"/>
  <c r="F105" i="6"/>
  <c r="J105" i="6" s="1"/>
  <c r="F101" i="6"/>
  <c r="J101" i="6" s="1"/>
  <c r="F97" i="6"/>
  <c r="J97" i="6" s="1"/>
  <c r="F93" i="6"/>
  <c r="J93" i="6" s="1"/>
  <c r="F89" i="6"/>
  <c r="F85" i="6"/>
  <c r="J85" i="6" s="1"/>
  <c r="F81" i="6"/>
  <c r="F77" i="6"/>
  <c r="F73" i="6"/>
  <c r="J73" i="6" s="1"/>
  <c r="F69" i="6"/>
  <c r="J69" i="6" s="1"/>
  <c r="F65" i="6"/>
  <c r="J65" i="6" s="1"/>
  <c r="F61" i="6"/>
  <c r="J61" i="6" s="1"/>
  <c r="F57" i="6"/>
  <c r="J57" i="6" s="1"/>
  <c r="F53" i="6"/>
  <c r="J53" i="6" s="1"/>
  <c r="F49" i="6"/>
  <c r="J49" i="6" s="1"/>
  <c r="F45" i="6"/>
  <c r="F120" i="6"/>
  <c r="J120" i="6" s="1"/>
  <c r="F88" i="6"/>
  <c r="J88" i="6" s="1"/>
  <c r="F56" i="6"/>
  <c r="J56" i="6" s="1"/>
  <c r="F43" i="6"/>
  <c r="J43" i="6" s="1"/>
  <c r="F39" i="6"/>
  <c r="J39" i="6" s="1"/>
  <c r="F35" i="6"/>
  <c r="J35" i="6" s="1"/>
  <c r="F31" i="6"/>
  <c r="J31" i="6" s="1"/>
  <c r="F27" i="6"/>
  <c r="J27" i="6" s="1"/>
  <c r="F23" i="6"/>
  <c r="F19" i="6"/>
  <c r="J19" i="6" s="1"/>
  <c r="F116" i="6"/>
  <c r="J116" i="6" s="1"/>
  <c r="F84" i="6"/>
  <c r="J84" i="6" s="1"/>
  <c r="F52" i="6"/>
  <c r="J52" i="6" s="1"/>
  <c r="F144" i="6"/>
  <c r="J144" i="6" s="1"/>
  <c r="F112" i="6"/>
  <c r="J112" i="6" s="1"/>
  <c r="F76" i="6"/>
  <c r="J76" i="6" s="1"/>
  <c r="F68" i="6"/>
  <c r="J68" i="6" s="1"/>
  <c r="F48" i="6"/>
  <c r="J48" i="6" s="1"/>
  <c r="F42" i="6"/>
  <c r="J42" i="6" s="1"/>
  <c r="F38" i="6"/>
  <c r="J38" i="6" s="1"/>
  <c r="F34" i="6"/>
  <c r="J34" i="6" s="1"/>
  <c r="F30" i="6"/>
  <c r="J30" i="6" s="1"/>
  <c r="F26" i="6"/>
  <c r="F22" i="6"/>
  <c r="F18" i="6"/>
  <c r="F140" i="6"/>
  <c r="J140" i="6" s="1"/>
  <c r="F108" i="6"/>
  <c r="J108" i="6" s="1"/>
  <c r="K15" i="6"/>
  <c r="J8" i="6"/>
  <c r="F291" i="6"/>
  <c r="J291" i="6" s="1"/>
  <c r="F136" i="6"/>
  <c r="F104" i="6"/>
  <c r="F41" i="6"/>
  <c r="J41" i="6" s="1"/>
  <c r="F37" i="6"/>
  <c r="J37" i="6" s="1"/>
  <c r="F33" i="6"/>
  <c r="J33" i="6" s="1"/>
  <c r="F29" i="6"/>
  <c r="J29" i="6" s="1"/>
  <c r="F25" i="6"/>
  <c r="J25" i="6" s="1"/>
  <c r="F21" i="6"/>
  <c r="J21" i="6" s="1"/>
  <c r="F17" i="6"/>
  <c r="J17" i="6" s="1"/>
  <c r="F132" i="6"/>
  <c r="F100" i="6"/>
  <c r="J100" i="6" s="1"/>
  <c r="F80" i="6"/>
  <c r="J80" i="6" s="1"/>
  <c r="F128" i="6"/>
  <c r="J128" i="6" s="1"/>
  <c r="F96" i="6"/>
  <c r="J96" i="6" s="1"/>
  <c r="F44" i="6"/>
  <c r="J44" i="6" s="1"/>
  <c r="F40" i="6"/>
  <c r="J40" i="6" s="1"/>
  <c r="F36" i="6"/>
  <c r="J36" i="6" s="1"/>
  <c r="F32" i="6"/>
  <c r="J32" i="6" s="1"/>
  <c r="F28" i="6"/>
  <c r="J28" i="6" s="1"/>
  <c r="F24" i="6"/>
  <c r="J24" i="6" s="1"/>
  <c r="F20" i="6"/>
  <c r="J20" i="6" s="1"/>
  <c r="F16" i="6"/>
  <c r="J16" i="6" s="1"/>
  <c r="F124" i="6"/>
  <c r="J124" i="6" s="1"/>
  <c r="F60" i="6"/>
  <c r="J60" i="6" s="1"/>
  <c r="F64" i="6"/>
  <c r="J64" i="6" s="1"/>
  <c r="F92" i="6"/>
  <c r="J92" i="6" s="1"/>
  <c r="F72" i="6"/>
  <c r="J72" i="6" s="1"/>
  <c r="J164" i="6"/>
  <c r="J158" i="6"/>
  <c r="J275" i="6"/>
  <c r="J348" i="6"/>
  <c r="J388" i="6"/>
  <c r="J420" i="6"/>
  <c r="J436" i="6"/>
  <c r="J473" i="6"/>
  <c r="J505" i="6"/>
  <c r="J536" i="6"/>
  <c r="J562" i="6"/>
  <c r="H611" i="5"/>
  <c r="H607" i="5"/>
  <c r="H603" i="5"/>
  <c r="H599" i="5"/>
  <c r="H595" i="5"/>
  <c r="H591" i="5"/>
  <c r="H587" i="5"/>
  <c r="H583" i="5"/>
  <c r="H579" i="5"/>
  <c r="H575" i="5"/>
  <c r="H571" i="5"/>
  <c r="H567" i="5"/>
  <c r="H563" i="5"/>
  <c r="H559" i="5"/>
  <c r="H555" i="5"/>
  <c r="H551" i="5"/>
  <c r="H547" i="5"/>
  <c r="H543" i="5"/>
  <c r="H610" i="5"/>
  <c r="H606" i="5"/>
  <c r="H602" i="5"/>
  <c r="H598" i="5"/>
  <c r="H594" i="5"/>
  <c r="H590" i="5"/>
  <c r="H586" i="5"/>
  <c r="H582" i="5"/>
  <c r="H578" i="5"/>
  <c r="H574" i="5"/>
  <c r="H570" i="5"/>
  <c r="H566" i="5"/>
  <c r="H562" i="5"/>
  <c r="H558" i="5"/>
  <c r="H554" i="5"/>
  <c r="H550" i="5"/>
  <c r="H546" i="5"/>
  <c r="H542" i="5"/>
  <c r="H609" i="5"/>
  <c r="H605" i="5"/>
  <c r="H601" i="5"/>
  <c r="H597" i="5"/>
  <c r="H593" i="5"/>
  <c r="H589" i="5"/>
  <c r="H585" i="5"/>
  <c r="H581" i="5"/>
  <c r="H577" i="5"/>
  <c r="H573" i="5"/>
  <c r="H569" i="5"/>
  <c r="H565" i="5"/>
  <c r="H561" i="5"/>
  <c r="H557" i="5"/>
  <c r="H553" i="5"/>
  <c r="H549" i="5"/>
  <c r="H545" i="5"/>
  <c r="H541" i="5"/>
  <c r="H580" i="5"/>
  <c r="H538" i="5"/>
  <c r="H534" i="5"/>
  <c r="H530" i="5"/>
  <c r="H526" i="5"/>
  <c r="H522" i="5"/>
  <c r="H518" i="5"/>
  <c r="H514" i="5"/>
  <c r="H510" i="5"/>
  <c r="H506" i="5"/>
  <c r="H502" i="5"/>
  <c r="H498" i="5"/>
  <c r="H494" i="5"/>
  <c r="H490" i="5"/>
  <c r="H486" i="5"/>
  <c r="H482" i="5"/>
  <c r="H478" i="5"/>
  <c r="H474" i="5"/>
  <c r="H470" i="5"/>
  <c r="H466" i="5"/>
  <c r="H462" i="5"/>
  <c r="H458" i="5"/>
  <c r="H454" i="5"/>
  <c r="H450" i="5"/>
  <c r="H446" i="5"/>
  <c r="H612" i="5"/>
  <c r="H576" i="5"/>
  <c r="H560" i="5"/>
  <c r="H608" i="5"/>
  <c r="H572" i="5"/>
  <c r="H537" i="5"/>
  <c r="H533" i="5"/>
  <c r="H529" i="5"/>
  <c r="H525" i="5"/>
  <c r="H521" i="5"/>
  <c r="H517" i="5"/>
  <c r="H513" i="5"/>
  <c r="H509" i="5"/>
  <c r="H505" i="5"/>
  <c r="H501" i="5"/>
  <c r="H497" i="5"/>
  <c r="H493" i="5"/>
  <c r="H489" i="5"/>
  <c r="H485" i="5"/>
  <c r="H481" i="5"/>
  <c r="H477" i="5"/>
  <c r="H473" i="5"/>
  <c r="H469" i="5"/>
  <c r="H465" i="5"/>
  <c r="H461" i="5"/>
  <c r="H457" i="5"/>
  <c r="H453" i="5"/>
  <c r="H449" i="5"/>
  <c r="H604" i="5"/>
  <c r="H568" i="5"/>
  <c r="H592" i="5"/>
  <c r="H552" i="5"/>
  <c r="H588" i="5"/>
  <c r="H556" i="5"/>
  <c r="H548" i="5"/>
  <c r="H539" i="5"/>
  <c r="H535" i="5"/>
  <c r="H531" i="5"/>
  <c r="H527" i="5"/>
  <c r="H523" i="5"/>
  <c r="H519" i="5"/>
  <c r="H515" i="5"/>
  <c r="H511" i="5"/>
  <c r="H507" i="5"/>
  <c r="H503" i="5"/>
  <c r="H499" i="5"/>
  <c r="H495" i="5"/>
  <c r="H491" i="5"/>
  <c r="H487" i="5"/>
  <c r="H483" i="5"/>
  <c r="H479" i="5"/>
  <c r="H475" i="5"/>
  <c r="H471" i="5"/>
  <c r="H467" i="5"/>
  <c r="H463" i="5"/>
  <c r="H459" i="5"/>
  <c r="H455" i="5"/>
  <c r="H451" i="5"/>
  <c r="H516" i="5"/>
  <c r="H484" i="5"/>
  <c r="H460" i="5"/>
  <c r="H596" i="5"/>
  <c r="H544" i="5"/>
  <c r="H528" i="5"/>
  <c r="H496" i="5"/>
  <c r="H456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540" i="5"/>
  <c r="H508" i="5"/>
  <c r="H600" i="5"/>
  <c r="H564" i="5"/>
  <c r="H520" i="5"/>
  <c r="H488" i="5"/>
  <c r="H444" i="5"/>
  <c r="H440" i="5"/>
  <c r="H436" i="5"/>
  <c r="H432" i="5"/>
  <c r="H428" i="5"/>
  <c r="H424" i="5"/>
  <c r="H420" i="5"/>
  <c r="H416" i="5"/>
  <c r="H412" i="5"/>
  <c r="H408" i="5"/>
  <c r="H404" i="5"/>
  <c r="H400" i="5"/>
  <c r="H396" i="5"/>
  <c r="H392" i="5"/>
  <c r="H388" i="5"/>
  <c r="H384" i="5"/>
  <c r="H380" i="5"/>
  <c r="H376" i="5"/>
  <c r="H372" i="5"/>
  <c r="H532" i="5"/>
  <c r="H500" i="5"/>
  <c r="H476" i="5"/>
  <c r="H452" i="5"/>
  <c r="H512" i="5"/>
  <c r="H480" i="5"/>
  <c r="H472" i="5"/>
  <c r="H443" i="5"/>
  <c r="H439" i="5"/>
  <c r="H435" i="5"/>
  <c r="H431" i="5"/>
  <c r="H427" i="5"/>
  <c r="H423" i="5"/>
  <c r="H419" i="5"/>
  <c r="H415" i="5"/>
  <c r="H411" i="5"/>
  <c r="H407" i="5"/>
  <c r="H403" i="5"/>
  <c r="H399" i="5"/>
  <c r="H395" i="5"/>
  <c r="H391" i="5"/>
  <c r="H387" i="5"/>
  <c r="H383" i="5"/>
  <c r="H379" i="5"/>
  <c r="H375" i="5"/>
  <c r="H371" i="5"/>
  <c r="H367" i="5"/>
  <c r="H363" i="5"/>
  <c r="H359" i="5"/>
  <c r="H584" i="5"/>
  <c r="H536" i="5"/>
  <c r="H422" i="5"/>
  <c r="H390" i="5"/>
  <c r="H370" i="5"/>
  <c r="H434" i="5"/>
  <c r="H402" i="5"/>
  <c r="H358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504" i="5"/>
  <c r="H414" i="5"/>
  <c r="H382" i="5"/>
  <c r="H360" i="5"/>
  <c r="H524" i="5"/>
  <c r="H426" i="5"/>
  <c r="H394" i="5"/>
  <c r="H362" i="5"/>
  <c r="H356" i="5"/>
  <c r="H352" i="5"/>
  <c r="H348" i="5"/>
  <c r="H344" i="5"/>
  <c r="H340" i="5"/>
  <c r="H336" i="5"/>
  <c r="H332" i="5"/>
  <c r="H328" i="5"/>
  <c r="H324" i="5"/>
  <c r="H320" i="5"/>
  <c r="H316" i="5"/>
  <c r="H312" i="5"/>
  <c r="H308" i="5"/>
  <c r="H304" i="5"/>
  <c r="H300" i="5"/>
  <c r="H296" i="5"/>
  <c r="H292" i="5"/>
  <c r="H288" i="5"/>
  <c r="H284" i="5"/>
  <c r="H280" i="5"/>
  <c r="H276" i="5"/>
  <c r="H272" i="5"/>
  <c r="H268" i="5"/>
  <c r="H264" i="5"/>
  <c r="H260" i="5"/>
  <c r="H256" i="5"/>
  <c r="H252" i="5"/>
  <c r="H248" i="5"/>
  <c r="H244" i="5"/>
  <c r="H240" i="5"/>
  <c r="H468" i="5"/>
  <c r="H448" i="5"/>
  <c r="H438" i="5"/>
  <c r="H406" i="5"/>
  <c r="H364" i="5"/>
  <c r="H492" i="5"/>
  <c r="H464" i="5"/>
  <c r="H418" i="5"/>
  <c r="H386" i="5"/>
  <c r="H366" i="5"/>
  <c r="H355" i="5"/>
  <c r="H351" i="5"/>
  <c r="H347" i="5"/>
  <c r="H343" i="5"/>
  <c r="H339" i="5"/>
  <c r="H335" i="5"/>
  <c r="H331" i="5"/>
  <c r="H327" i="5"/>
  <c r="H323" i="5"/>
  <c r="H319" i="5"/>
  <c r="H315" i="5"/>
  <c r="H311" i="5"/>
  <c r="H307" i="5"/>
  <c r="H303" i="5"/>
  <c r="H299" i="5"/>
  <c r="H295" i="5"/>
  <c r="H291" i="5"/>
  <c r="H287" i="5"/>
  <c r="H283" i="5"/>
  <c r="H279" i="5"/>
  <c r="H275" i="5"/>
  <c r="H271" i="5"/>
  <c r="H267" i="5"/>
  <c r="H263" i="5"/>
  <c r="H259" i="5"/>
  <c r="H255" i="5"/>
  <c r="H251" i="5"/>
  <c r="H247" i="5"/>
  <c r="H243" i="5"/>
  <c r="H239" i="5"/>
  <c r="H430" i="5"/>
  <c r="H398" i="5"/>
  <c r="H374" i="5"/>
  <c r="H368" i="5"/>
  <c r="H342" i="5"/>
  <c r="H310" i="5"/>
  <c r="H278" i="5"/>
  <c r="H262" i="5"/>
  <c r="H258" i="5"/>
  <c r="H442" i="5"/>
  <c r="H338" i="5"/>
  <c r="H306" i="5"/>
  <c r="H274" i="5"/>
  <c r="H254" i="5"/>
  <c r="H236" i="5"/>
  <c r="H232" i="5"/>
  <c r="H228" i="5"/>
  <c r="H224" i="5"/>
  <c r="H220" i="5"/>
  <c r="H216" i="5"/>
  <c r="H212" i="5"/>
  <c r="H208" i="5"/>
  <c r="H204" i="5"/>
  <c r="H200" i="5"/>
  <c r="H196" i="5"/>
  <c r="H192" i="5"/>
  <c r="H188" i="5"/>
  <c r="H184" i="5"/>
  <c r="H180" i="5"/>
  <c r="H176" i="5"/>
  <c r="H172" i="5"/>
  <c r="H168" i="5"/>
  <c r="H164" i="5"/>
  <c r="H160" i="5"/>
  <c r="H156" i="5"/>
  <c r="H152" i="5"/>
  <c r="H148" i="5"/>
  <c r="H144" i="5"/>
  <c r="H140" i="5"/>
  <c r="H136" i="5"/>
  <c r="H132" i="5"/>
  <c r="H128" i="5"/>
  <c r="H124" i="5"/>
  <c r="H120" i="5"/>
  <c r="H116" i="5"/>
  <c r="H112" i="5"/>
  <c r="H108" i="5"/>
  <c r="H104" i="5"/>
  <c r="H100" i="5"/>
  <c r="H96" i="5"/>
  <c r="H92" i="5"/>
  <c r="H88" i="5"/>
  <c r="H447" i="5"/>
  <c r="H410" i="5"/>
  <c r="H334" i="5"/>
  <c r="H302" i="5"/>
  <c r="H270" i="5"/>
  <c r="H242" i="5"/>
  <c r="H378" i="5"/>
  <c r="H330" i="5"/>
  <c r="H298" i="5"/>
  <c r="H266" i="5"/>
  <c r="H246" i="5"/>
  <c r="H238" i="5"/>
  <c r="H235" i="5"/>
  <c r="H231" i="5"/>
  <c r="H227" i="5"/>
  <c r="H223" i="5"/>
  <c r="H219" i="5"/>
  <c r="H215" i="5"/>
  <c r="H211" i="5"/>
  <c r="H207" i="5"/>
  <c r="H203" i="5"/>
  <c r="H199" i="5"/>
  <c r="H195" i="5"/>
  <c r="H191" i="5"/>
  <c r="H187" i="5"/>
  <c r="H183" i="5"/>
  <c r="H179" i="5"/>
  <c r="H175" i="5"/>
  <c r="H171" i="5"/>
  <c r="H167" i="5"/>
  <c r="H163" i="5"/>
  <c r="H159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7" i="5"/>
  <c r="H103" i="5"/>
  <c r="H99" i="5"/>
  <c r="H95" i="5"/>
  <c r="H91" i="5"/>
  <c r="H87" i="5"/>
  <c r="H326" i="5"/>
  <c r="H294" i="5"/>
  <c r="H354" i="5"/>
  <c r="H322" i="5"/>
  <c r="H290" i="5"/>
  <c r="H234" i="5"/>
  <c r="H230" i="5"/>
  <c r="H226" i="5"/>
  <c r="H222" i="5"/>
  <c r="H218" i="5"/>
  <c r="H214" i="5"/>
  <c r="H210" i="5"/>
  <c r="H206" i="5"/>
  <c r="H202" i="5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350" i="5"/>
  <c r="H318" i="5"/>
  <c r="H286" i="5"/>
  <c r="H250" i="5"/>
  <c r="H233" i="5"/>
  <c r="H201" i="5"/>
  <c r="H169" i="5"/>
  <c r="H137" i="5"/>
  <c r="H85" i="5"/>
  <c r="H81" i="5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H17" i="5"/>
  <c r="H282" i="5"/>
  <c r="H229" i="5"/>
  <c r="H197" i="5"/>
  <c r="H165" i="5"/>
  <c r="H133" i="5"/>
  <c r="H225" i="5"/>
  <c r="H193" i="5"/>
  <c r="H161" i="5"/>
  <c r="H129" i="5"/>
  <c r="H117" i="5"/>
  <c r="H109" i="5"/>
  <c r="H84" i="5"/>
  <c r="H80" i="5"/>
  <c r="H76" i="5"/>
  <c r="H72" i="5"/>
  <c r="H68" i="5"/>
  <c r="H64" i="5"/>
  <c r="H60" i="5"/>
  <c r="H56" i="5"/>
  <c r="H52" i="5"/>
  <c r="H48" i="5"/>
  <c r="H44" i="5"/>
  <c r="H40" i="5"/>
  <c r="H36" i="5"/>
  <c r="H32" i="5"/>
  <c r="H28" i="5"/>
  <c r="H24" i="5"/>
  <c r="H20" i="5"/>
  <c r="H16" i="5"/>
  <c r="H221" i="5"/>
  <c r="H189" i="5"/>
  <c r="H157" i="5"/>
  <c r="H125" i="5"/>
  <c r="H314" i="5"/>
  <c r="H217" i="5"/>
  <c r="H185" i="5"/>
  <c r="H153" i="5"/>
  <c r="H121" i="5"/>
  <c r="H101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31" i="5"/>
  <c r="H27" i="5"/>
  <c r="H23" i="5"/>
  <c r="H19" i="5"/>
  <c r="H15" i="5"/>
  <c r="H213" i="5"/>
  <c r="H181" i="5"/>
  <c r="H149" i="5"/>
  <c r="H113" i="5"/>
  <c r="H97" i="5"/>
  <c r="H209" i="5"/>
  <c r="H177" i="5"/>
  <c r="H145" i="5"/>
  <c r="H93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H18" i="5"/>
  <c r="H13" i="5"/>
  <c r="H346" i="5"/>
  <c r="H205" i="5"/>
  <c r="H173" i="5"/>
  <c r="H141" i="5"/>
  <c r="H105" i="5"/>
  <c r="H89" i="5"/>
  <c r="J10" i="5"/>
  <c r="H14" i="5"/>
  <c r="K17" i="5"/>
  <c r="J60" i="5"/>
  <c r="J74" i="5"/>
  <c r="J192" i="5"/>
  <c r="J32" i="5"/>
  <c r="J77" i="5"/>
  <c r="J183" i="5"/>
  <c r="J132" i="5"/>
  <c r="J105" i="5"/>
  <c r="J233" i="5"/>
  <c r="J134" i="5"/>
  <c r="J296" i="5"/>
  <c r="J241" i="5"/>
  <c r="J273" i="5"/>
  <c r="J305" i="5"/>
  <c r="J337" i="5"/>
  <c r="J428" i="5"/>
  <c r="J250" i="5"/>
  <c r="J282" i="5"/>
  <c r="J314" i="5"/>
  <c r="J346" i="5"/>
  <c r="J239" i="5"/>
  <c r="J271" i="5"/>
  <c r="J303" i="5"/>
  <c r="J412" i="5"/>
  <c r="J361" i="5"/>
  <c r="J393" i="5"/>
  <c r="J425" i="5"/>
  <c r="J498" i="5"/>
  <c r="J386" i="5"/>
  <c r="J418" i="5"/>
  <c r="J449" i="5"/>
  <c r="J538" i="5"/>
  <c r="J415" i="5"/>
  <c r="J462" i="5"/>
  <c r="J461" i="5"/>
  <c r="J493" i="5"/>
  <c r="J525" i="5"/>
  <c r="J610" i="5"/>
  <c r="J459" i="5"/>
  <c r="J491" i="5"/>
  <c r="J523" i="5"/>
  <c r="J448" i="5"/>
  <c r="J480" i="5"/>
  <c r="J512" i="5"/>
  <c r="J562" i="5"/>
  <c r="J567" i="5"/>
  <c r="J599" i="5"/>
  <c r="J560" i="5"/>
  <c r="J592" i="5"/>
  <c r="J553" i="5"/>
  <c r="J191" i="5"/>
  <c r="J36" i="5"/>
  <c r="J68" i="5"/>
  <c r="J163" i="5"/>
  <c r="J17" i="5"/>
  <c r="J49" i="5"/>
  <c r="J81" i="5"/>
  <c r="J235" i="5"/>
  <c r="J18" i="5"/>
  <c r="J50" i="5"/>
  <c r="J82" i="5"/>
  <c r="J215" i="5"/>
  <c r="J39" i="5"/>
  <c r="J71" i="5"/>
  <c r="J272" i="5"/>
  <c r="J104" i="5"/>
  <c r="J136" i="5"/>
  <c r="J168" i="5"/>
  <c r="J200" i="5"/>
  <c r="J232" i="5"/>
  <c r="J109" i="5"/>
  <c r="J141" i="5"/>
  <c r="J173" i="5"/>
  <c r="J205" i="5"/>
  <c r="J264" i="5"/>
  <c r="J320" i="5"/>
  <c r="J138" i="5"/>
  <c r="J170" i="5"/>
  <c r="J202" i="5"/>
  <c r="J234" i="5"/>
  <c r="J328" i="5"/>
  <c r="J245" i="5"/>
  <c r="J277" i="5"/>
  <c r="J309" i="5"/>
  <c r="J341" i="5"/>
  <c r="J358" i="5"/>
  <c r="J254" i="5"/>
  <c r="J286" i="5"/>
  <c r="J318" i="5"/>
  <c r="J350" i="5"/>
  <c r="J243" i="5"/>
  <c r="J275" i="5"/>
  <c r="J307" i="5"/>
  <c r="J339" i="5"/>
  <c r="J444" i="5"/>
  <c r="J365" i="5"/>
  <c r="J397" i="5"/>
  <c r="J429" i="5"/>
  <c r="J530" i="5"/>
  <c r="J390" i="5"/>
  <c r="J422" i="5"/>
  <c r="J450" i="5"/>
  <c r="J606" i="5"/>
  <c r="J419" i="5"/>
  <c r="J494" i="5"/>
  <c r="J465" i="5"/>
  <c r="J497" i="5"/>
  <c r="J529" i="5"/>
  <c r="J546" i="5"/>
  <c r="J463" i="5"/>
  <c r="J495" i="5"/>
  <c r="J527" i="5"/>
  <c r="J452" i="5"/>
  <c r="J484" i="5"/>
  <c r="J516" i="5"/>
  <c r="J586" i="5"/>
  <c r="J571" i="5"/>
  <c r="J603" i="5"/>
  <c r="J564" i="5"/>
  <c r="J596" i="5"/>
  <c r="J557" i="5"/>
  <c r="J589" i="5"/>
  <c r="J77" i="6"/>
  <c r="J45" i="6"/>
  <c r="J18" i="6"/>
  <c r="J55" i="6"/>
  <c r="J87" i="6"/>
  <c r="J119" i="6"/>
  <c r="J148" i="6"/>
  <c r="J162" i="6"/>
  <c r="J194" i="6"/>
  <c r="J226" i="6"/>
  <c r="J258" i="6"/>
  <c r="J155" i="6"/>
  <c r="J187" i="6"/>
  <c r="J251" i="6"/>
  <c r="J290" i="6"/>
  <c r="J279" i="6"/>
  <c r="J378" i="6"/>
  <c r="J379" i="6"/>
  <c r="J392" i="6"/>
  <c r="J512" i="6"/>
  <c r="J453" i="6"/>
  <c r="J597" i="6"/>
  <c r="J540" i="6"/>
  <c r="J513" i="6"/>
  <c r="J545" i="6"/>
  <c r="J566" i="6"/>
  <c r="J598" i="6"/>
  <c r="J595" i="6"/>
  <c r="G5" i="1"/>
  <c r="G12" i="5"/>
  <c r="I5" i="1"/>
  <c r="J127" i="5"/>
  <c r="J171" i="5"/>
  <c r="J96" i="5"/>
  <c r="J64" i="5"/>
  <c r="J46" i="5"/>
  <c r="J228" i="5"/>
  <c r="J288" i="5"/>
  <c r="J300" i="5"/>
  <c r="J204" i="5"/>
  <c r="J110" i="5"/>
  <c r="J258" i="5"/>
  <c r="J290" i="5"/>
  <c r="J322" i="5"/>
  <c r="J354" i="5"/>
  <c r="J247" i="5"/>
  <c r="J343" i="5"/>
  <c r="J470" i="5"/>
  <c r="J369" i="5"/>
  <c r="J401" i="5"/>
  <c r="J454" i="5"/>
  <c r="J359" i="5"/>
  <c r="J391" i="5"/>
  <c r="J423" i="5"/>
  <c r="J526" i="5"/>
  <c r="J501" i="5"/>
  <c r="J533" i="5"/>
  <c r="J558" i="5"/>
  <c r="J467" i="5"/>
  <c r="J499" i="5"/>
  <c r="J531" i="5"/>
  <c r="J543" i="5"/>
  <c r="J575" i="5"/>
  <c r="J607" i="5"/>
  <c r="J568" i="5"/>
  <c r="J600" i="5"/>
  <c r="J561" i="5"/>
  <c r="J593" i="5"/>
  <c r="J89" i="6"/>
  <c r="J22" i="6"/>
  <c r="J145" i="6"/>
  <c r="J70" i="6"/>
  <c r="J102" i="6"/>
  <c r="J134" i="6"/>
  <c r="J59" i="6"/>
  <c r="J123" i="6"/>
  <c r="J132" i="6"/>
  <c r="J166" i="6"/>
  <c r="J198" i="6"/>
  <c r="J230" i="6"/>
  <c r="J262" i="6"/>
  <c r="J289" i="6"/>
  <c r="J321" i="6"/>
  <c r="J294" i="6"/>
  <c r="J326" i="6"/>
  <c r="J283" i="6"/>
  <c r="J386" i="6"/>
  <c r="J333" i="6"/>
  <c r="J365" i="6"/>
  <c r="J382" i="6"/>
  <c r="J414" i="6"/>
  <c r="J383" i="6"/>
  <c r="J415" i="6"/>
  <c r="J396" i="6"/>
  <c r="J466" i="6"/>
  <c r="J389" i="6"/>
  <c r="J600" i="6"/>
  <c r="J544" i="6"/>
  <c r="J517" i="6"/>
  <c r="J602" i="6"/>
  <c r="J599" i="6"/>
  <c r="G610" i="6"/>
  <c r="K610" i="6" s="1"/>
  <c r="G606" i="6"/>
  <c r="K606" i="6" s="1"/>
  <c r="G602" i="6"/>
  <c r="K602" i="6" s="1"/>
  <c r="G598" i="6"/>
  <c r="K598" i="6" s="1"/>
  <c r="G594" i="6"/>
  <c r="K594" i="6" s="1"/>
  <c r="G590" i="6"/>
  <c r="K590" i="6" s="1"/>
  <c r="G586" i="6"/>
  <c r="K586" i="6" s="1"/>
  <c r="G582" i="6"/>
  <c r="K582" i="6" s="1"/>
  <c r="G578" i="6"/>
  <c r="K578" i="6" s="1"/>
  <c r="G574" i="6"/>
  <c r="K574" i="6" s="1"/>
  <c r="G609" i="6"/>
  <c r="K609" i="6" s="1"/>
  <c r="G605" i="6"/>
  <c r="K605" i="6" s="1"/>
  <c r="G601" i="6"/>
  <c r="K601" i="6" s="1"/>
  <c r="G597" i="6"/>
  <c r="K597" i="6" s="1"/>
  <c r="G593" i="6"/>
  <c r="K593" i="6" s="1"/>
  <c r="G589" i="6"/>
  <c r="K589" i="6" s="1"/>
  <c r="G585" i="6"/>
  <c r="K585" i="6" s="1"/>
  <c r="G581" i="6"/>
  <c r="K581" i="6" s="1"/>
  <c r="G577" i="6"/>
  <c r="K577" i="6" s="1"/>
  <c r="G573" i="6"/>
  <c r="K573" i="6" s="1"/>
  <c r="G569" i="6"/>
  <c r="K569" i="6" s="1"/>
  <c r="G612" i="6"/>
  <c r="K612" i="6" s="1"/>
  <c r="G611" i="6"/>
  <c r="K611" i="6" s="1"/>
  <c r="G607" i="6"/>
  <c r="K607" i="6" s="1"/>
  <c r="G596" i="6"/>
  <c r="K596" i="6" s="1"/>
  <c r="G580" i="6"/>
  <c r="K580" i="6" s="1"/>
  <c r="G560" i="6"/>
  <c r="K560" i="6" s="1"/>
  <c r="G559" i="6"/>
  <c r="K559" i="6" s="1"/>
  <c r="G558" i="6"/>
  <c r="K558" i="6" s="1"/>
  <c r="G599" i="6"/>
  <c r="K599" i="6" s="1"/>
  <c r="G583" i="6"/>
  <c r="K583" i="6" s="1"/>
  <c r="G561" i="6"/>
  <c r="K561" i="6" s="1"/>
  <c r="G544" i="6"/>
  <c r="K544" i="6" s="1"/>
  <c r="G540" i="6"/>
  <c r="K540" i="6" s="1"/>
  <c r="G536" i="6"/>
  <c r="K536" i="6" s="1"/>
  <c r="G532" i="6"/>
  <c r="K532" i="6" s="1"/>
  <c r="G528" i="6"/>
  <c r="K528" i="6" s="1"/>
  <c r="G524" i="6"/>
  <c r="K524" i="6" s="1"/>
  <c r="G520" i="6"/>
  <c r="K520" i="6" s="1"/>
  <c r="G600" i="6"/>
  <c r="K600" i="6" s="1"/>
  <c r="G584" i="6"/>
  <c r="K584" i="6" s="1"/>
  <c r="G570" i="6"/>
  <c r="K570" i="6" s="1"/>
  <c r="G564" i="6"/>
  <c r="K564" i="6" s="1"/>
  <c r="G563" i="6"/>
  <c r="K563" i="6" s="1"/>
  <c r="G562" i="6"/>
  <c r="K562" i="6" s="1"/>
  <c r="G608" i="6"/>
  <c r="K608" i="6" s="1"/>
  <c r="G603" i="6"/>
  <c r="K603" i="6" s="1"/>
  <c r="G587" i="6"/>
  <c r="K587" i="6" s="1"/>
  <c r="G571" i="6"/>
  <c r="K571" i="6" s="1"/>
  <c r="G565" i="6"/>
  <c r="K565" i="6" s="1"/>
  <c r="G543" i="6"/>
  <c r="K543" i="6" s="1"/>
  <c r="G539" i="6"/>
  <c r="K539" i="6" s="1"/>
  <c r="G535" i="6"/>
  <c r="K535" i="6" s="1"/>
  <c r="G531" i="6"/>
  <c r="K531" i="6" s="1"/>
  <c r="G527" i="6"/>
  <c r="K527" i="6" s="1"/>
  <c r="G523" i="6"/>
  <c r="K523" i="6" s="1"/>
  <c r="G519" i="6"/>
  <c r="K519" i="6" s="1"/>
  <c r="G604" i="6"/>
  <c r="K604" i="6" s="1"/>
  <c r="G588" i="6"/>
  <c r="K588" i="6" s="1"/>
  <c r="G572" i="6"/>
  <c r="K572" i="6" s="1"/>
  <c r="G567" i="6"/>
  <c r="K567" i="6" s="1"/>
  <c r="G566" i="6"/>
  <c r="K566" i="6" s="1"/>
  <c r="G552" i="6"/>
  <c r="K552" i="6" s="1"/>
  <c r="G551" i="6"/>
  <c r="K551" i="6" s="1"/>
  <c r="G550" i="6"/>
  <c r="K550" i="6" s="1"/>
  <c r="G549" i="6"/>
  <c r="K549" i="6" s="1"/>
  <c r="G591" i="6"/>
  <c r="K591" i="6" s="1"/>
  <c r="G575" i="6"/>
  <c r="K575" i="6" s="1"/>
  <c r="G568" i="6"/>
  <c r="K568" i="6" s="1"/>
  <c r="G553" i="6"/>
  <c r="K553" i="6" s="1"/>
  <c r="G548" i="6"/>
  <c r="K548" i="6" s="1"/>
  <c r="G542" i="6"/>
  <c r="K542" i="6" s="1"/>
  <c r="G538" i="6"/>
  <c r="K538" i="6" s="1"/>
  <c r="G534" i="6"/>
  <c r="K534" i="6" s="1"/>
  <c r="G530" i="6"/>
  <c r="K530" i="6" s="1"/>
  <c r="G526" i="6"/>
  <c r="K526" i="6" s="1"/>
  <c r="G522" i="6"/>
  <c r="K522" i="6" s="1"/>
  <c r="G595" i="6"/>
  <c r="K595" i="6" s="1"/>
  <c r="G579" i="6"/>
  <c r="K579" i="6" s="1"/>
  <c r="G537" i="6"/>
  <c r="K537" i="6" s="1"/>
  <c r="G515" i="6"/>
  <c r="K515" i="6" s="1"/>
  <c r="G509" i="6"/>
  <c r="K509" i="6" s="1"/>
  <c r="G505" i="6"/>
  <c r="K505" i="6" s="1"/>
  <c r="G501" i="6"/>
  <c r="K501" i="6" s="1"/>
  <c r="G497" i="6"/>
  <c r="K497" i="6" s="1"/>
  <c r="G493" i="6"/>
  <c r="K493" i="6" s="1"/>
  <c r="G489" i="6"/>
  <c r="K489" i="6" s="1"/>
  <c r="G485" i="6"/>
  <c r="K485" i="6" s="1"/>
  <c r="G481" i="6"/>
  <c r="K481" i="6" s="1"/>
  <c r="G477" i="6"/>
  <c r="K477" i="6" s="1"/>
  <c r="G473" i="6"/>
  <c r="K473" i="6" s="1"/>
  <c r="G555" i="6"/>
  <c r="K555" i="6" s="1"/>
  <c r="G529" i="6"/>
  <c r="K529" i="6" s="1"/>
  <c r="G516" i="6"/>
  <c r="K516" i="6" s="1"/>
  <c r="G508" i="6"/>
  <c r="K508" i="6" s="1"/>
  <c r="G504" i="6"/>
  <c r="K504" i="6" s="1"/>
  <c r="G500" i="6"/>
  <c r="K500" i="6" s="1"/>
  <c r="G496" i="6"/>
  <c r="K496" i="6" s="1"/>
  <c r="G492" i="6"/>
  <c r="K492" i="6" s="1"/>
  <c r="G488" i="6"/>
  <c r="K488" i="6" s="1"/>
  <c r="G484" i="6"/>
  <c r="K484" i="6" s="1"/>
  <c r="G480" i="6"/>
  <c r="K480" i="6" s="1"/>
  <c r="G476" i="6"/>
  <c r="K476" i="6" s="1"/>
  <c r="G472" i="6"/>
  <c r="K472" i="6" s="1"/>
  <c r="G592" i="6"/>
  <c r="K592" i="6" s="1"/>
  <c r="G546" i="6"/>
  <c r="K546" i="6" s="1"/>
  <c r="G541" i="6"/>
  <c r="K541" i="6" s="1"/>
  <c r="G512" i="6"/>
  <c r="K512" i="6" s="1"/>
  <c r="G557" i="6"/>
  <c r="K557" i="6" s="1"/>
  <c r="G554" i="6"/>
  <c r="K554" i="6" s="1"/>
  <c r="G521" i="6"/>
  <c r="K521" i="6" s="1"/>
  <c r="G517" i="6"/>
  <c r="K517" i="6" s="1"/>
  <c r="G511" i="6"/>
  <c r="K511" i="6" s="1"/>
  <c r="G507" i="6"/>
  <c r="K507" i="6" s="1"/>
  <c r="G503" i="6"/>
  <c r="K503" i="6" s="1"/>
  <c r="G499" i="6"/>
  <c r="K499" i="6" s="1"/>
  <c r="G495" i="6"/>
  <c r="K495" i="6" s="1"/>
  <c r="G491" i="6"/>
  <c r="K491" i="6" s="1"/>
  <c r="G487" i="6"/>
  <c r="K487" i="6" s="1"/>
  <c r="G483" i="6"/>
  <c r="K483" i="6" s="1"/>
  <c r="G479" i="6"/>
  <c r="K479" i="6" s="1"/>
  <c r="G475" i="6"/>
  <c r="K475" i="6" s="1"/>
  <c r="G471" i="6"/>
  <c r="K471" i="6" s="1"/>
  <c r="G547" i="6"/>
  <c r="K547" i="6" s="1"/>
  <c r="G525" i="6"/>
  <c r="K525" i="6" s="1"/>
  <c r="G514" i="6"/>
  <c r="K514" i="6" s="1"/>
  <c r="G506" i="6"/>
  <c r="K506" i="6" s="1"/>
  <c r="G474" i="6"/>
  <c r="K474" i="6" s="1"/>
  <c r="G468" i="6"/>
  <c r="K468" i="6" s="1"/>
  <c r="G465" i="6"/>
  <c r="K465" i="6" s="1"/>
  <c r="G461" i="6"/>
  <c r="K461" i="6" s="1"/>
  <c r="G457" i="6"/>
  <c r="K457" i="6" s="1"/>
  <c r="G453" i="6"/>
  <c r="K453" i="6" s="1"/>
  <c r="G449" i="6"/>
  <c r="K449" i="6" s="1"/>
  <c r="G445" i="6"/>
  <c r="K445" i="6" s="1"/>
  <c r="G441" i="6"/>
  <c r="K441" i="6" s="1"/>
  <c r="G437" i="6"/>
  <c r="K437" i="6" s="1"/>
  <c r="G433" i="6"/>
  <c r="K433" i="6" s="1"/>
  <c r="G429" i="6"/>
  <c r="K429" i="6" s="1"/>
  <c r="G576" i="6"/>
  <c r="K576" i="6" s="1"/>
  <c r="G533" i="6"/>
  <c r="K533" i="6" s="1"/>
  <c r="G486" i="6"/>
  <c r="K486" i="6" s="1"/>
  <c r="G510" i="6"/>
  <c r="K510" i="6" s="1"/>
  <c r="G478" i="6"/>
  <c r="K478" i="6" s="1"/>
  <c r="G502" i="6"/>
  <c r="K502" i="6" s="1"/>
  <c r="G470" i="6"/>
  <c r="K470" i="6" s="1"/>
  <c r="G556" i="6"/>
  <c r="K556" i="6" s="1"/>
  <c r="G545" i="6"/>
  <c r="K545" i="6" s="1"/>
  <c r="G482" i="6"/>
  <c r="K482" i="6" s="1"/>
  <c r="G467" i="6"/>
  <c r="K467" i="6" s="1"/>
  <c r="G462" i="6"/>
  <c r="K462" i="6" s="1"/>
  <c r="G458" i="6"/>
  <c r="K458" i="6" s="1"/>
  <c r="G454" i="6"/>
  <c r="K454" i="6" s="1"/>
  <c r="G450" i="6"/>
  <c r="K450" i="6" s="1"/>
  <c r="G446" i="6"/>
  <c r="K446" i="6" s="1"/>
  <c r="G442" i="6"/>
  <c r="K442" i="6" s="1"/>
  <c r="G438" i="6"/>
  <c r="K438" i="6" s="1"/>
  <c r="G434" i="6"/>
  <c r="K434" i="6" s="1"/>
  <c r="G430" i="6"/>
  <c r="K430" i="6" s="1"/>
  <c r="G469" i="6"/>
  <c r="K469" i="6" s="1"/>
  <c r="G455" i="6"/>
  <c r="K455" i="6" s="1"/>
  <c r="G436" i="6"/>
  <c r="K436" i="6" s="1"/>
  <c r="G466" i="6"/>
  <c r="K466" i="6" s="1"/>
  <c r="G464" i="6"/>
  <c r="K464" i="6" s="1"/>
  <c r="G451" i="6"/>
  <c r="K451" i="6" s="1"/>
  <c r="G432" i="6"/>
  <c r="K432" i="6" s="1"/>
  <c r="G419" i="6"/>
  <c r="K419" i="6" s="1"/>
  <c r="G415" i="6"/>
  <c r="K415" i="6" s="1"/>
  <c r="G411" i="6"/>
  <c r="K411" i="6" s="1"/>
  <c r="G407" i="6"/>
  <c r="K407" i="6" s="1"/>
  <c r="G403" i="6"/>
  <c r="K403" i="6" s="1"/>
  <c r="G399" i="6"/>
  <c r="K399" i="6" s="1"/>
  <c r="G395" i="6"/>
  <c r="K395" i="6" s="1"/>
  <c r="G391" i="6"/>
  <c r="K391" i="6" s="1"/>
  <c r="G387" i="6"/>
  <c r="K387" i="6" s="1"/>
  <c r="G460" i="6"/>
  <c r="K460" i="6" s="1"/>
  <c r="G447" i="6"/>
  <c r="K447" i="6" s="1"/>
  <c r="G428" i="6"/>
  <c r="K428" i="6" s="1"/>
  <c r="G423" i="6"/>
  <c r="K423" i="6" s="1"/>
  <c r="G490" i="6"/>
  <c r="K490" i="6" s="1"/>
  <c r="G456" i="6"/>
  <c r="K456" i="6" s="1"/>
  <c r="G443" i="6"/>
  <c r="K443" i="6" s="1"/>
  <c r="G424" i="6"/>
  <c r="K424" i="6" s="1"/>
  <c r="G422" i="6"/>
  <c r="K422" i="6" s="1"/>
  <c r="G418" i="6"/>
  <c r="K418" i="6" s="1"/>
  <c r="G414" i="6"/>
  <c r="K414" i="6" s="1"/>
  <c r="G410" i="6"/>
  <c r="K410" i="6" s="1"/>
  <c r="G406" i="6"/>
  <c r="K406" i="6" s="1"/>
  <c r="G402" i="6"/>
  <c r="K402" i="6" s="1"/>
  <c r="G398" i="6"/>
  <c r="K398" i="6" s="1"/>
  <c r="G394" i="6"/>
  <c r="K394" i="6" s="1"/>
  <c r="G498" i="6"/>
  <c r="K498" i="6" s="1"/>
  <c r="G494" i="6"/>
  <c r="K494" i="6" s="1"/>
  <c r="G452" i="6"/>
  <c r="K452" i="6" s="1"/>
  <c r="G439" i="6"/>
  <c r="K439" i="6" s="1"/>
  <c r="G425" i="6"/>
  <c r="K425" i="6" s="1"/>
  <c r="G448" i="6"/>
  <c r="K448" i="6" s="1"/>
  <c r="G435" i="6"/>
  <c r="K435" i="6" s="1"/>
  <c r="G426" i="6"/>
  <c r="K426" i="6" s="1"/>
  <c r="G421" i="6"/>
  <c r="K421" i="6" s="1"/>
  <c r="G417" i="6"/>
  <c r="K417" i="6" s="1"/>
  <c r="G413" i="6"/>
  <c r="K413" i="6" s="1"/>
  <c r="G409" i="6"/>
  <c r="K409" i="6" s="1"/>
  <c r="G405" i="6"/>
  <c r="K405" i="6" s="1"/>
  <c r="G401" i="6"/>
  <c r="K401" i="6" s="1"/>
  <c r="G397" i="6"/>
  <c r="K397" i="6" s="1"/>
  <c r="G463" i="6"/>
  <c r="K463" i="6" s="1"/>
  <c r="G444" i="6"/>
  <c r="K444" i="6" s="1"/>
  <c r="G431" i="6"/>
  <c r="K431" i="6" s="1"/>
  <c r="G427" i="6"/>
  <c r="K427" i="6" s="1"/>
  <c r="G384" i="6"/>
  <c r="K384" i="6" s="1"/>
  <c r="G372" i="6"/>
  <c r="K372" i="6" s="1"/>
  <c r="G368" i="6"/>
  <c r="K368" i="6" s="1"/>
  <c r="G364" i="6"/>
  <c r="K364" i="6" s="1"/>
  <c r="G360" i="6"/>
  <c r="K360" i="6" s="1"/>
  <c r="G356" i="6"/>
  <c r="K356" i="6" s="1"/>
  <c r="G352" i="6"/>
  <c r="K352" i="6" s="1"/>
  <c r="G348" i="6"/>
  <c r="K348" i="6" s="1"/>
  <c r="G344" i="6"/>
  <c r="K344" i="6" s="1"/>
  <c r="G390" i="6"/>
  <c r="K390" i="6" s="1"/>
  <c r="G385" i="6"/>
  <c r="K385" i="6" s="1"/>
  <c r="G392" i="6"/>
  <c r="K392" i="6" s="1"/>
  <c r="G388" i="6"/>
  <c r="K388" i="6" s="1"/>
  <c r="G371" i="6"/>
  <c r="K371" i="6" s="1"/>
  <c r="G367" i="6"/>
  <c r="K367" i="6" s="1"/>
  <c r="G363" i="6"/>
  <c r="K363" i="6" s="1"/>
  <c r="G359" i="6"/>
  <c r="K359" i="6" s="1"/>
  <c r="G355" i="6"/>
  <c r="K355" i="6" s="1"/>
  <c r="G351" i="6"/>
  <c r="K351" i="6" s="1"/>
  <c r="G347" i="6"/>
  <c r="K347" i="6" s="1"/>
  <c r="G343" i="6"/>
  <c r="K343" i="6" s="1"/>
  <c r="G339" i="6"/>
  <c r="K339" i="6" s="1"/>
  <c r="G459" i="6"/>
  <c r="K459" i="6" s="1"/>
  <c r="G386" i="6"/>
  <c r="K386" i="6" s="1"/>
  <c r="G379" i="6"/>
  <c r="K379" i="6" s="1"/>
  <c r="G378" i="6"/>
  <c r="K378" i="6" s="1"/>
  <c r="G377" i="6"/>
  <c r="K377" i="6" s="1"/>
  <c r="G513" i="6"/>
  <c r="K513" i="6" s="1"/>
  <c r="G381" i="6"/>
  <c r="K381" i="6" s="1"/>
  <c r="G380" i="6"/>
  <c r="K380" i="6" s="1"/>
  <c r="G376" i="6"/>
  <c r="K376" i="6" s="1"/>
  <c r="G375" i="6"/>
  <c r="K375" i="6" s="1"/>
  <c r="G370" i="6"/>
  <c r="K370" i="6" s="1"/>
  <c r="G366" i="6"/>
  <c r="K366" i="6" s="1"/>
  <c r="G362" i="6"/>
  <c r="K362" i="6" s="1"/>
  <c r="G358" i="6"/>
  <c r="K358" i="6" s="1"/>
  <c r="G354" i="6"/>
  <c r="K354" i="6" s="1"/>
  <c r="G350" i="6"/>
  <c r="K350" i="6" s="1"/>
  <c r="G346" i="6"/>
  <c r="K346" i="6" s="1"/>
  <c r="G342" i="6"/>
  <c r="K342" i="6" s="1"/>
  <c r="G338" i="6"/>
  <c r="K338" i="6" s="1"/>
  <c r="G420" i="6"/>
  <c r="K420" i="6" s="1"/>
  <c r="G416" i="6"/>
  <c r="K416" i="6" s="1"/>
  <c r="G412" i="6"/>
  <c r="K412" i="6" s="1"/>
  <c r="G408" i="6"/>
  <c r="K408" i="6" s="1"/>
  <c r="G404" i="6"/>
  <c r="K404" i="6" s="1"/>
  <c r="G400" i="6"/>
  <c r="K400" i="6" s="1"/>
  <c r="G396" i="6"/>
  <c r="K396" i="6" s="1"/>
  <c r="G393" i="6"/>
  <c r="K393" i="6" s="1"/>
  <c r="G389" i="6"/>
  <c r="K389" i="6" s="1"/>
  <c r="G382" i="6"/>
  <c r="K382" i="6" s="1"/>
  <c r="G374" i="6"/>
  <c r="K374" i="6" s="1"/>
  <c r="G331" i="6"/>
  <c r="K331" i="6" s="1"/>
  <c r="G327" i="6"/>
  <c r="K327" i="6" s="1"/>
  <c r="G326" i="6"/>
  <c r="K326" i="6" s="1"/>
  <c r="G322" i="6"/>
  <c r="K322" i="6" s="1"/>
  <c r="G318" i="6"/>
  <c r="K318" i="6" s="1"/>
  <c r="G314" i="6"/>
  <c r="K314" i="6" s="1"/>
  <c r="G310" i="6"/>
  <c r="K310" i="6" s="1"/>
  <c r="G306" i="6"/>
  <c r="K306" i="6" s="1"/>
  <c r="G302" i="6"/>
  <c r="K302" i="6" s="1"/>
  <c r="G298" i="6"/>
  <c r="K298" i="6" s="1"/>
  <c r="G294" i="6"/>
  <c r="K294" i="6" s="1"/>
  <c r="G290" i="6"/>
  <c r="K290" i="6" s="1"/>
  <c r="G286" i="6"/>
  <c r="K286" i="6" s="1"/>
  <c r="G282" i="6"/>
  <c r="K282" i="6" s="1"/>
  <c r="G278" i="6"/>
  <c r="K278" i="6" s="1"/>
  <c r="G274" i="6"/>
  <c r="K274" i="6" s="1"/>
  <c r="G270" i="6"/>
  <c r="K270" i="6" s="1"/>
  <c r="G334" i="6"/>
  <c r="K334" i="6" s="1"/>
  <c r="G328" i="6"/>
  <c r="K328" i="6" s="1"/>
  <c r="G340" i="6"/>
  <c r="K340" i="6" s="1"/>
  <c r="G337" i="6"/>
  <c r="K337" i="6" s="1"/>
  <c r="G325" i="6"/>
  <c r="K325" i="6" s="1"/>
  <c r="G321" i="6"/>
  <c r="K321" i="6" s="1"/>
  <c r="G317" i="6"/>
  <c r="K317" i="6" s="1"/>
  <c r="G313" i="6"/>
  <c r="K313" i="6" s="1"/>
  <c r="G309" i="6"/>
  <c r="K309" i="6" s="1"/>
  <c r="G305" i="6"/>
  <c r="K305" i="6" s="1"/>
  <c r="G301" i="6"/>
  <c r="K301" i="6" s="1"/>
  <c r="G297" i="6"/>
  <c r="K297" i="6" s="1"/>
  <c r="G293" i="6"/>
  <c r="K293" i="6" s="1"/>
  <c r="G289" i="6"/>
  <c r="K289" i="6" s="1"/>
  <c r="G285" i="6"/>
  <c r="K285" i="6" s="1"/>
  <c r="G281" i="6"/>
  <c r="K281" i="6" s="1"/>
  <c r="G277" i="6"/>
  <c r="K277" i="6" s="1"/>
  <c r="G273" i="6"/>
  <c r="K273" i="6" s="1"/>
  <c r="G269" i="6"/>
  <c r="K269" i="6" s="1"/>
  <c r="G332" i="6"/>
  <c r="K332" i="6" s="1"/>
  <c r="G329" i="6"/>
  <c r="K329" i="6" s="1"/>
  <c r="G335" i="6"/>
  <c r="K335" i="6" s="1"/>
  <c r="G324" i="6"/>
  <c r="K324" i="6" s="1"/>
  <c r="G320" i="6"/>
  <c r="K320" i="6" s="1"/>
  <c r="G316" i="6"/>
  <c r="K316" i="6" s="1"/>
  <c r="G312" i="6"/>
  <c r="K312" i="6" s="1"/>
  <c r="G308" i="6"/>
  <c r="K308" i="6" s="1"/>
  <c r="G304" i="6"/>
  <c r="K304" i="6" s="1"/>
  <c r="G300" i="6"/>
  <c r="K300" i="6" s="1"/>
  <c r="G296" i="6"/>
  <c r="K296" i="6" s="1"/>
  <c r="G292" i="6"/>
  <c r="K292" i="6" s="1"/>
  <c r="G288" i="6"/>
  <c r="K288" i="6" s="1"/>
  <c r="G284" i="6"/>
  <c r="K284" i="6" s="1"/>
  <c r="G280" i="6"/>
  <c r="K280" i="6" s="1"/>
  <c r="G276" i="6"/>
  <c r="K276" i="6" s="1"/>
  <c r="G272" i="6"/>
  <c r="K272" i="6" s="1"/>
  <c r="G383" i="6"/>
  <c r="K383" i="6" s="1"/>
  <c r="G330" i="6"/>
  <c r="K330" i="6" s="1"/>
  <c r="G518" i="6"/>
  <c r="K518" i="6" s="1"/>
  <c r="G440" i="6"/>
  <c r="K440" i="6" s="1"/>
  <c r="G373" i="6"/>
  <c r="K373" i="6" s="1"/>
  <c r="G369" i="6"/>
  <c r="K369" i="6" s="1"/>
  <c r="G365" i="6"/>
  <c r="K365" i="6" s="1"/>
  <c r="G361" i="6"/>
  <c r="K361" i="6" s="1"/>
  <c r="G357" i="6"/>
  <c r="K357" i="6" s="1"/>
  <c r="G353" i="6"/>
  <c r="K353" i="6" s="1"/>
  <c r="G349" i="6"/>
  <c r="K349" i="6" s="1"/>
  <c r="G345" i="6"/>
  <c r="K345" i="6" s="1"/>
  <c r="G341" i="6"/>
  <c r="K341" i="6" s="1"/>
  <c r="G333" i="6"/>
  <c r="K333" i="6" s="1"/>
  <c r="G323" i="6"/>
  <c r="K323" i="6" s="1"/>
  <c r="G319" i="6"/>
  <c r="K319" i="6" s="1"/>
  <c r="G315" i="6"/>
  <c r="K315" i="6" s="1"/>
  <c r="G311" i="6"/>
  <c r="K311" i="6" s="1"/>
  <c r="G307" i="6"/>
  <c r="K307" i="6" s="1"/>
  <c r="G303" i="6"/>
  <c r="K303" i="6" s="1"/>
  <c r="G299" i="6"/>
  <c r="K299" i="6" s="1"/>
  <c r="G295" i="6"/>
  <c r="K295" i="6" s="1"/>
  <c r="G291" i="6"/>
  <c r="K291" i="6" s="1"/>
  <c r="G287" i="6"/>
  <c r="K287" i="6" s="1"/>
  <c r="G283" i="6"/>
  <c r="K283" i="6" s="1"/>
  <c r="G279" i="6"/>
  <c r="K279" i="6" s="1"/>
  <c r="G275" i="6"/>
  <c r="K275" i="6" s="1"/>
  <c r="G336" i="6"/>
  <c r="K336" i="6" s="1"/>
  <c r="G266" i="6"/>
  <c r="K266" i="6" s="1"/>
  <c r="G267" i="6"/>
  <c r="K267" i="6" s="1"/>
  <c r="G265" i="6"/>
  <c r="K265" i="6" s="1"/>
  <c r="G261" i="6"/>
  <c r="K261" i="6" s="1"/>
  <c r="G257" i="6"/>
  <c r="K257" i="6" s="1"/>
  <c r="G253" i="6"/>
  <c r="K253" i="6" s="1"/>
  <c r="G249" i="6"/>
  <c r="K249" i="6" s="1"/>
  <c r="G245" i="6"/>
  <c r="K245" i="6" s="1"/>
  <c r="G241" i="6"/>
  <c r="K241" i="6" s="1"/>
  <c r="G237" i="6"/>
  <c r="K237" i="6" s="1"/>
  <c r="G233" i="6"/>
  <c r="K233" i="6" s="1"/>
  <c r="G229" i="6"/>
  <c r="K229" i="6" s="1"/>
  <c r="G225" i="6"/>
  <c r="K225" i="6" s="1"/>
  <c r="G221" i="6"/>
  <c r="K221" i="6" s="1"/>
  <c r="G217" i="6"/>
  <c r="K217" i="6" s="1"/>
  <c r="G213" i="6"/>
  <c r="K213" i="6" s="1"/>
  <c r="G209" i="6"/>
  <c r="K209" i="6" s="1"/>
  <c r="G205" i="6"/>
  <c r="K205" i="6" s="1"/>
  <c r="G201" i="6"/>
  <c r="K201" i="6" s="1"/>
  <c r="G197" i="6"/>
  <c r="K197" i="6" s="1"/>
  <c r="G193" i="6"/>
  <c r="K193" i="6" s="1"/>
  <c r="G189" i="6"/>
  <c r="K189" i="6" s="1"/>
  <c r="G185" i="6"/>
  <c r="K185" i="6" s="1"/>
  <c r="G181" i="6"/>
  <c r="K181" i="6" s="1"/>
  <c r="G177" i="6"/>
  <c r="K177" i="6" s="1"/>
  <c r="G173" i="6"/>
  <c r="K173" i="6" s="1"/>
  <c r="G268" i="6"/>
  <c r="K268" i="6" s="1"/>
  <c r="G271" i="6"/>
  <c r="K271" i="6" s="1"/>
  <c r="G264" i="6"/>
  <c r="K264" i="6" s="1"/>
  <c r="G260" i="6"/>
  <c r="K260" i="6" s="1"/>
  <c r="G256" i="6"/>
  <c r="K256" i="6" s="1"/>
  <c r="G252" i="6"/>
  <c r="K252" i="6" s="1"/>
  <c r="G248" i="6"/>
  <c r="K248" i="6" s="1"/>
  <c r="G244" i="6"/>
  <c r="K244" i="6" s="1"/>
  <c r="G240" i="6"/>
  <c r="K240" i="6" s="1"/>
  <c r="G236" i="6"/>
  <c r="K236" i="6" s="1"/>
  <c r="G232" i="6"/>
  <c r="K232" i="6" s="1"/>
  <c r="G228" i="6"/>
  <c r="K228" i="6" s="1"/>
  <c r="G224" i="6"/>
  <c r="K224" i="6" s="1"/>
  <c r="G220" i="6"/>
  <c r="K220" i="6" s="1"/>
  <c r="G216" i="6"/>
  <c r="K216" i="6" s="1"/>
  <c r="G212" i="6"/>
  <c r="K212" i="6" s="1"/>
  <c r="G208" i="6"/>
  <c r="K208" i="6" s="1"/>
  <c r="G204" i="6"/>
  <c r="K204" i="6" s="1"/>
  <c r="G200" i="6"/>
  <c r="K200" i="6" s="1"/>
  <c r="G196" i="6"/>
  <c r="K196" i="6" s="1"/>
  <c r="G192" i="6"/>
  <c r="K192" i="6" s="1"/>
  <c r="G188" i="6"/>
  <c r="K188" i="6" s="1"/>
  <c r="G184" i="6"/>
  <c r="K184" i="6" s="1"/>
  <c r="G180" i="6"/>
  <c r="K180" i="6" s="1"/>
  <c r="G176" i="6"/>
  <c r="K176" i="6" s="1"/>
  <c r="G172" i="6"/>
  <c r="K172" i="6" s="1"/>
  <c r="G263" i="6"/>
  <c r="K263" i="6" s="1"/>
  <c r="G259" i="6"/>
  <c r="K259" i="6" s="1"/>
  <c r="G255" i="6"/>
  <c r="K255" i="6" s="1"/>
  <c r="G251" i="6"/>
  <c r="K251" i="6" s="1"/>
  <c r="G247" i="6"/>
  <c r="K247" i="6" s="1"/>
  <c r="G243" i="6"/>
  <c r="K243" i="6" s="1"/>
  <c r="G239" i="6"/>
  <c r="K239" i="6" s="1"/>
  <c r="G235" i="6"/>
  <c r="K235" i="6" s="1"/>
  <c r="G231" i="6"/>
  <c r="K231" i="6" s="1"/>
  <c r="G227" i="6"/>
  <c r="K227" i="6" s="1"/>
  <c r="G223" i="6"/>
  <c r="K223" i="6" s="1"/>
  <c r="G219" i="6"/>
  <c r="K219" i="6" s="1"/>
  <c r="G215" i="6"/>
  <c r="K215" i="6" s="1"/>
  <c r="G211" i="6"/>
  <c r="K211" i="6" s="1"/>
  <c r="G207" i="6"/>
  <c r="K207" i="6" s="1"/>
  <c r="G203" i="6"/>
  <c r="K203" i="6" s="1"/>
  <c r="G199" i="6"/>
  <c r="K199" i="6" s="1"/>
  <c r="G195" i="6"/>
  <c r="K195" i="6" s="1"/>
  <c r="G191" i="6"/>
  <c r="K191" i="6" s="1"/>
  <c r="G187" i="6"/>
  <c r="K187" i="6" s="1"/>
  <c r="G183" i="6"/>
  <c r="K183" i="6" s="1"/>
  <c r="G179" i="6"/>
  <c r="K179" i="6" s="1"/>
  <c r="G175" i="6"/>
  <c r="K175" i="6" s="1"/>
  <c r="G171" i="6"/>
  <c r="K171" i="6" s="1"/>
  <c r="G167" i="6"/>
  <c r="K167" i="6" s="1"/>
  <c r="G159" i="6"/>
  <c r="K159" i="6" s="1"/>
  <c r="G148" i="6"/>
  <c r="K148" i="6" s="1"/>
  <c r="G147" i="6"/>
  <c r="K147" i="6" s="1"/>
  <c r="G143" i="6"/>
  <c r="K143" i="6" s="1"/>
  <c r="G139" i="6"/>
  <c r="K139" i="6" s="1"/>
  <c r="G135" i="6"/>
  <c r="K135" i="6" s="1"/>
  <c r="G131" i="6"/>
  <c r="K131" i="6" s="1"/>
  <c r="G127" i="6"/>
  <c r="K127" i="6" s="1"/>
  <c r="G123" i="6"/>
  <c r="K123" i="6" s="1"/>
  <c r="G119" i="6"/>
  <c r="K119" i="6" s="1"/>
  <c r="G115" i="6"/>
  <c r="K115" i="6" s="1"/>
  <c r="G111" i="6"/>
  <c r="K111" i="6" s="1"/>
  <c r="G107" i="6"/>
  <c r="K107" i="6" s="1"/>
  <c r="G103" i="6"/>
  <c r="K103" i="6" s="1"/>
  <c r="G99" i="6"/>
  <c r="K99" i="6" s="1"/>
  <c r="G95" i="6"/>
  <c r="K95" i="6" s="1"/>
  <c r="G91" i="6"/>
  <c r="K91" i="6" s="1"/>
  <c r="G87" i="6"/>
  <c r="K87" i="6" s="1"/>
  <c r="G83" i="6"/>
  <c r="K83" i="6" s="1"/>
  <c r="G79" i="6"/>
  <c r="K79" i="6" s="1"/>
  <c r="G75" i="6"/>
  <c r="K75" i="6" s="1"/>
  <c r="G71" i="6"/>
  <c r="K71" i="6" s="1"/>
  <c r="G67" i="6"/>
  <c r="K67" i="6" s="1"/>
  <c r="G170" i="6"/>
  <c r="K170" i="6" s="1"/>
  <c r="G162" i="6"/>
  <c r="K162" i="6" s="1"/>
  <c r="G154" i="6"/>
  <c r="K154" i="6" s="1"/>
  <c r="G149" i="6"/>
  <c r="K149" i="6" s="1"/>
  <c r="G165" i="6"/>
  <c r="K165" i="6" s="1"/>
  <c r="G157" i="6"/>
  <c r="K157" i="6" s="1"/>
  <c r="G151" i="6"/>
  <c r="K151" i="6" s="1"/>
  <c r="G150" i="6"/>
  <c r="K150" i="6" s="1"/>
  <c r="G146" i="6"/>
  <c r="K146" i="6" s="1"/>
  <c r="G142" i="6"/>
  <c r="K142" i="6" s="1"/>
  <c r="G138" i="6"/>
  <c r="K138" i="6" s="1"/>
  <c r="G134" i="6"/>
  <c r="K134" i="6" s="1"/>
  <c r="G130" i="6"/>
  <c r="K130" i="6" s="1"/>
  <c r="G126" i="6"/>
  <c r="K126" i="6" s="1"/>
  <c r="G122" i="6"/>
  <c r="K122" i="6" s="1"/>
  <c r="G118" i="6"/>
  <c r="K118" i="6" s="1"/>
  <c r="G114" i="6"/>
  <c r="K114" i="6" s="1"/>
  <c r="G110" i="6"/>
  <c r="K110" i="6" s="1"/>
  <c r="G106" i="6"/>
  <c r="K106" i="6" s="1"/>
  <c r="G102" i="6"/>
  <c r="K102" i="6" s="1"/>
  <c r="G98" i="6"/>
  <c r="K98" i="6" s="1"/>
  <c r="G94" i="6"/>
  <c r="K94" i="6" s="1"/>
  <c r="G90" i="6"/>
  <c r="K90" i="6" s="1"/>
  <c r="G86" i="6"/>
  <c r="K86" i="6" s="1"/>
  <c r="G82" i="6"/>
  <c r="K82" i="6" s="1"/>
  <c r="G78" i="6"/>
  <c r="K78" i="6" s="1"/>
  <c r="G74" i="6"/>
  <c r="K74" i="6" s="1"/>
  <c r="G168" i="6"/>
  <c r="K168" i="6" s="1"/>
  <c r="G160" i="6"/>
  <c r="K160" i="6" s="1"/>
  <c r="G163" i="6"/>
  <c r="K163" i="6" s="1"/>
  <c r="G155" i="6"/>
  <c r="K155" i="6" s="1"/>
  <c r="G152" i="6"/>
  <c r="K152" i="6" s="1"/>
  <c r="G145" i="6"/>
  <c r="K145" i="6" s="1"/>
  <c r="G141" i="6"/>
  <c r="K141" i="6" s="1"/>
  <c r="G137" i="6"/>
  <c r="K137" i="6" s="1"/>
  <c r="G133" i="6"/>
  <c r="K133" i="6" s="1"/>
  <c r="G129" i="6"/>
  <c r="K129" i="6" s="1"/>
  <c r="G125" i="6"/>
  <c r="K125" i="6" s="1"/>
  <c r="G121" i="6"/>
  <c r="K121" i="6" s="1"/>
  <c r="G117" i="6"/>
  <c r="K117" i="6" s="1"/>
  <c r="G113" i="6"/>
  <c r="K113" i="6" s="1"/>
  <c r="G109" i="6"/>
  <c r="K109" i="6" s="1"/>
  <c r="G105" i="6"/>
  <c r="K105" i="6" s="1"/>
  <c r="G101" i="6"/>
  <c r="K101" i="6" s="1"/>
  <c r="G97" i="6"/>
  <c r="K97" i="6" s="1"/>
  <c r="G93" i="6"/>
  <c r="K93" i="6" s="1"/>
  <c r="G89" i="6"/>
  <c r="K89" i="6" s="1"/>
  <c r="G85" i="6"/>
  <c r="K85" i="6" s="1"/>
  <c r="G166" i="6"/>
  <c r="K166" i="6" s="1"/>
  <c r="G158" i="6"/>
  <c r="K158" i="6" s="1"/>
  <c r="G169" i="6"/>
  <c r="K169" i="6" s="1"/>
  <c r="G161" i="6"/>
  <c r="K161" i="6" s="1"/>
  <c r="G153" i="6"/>
  <c r="K153" i="6" s="1"/>
  <c r="G144" i="6"/>
  <c r="K144" i="6" s="1"/>
  <c r="G140" i="6"/>
  <c r="K140" i="6" s="1"/>
  <c r="G136" i="6"/>
  <c r="K136" i="6" s="1"/>
  <c r="G132" i="6"/>
  <c r="K132" i="6" s="1"/>
  <c r="G128" i="6"/>
  <c r="K128" i="6" s="1"/>
  <c r="G124" i="6"/>
  <c r="K124" i="6" s="1"/>
  <c r="G120" i="6"/>
  <c r="K120" i="6" s="1"/>
  <c r="G116" i="6"/>
  <c r="K116" i="6" s="1"/>
  <c r="G112" i="6"/>
  <c r="K112" i="6" s="1"/>
  <c r="G108" i="6"/>
  <c r="K108" i="6" s="1"/>
  <c r="G104" i="6"/>
  <c r="K104" i="6" s="1"/>
  <c r="G100" i="6"/>
  <c r="K100" i="6" s="1"/>
  <c r="G96" i="6"/>
  <c r="K96" i="6" s="1"/>
  <c r="G92" i="6"/>
  <c r="K92" i="6" s="1"/>
  <c r="G88" i="6"/>
  <c r="K88" i="6" s="1"/>
  <c r="G84" i="6"/>
  <c r="K84" i="6" s="1"/>
  <c r="G80" i="6"/>
  <c r="K80" i="6" s="1"/>
  <c r="G76" i="6"/>
  <c r="K76" i="6" s="1"/>
  <c r="G72" i="6"/>
  <c r="K72" i="6" s="1"/>
  <c r="G246" i="6"/>
  <c r="K246" i="6" s="1"/>
  <c r="G214" i="6"/>
  <c r="K214" i="6" s="1"/>
  <c r="G182" i="6"/>
  <c r="K182" i="6" s="1"/>
  <c r="G164" i="6"/>
  <c r="K164" i="6" s="1"/>
  <c r="G65" i="6"/>
  <c r="K65" i="6" s="1"/>
  <c r="G61" i="6"/>
  <c r="K61" i="6" s="1"/>
  <c r="G52" i="6"/>
  <c r="K52" i="6" s="1"/>
  <c r="G47" i="6"/>
  <c r="K47" i="6" s="1"/>
  <c r="G258" i="6"/>
  <c r="K258" i="6" s="1"/>
  <c r="G226" i="6"/>
  <c r="K226" i="6" s="1"/>
  <c r="G194" i="6"/>
  <c r="K194" i="6" s="1"/>
  <c r="G81" i="6"/>
  <c r="K81" i="6" s="1"/>
  <c r="G68" i="6"/>
  <c r="K68" i="6" s="1"/>
  <c r="G57" i="6"/>
  <c r="K57" i="6" s="1"/>
  <c r="G48" i="6"/>
  <c r="K48" i="6" s="1"/>
  <c r="G42" i="6"/>
  <c r="K42" i="6" s="1"/>
  <c r="G38" i="6"/>
  <c r="K38" i="6" s="1"/>
  <c r="G34" i="6"/>
  <c r="K34" i="6" s="1"/>
  <c r="G30" i="6"/>
  <c r="K30" i="6" s="1"/>
  <c r="G26" i="6"/>
  <c r="K26" i="6" s="1"/>
  <c r="G22" i="6"/>
  <c r="K22" i="6" s="1"/>
  <c r="J9" i="6"/>
  <c r="G238" i="6"/>
  <c r="K238" i="6" s="1"/>
  <c r="G206" i="6"/>
  <c r="K206" i="6" s="1"/>
  <c r="G174" i="6"/>
  <c r="K174" i="6" s="1"/>
  <c r="G62" i="6"/>
  <c r="K62" i="6" s="1"/>
  <c r="G53" i="6"/>
  <c r="K53" i="6" s="1"/>
  <c r="G250" i="6"/>
  <c r="K250" i="6" s="1"/>
  <c r="G218" i="6"/>
  <c r="K218" i="6" s="1"/>
  <c r="G186" i="6"/>
  <c r="K186" i="6" s="1"/>
  <c r="G73" i="6"/>
  <c r="K73" i="6" s="1"/>
  <c r="G69" i="6"/>
  <c r="K69" i="6" s="1"/>
  <c r="G66" i="6"/>
  <c r="K66" i="6" s="1"/>
  <c r="G58" i="6"/>
  <c r="K58" i="6" s="1"/>
  <c r="G49" i="6"/>
  <c r="K49" i="6" s="1"/>
  <c r="G41" i="6"/>
  <c r="K41" i="6" s="1"/>
  <c r="G37" i="6"/>
  <c r="K37" i="6" s="1"/>
  <c r="G33" i="6"/>
  <c r="K33" i="6" s="1"/>
  <c r="G29" i="6"/>
  <c r="K29" i="6" s="1"/>
  <c r="G25" i="6"/>
  <c r="K25" i="6" s="1"/>
  <c r="G21" i="6"/>
  <c r="K21" i="6" s="1"/>
  <c r="G262" i="6"/>
  <c r="K262" i="6" s="1"/>
  <c r="G230" i="6"/>
  <c r="K230" i="6" s="1"/>
  <c r="G198" i="6"/>
  <c r="K198" i="6" s="1"/>
  <c r="G156" i="6"/>
  <c r="K156" i="6" s="1"/>
  <c r="G63" i="6"/>
  <c r="K63" i="6" s="1"/>
  <c r="G54" i="6"/>
  <c r="K54" i="6" s="1"/>
  <c r="G45" i="6"/>
  <c r="K45" i="6" s="1"/>
  <c r="G242" i="6"/>
  <c r="K242" i="6" s="1"/>
  <c r="G210" i="6"/>
  <c r="K210" i="6" s="1"/>
  <c r="G178" i="6"/>
  <c r="K178" i="6" s="1"/>
  <c r="G59" i="6"/>
  <c r="K59" i="6" s="1"/>
  <c r="G50" i="6"/>
  <c r="K50" i="6" s="1"/>
  <c r="G44" i="6"/>
  <c r="K44" i="6" s="1"/>
  <c r="G40" i="6"/>
  <c r="K40" i="6" s="1"/>
  <c r="G36" i="6"/>
  <c r="K36" i="6" s="1"/>
  <c r="G32" i="6"/>
  <c r="K32" i="6" s="1"/>
  <c r="G28" i="6"/>
  <c r="K28" i="6" s="1"/>
  <c r="G24" i="6"/>
  <c r="K24" i="6" s="1"/>
  <c r="G20" i="6"/>
  <c r="K20" i="6" s="1"/>
  <c r="G254" i="6"/>
  <c r="K254" i="6" s="1"/>
  <c r="G222" i="6"/>
  <c r="K222" i="6" s="1"/>
  <c r="G190" i="6"/>
  <c r="K190" i="6" s="1"/>
  <c r="G77" i="6"/>
  <c r="K77" i="6" s="1"/>
  <c r="G70" i="6"/>
  <c r="K70" i="6" s="1"/>
  <c r="G64" i="6"/>
  <c r="K64" i="6" s="1"/>
  <c r="G60" i="6"/>
  <c r="K60" i="6" s="1"/>
  <c r="G55" i="6"/>
  <c r="K55" i="6" s="1"/>
  <c r="G46" i="6"/>
  <c r="K46" i="6" s="1"/>
  <c r="G19" i="6"/>
  <c r="K19" i="6" s="1"/>
  <c r="G56" i="6"/>
  <c r="K56" i="6" s="1"/>
  <c r="G51" i="6"/>
  <c r="K51" i="6" s="1"/>
  <c r="G234" i="6"/>
  <c r="K234" i="6" s="1"/>
  <c r="G202" i="6"/>
  <c r="K202" i="6" s="1"/>
  <c r="G39" i="6"/>
  <c r="K39" i="6" s="1"/>
  <c r="G23" i="6"/>
  <c r="K23" i="6" s="1"/>
  <c r="G43" i="6"/>
  <c r="K43" i="6" s="1"/>
  <c r="G27" i="6"/>
  <c r="K27" i="6" s="1"/>
  <c r="G31" i="6"/>
  <c r="K31" i="6" s="1"/>
  <c r="G35" i="6"/>
  <c r="K35" i="6" s="1"/>
  <c r="K16" i="6"/>
  <c r="J28" i="5"/>
  <c r="J42" i="5"/>
  <c r="J128" i="5"/>
  <c r="J159" i="5"/>
  <c r="J203" i="5"/>
  <c r="J67" i="5"/>
  <c r="J196" i="5"/>
  <c r="J201" i="5"/>
  <c r="J230" i="5"/>
  <c r="J223" i="5"/>
  <c r="J85" i="5"/>
  <c r="J268" i="5"/>
  <c r="J108" i="5"/>
  <c r="J344" i="5"/>
  <c r="J177" i="5"/>
  <c r="J142" i="5"/>
  <c r="J384" i="5"/>
  <c r="J433" i="5"/>
  <c r="J57" i="5"/>
  <c r="J58" i="5"/>
  <c r="J47" i="5"/>
  <c r="J79" i="5"/>
  <c r="J336" i="5"/>
  <c r="J112" i="5"/>
  <c r="J144" i="5"/>
  <c r="J176" i="5"/>
  <c r="J208" i="5"/>
  <c r="J252" i="5"/>
  <c r="J420" i="5"/>
  <c r="J117" i="5"/>
  <c r="J149" i="5"/>
  <c r="J181" i="5"/>
  <c r="J213" i="5"/>
  <c r="J316" i="5"/>
  <c r="J522" i="5"/>
  <c r="J114" i="5"/>
  <c r="J146" i="5"/>
  <c r="J178" i="5"/>
  <c r="J210" i="5"/>
  <c r="J260" i="5"/>
  <c r="J408" i="5"/>
  <c r="J253" i="5"/>
  <c r="J285" i="5"/>
  <c r="J317" i="5"/>
  <c r="J349" i="5"/>
  <c r="J416" i="5"/>
  <c r="J404" i="5"/>
  <c r="J251" i="5"/>
  <c r="J283" i="5"/>
  <c r="J315" i="5"/>
  <c r="J347" i="5"/>
  <c r="J490" i="5"/>
  <c r="J373" i="5"/>
  <c r="J405" i="5"/>
  <c r="J437" i="5"/>
  <c r="J590" i="5"/>
  <c r="J398" i="5"/>
  <c r="J430" i="5"/>
  <c r="J486" i="5"/>
  <c r="J363" i="5"/>
  <c r="J395" i="5"/>
  <c r="J427" i="5"/>
  <c r="J466" i="5"/>
  <c r="J473" i="5"/>
  <c r="J505" i="5"/>
  <c r="J471" i="5"/>
  <c r="J503" i="5"/>
  <c r="J535" i="5"/>
  <c r="J460" i="5"/>
  <c r="J492" i="5"/>
  <c r="J524" i="5"/>
  <c r="J547" i="5"/>
  <c r="J579" i="5"/>
  <c r="J611" i="5"/>
  <c r="J572" i="5"/>
  <c r="J604" i="5"/>
  <c r="J597" i="5"/>
  <c r="J26" i="6"/>
  <c r="J23" i="6"/>
  <c r="J81" i="6"/>
  <c r="J152" i="6"/>
  <c r="J74" i="6"/>
  <c r="J106" i="6"/>
  <c r="J138" i="6"/>
  <c r="J104" i="6"/>
  <c r="J136" i="6"/>
  <c r="J320" i="6"/>
  <c r="J266" i="6"/>
  <c r="J195" i="6"/>
  <c r="J227" i="6"/>
  <c r="J259" i="6"/>
  <c r="J293" i="6"/>
  <c r="J325" i="6"/>
  <c r="J298" i="6"/>
  <c r="J327" i="6"/>
  <c r="J287" i="6"/>
  <c r="J319" i="6"/>
  <c r="J418" i="6"/>
  <c r="J387" i="6"/>
  <c r="J419" i="6"/>
  <c r="J393" i="6"/>
  <c r="J442" i="6"/>
  <c r="J543" i="6"/>
  <c r="J515" i="6"/>
  <c r="J490" i="6"/>
  <c r="J601" i="6"/>
  <c r="J521" i="6"/>
  <c r="J556" i="6"/>
  <c r="J609" i="6"/>
  <c r="J542" i="6"/>
  <c r="J574" i="6"/>
  <c r="J606" i="6"/>
  <c r="J571" i="6"/>
  <c r="J603" i="6"/>
  <c r="H610" i="6"/>
  <c r="H609" i="6"/>
  <c r="H605" i="6"/>
  <c r="H601" i="6"/>
  <c r="H597" i="6"/>
  <c r="H593" i="6"/>
  <c r="H589" i="6"/>
  <c r="H585" i="6"/>
  <c r="H581" i="6"/>
  <c r="H577" i="6"/>
  <c r="H573" i="6"/>
  <c r="H569" i="6"/>
  <c r="H565" i="6"/>
  <c r="H561" i="6"/>
  <c r="H557" i="6"/>
  <c r="H553" i="6"/>
  <c r="H549" i="6"/>
  <c r="H545" i="6"/>
  <c r="H612" i="6"/>
  <c r="H608" i="6"/>
  <c r="H604" i="6"/>
  <c r="H600" i="6"/>
  <c r="H596" i="6"/>
  <c r="H592" i="6"/>
  <c r="H588" i="6"/>
  <c r="H584" i="6"/>
  <c r="H580" i="6"/>
  <c r="H576" i="6"/>
  <c r="H572" i="6"/>
  <c r="H568" i="6"/>
  <c r="H564" i="6"/>
  <c r="H560" i="6"/>
  <c r="H556" i="6"/>
  <c r="H552" i="6"/>
  <c r="H599" i="6"/>
  <c r="H583" i="6"/>
  <c r="H544" i="6"/>
  <c r="H540" i="6"/>
  <c r="H536" i="6"/>
  <c r="H532" i="6"/>
  <c r="H528" i="6"/>
  <c r="H524" i="6"/>
  <c r="H520" i="6"/>
  <c r="H516" i="6"/>
  <c r="H512" i="6"/>
  <c r="H602" i="6"/>
  <c r="H586" i="6"/>
  <c r="H570" i="6"/>
  <c r="H563" i="6"/>
  <c r="H562" i="6"/>
  <c r="H611" i="6"/>
  <c r="H603" i="6"/>
  <c r="H587" i="6"/>
  <c r="H571" i="6"/>
  <c r="H543" i="6"/>
  <c r="H539" i="6"/>
  <c r="H535" i="6"/>
  <c r="H531" i="6"/>
  <c r="H527" i="6"/>
  <c r="H523" i="6"/>
  <c r="H519" i="6"/>
  <c r="H515" i="6"/>
  <c r="H590" i="6"/>
  <c r="H574" i="6"/>
  <c r="H567" i="6"/>
  <c r="H566" i="6"/>
  <c r="H551" i="6"/>
  <c r="H550" i="6"/>
  <c r="H606" i="6"/>
  <c r="H591" i="6"/>
  <c r="H575" i="6"/>
  <c r="H548" i="6"/>
  <c r="H542" i="6"/>
  <c r="H538" i="6"/>
  <c r="H534" i="6"/>
  <c r="H530" i="6"/>
  <c r="H526" i="6"/>
  <c r="H522" i="6"/>
  <c r="H518" i="6"/>
  <c r="H514" i="6"/>
  <c r="H594" i="6"/>
  <c r="H578" i="6"/>
  <c r="H555" i="6"/>
  <c r="H554" i="6"/>
  <c r="H547" i="6"/>
  <c r="H607" i="6"/>
  <c r="H598" i="6"/>
  <c r="H558" i="6"/>
  <c r="H529" i="6"/>
  <c r="H508" i="6"/>
  <c r="H504" i="6"/>
  <c r="H500" i="6"/>
  <c r="H496" i="6"/>
  <c r="H492" i="6"/>
  <c r="H488" i="6"/>
  <c r="H484" i="6"/>
  <c r="H480" i="6"/>
  <c r="H476" i="6"/>
  <c r="H472" i="6"/>
  <c r="H468" i="6"/>
  <c r="H582" i="6"/>
  <c r="H546" i="6"/>
  <c r="H541" i="6"/>
  <c r="H521" i="6"/>
  <c r="H517" i="6"/>
  <c r="H511" i="6"/>
  <c r="H507" i="6"/>
  <c r="H503" i="6"/>
  <c r="H499" i="6"/>
  <c r="H495" i="6"/>
  <c r="H491" i="6"/>
  <c r="H487" i="6"/>
  <c r="H483" i="6"/>
  <c r="H479" i="6"/>
  <c r="H475" i="6"/>
  <c r="H471" i="6"/>
  <c r="H467" i="6"/>
  <c r="H533" i="6"/>
  <c r="H513" i="6"/>
  <c r="H595" i="6"/>
  <c r="H579" i="6"/>
  <c r="H537" i="6"/>
  <c r="H509" i="6"/>
  <c r="H505" i="6"/>
  <c r="H501" i="6"/>
  <c r="H497" i="6"/>
  <c r="H493" i="6"/>
  <c r="H489" i="6"/>
  <c r="H485" i="6"/>
  <c r="H481" i="6"/>
  <c r="H477" i="6"/>
  <c r="H473" i="6"/>
  <c r="H469" i="6"/>
  <c r="H486" i="6"/>
  <c r="H498" i="6"/>
  <c r="H464" i="6"/>
  <c r="H460" i="6"/>
  <c r="H456" i="6"/>
  <c r="H452" i="6"/>
  <c r="H448" i="6"/>
  <c r="H444" i="6"/>
  <c r="H440" i="6"/>
  <c r="H436" i="6"/>
  <c r="H432" i="6"/>
  <c r="H428" i="6"/>
  <c r="H424" i="6"/>
  <c r="H490" i="6"/>
  <c r="H463" i="6"/>
  <c r="H459" i="6"/>
  <c r="H455" i="6"/>
  <c r="H451" i="6"/>
  <c r="H447" i="6"/>
  <c r="H443" i="6"/>
  <c r="H439" i="6"/>
  <c r="H435" i="6"/>
  <c r="H431" i="6"/>
  <c r="H427" i="6"/>
  <c r="H423" i="6"/>
  <c r="H482" i="6"/>
  <c r="H462" i="6"/>
  <c r="H458" i="6"/>
  <c r="H454" i="6"/>
  <c r="H450" i="6"/>
  <c r="H446" i="6"/>
  <c r="H442" i="6"/>
  <c r="H438" i="6"/>
  <c r="H434" i="6"/>
  <c r="H430" i="6"/>
  <c r="H426" i="6"/>
  <c r="H494" i="6"/>
  <c r="H466" i="6"/>
  <c r="H453" i="6"/>
  <c r="H419" i="6"/>
  <c r="H415" i="6"/>
  <c r="H411" i="6"/>
  <c r="H407" i="6"/>
  <c r="H403" i="6"/>
  <c r="H399" i="6"/>
  <c r="H395" i="6"/>
  <c r="H391" i="6"/>
  <c r="H387" i="6"/>
  <c r="H383" i="6"/>
  <c r="H379" i="6"/>
  <c r="H375" i="6"/>
  <c r="H449" i="6"/>
  <c r="H559" i="6"/>
  <c r="H445" i="6"/>
  <c r="H422" i="6"/>
  <c r="H418" i="6"/>
  <c r="H414" i="6"/>
  <c r="H410" i="6"/>
  <c r="H406" i="6"/>
  <c r="H402" i="6"/>
  <c r="H398" i="6"/>
  <c r="H394" i="6"/>
  <c r="H390" i="6"/>
  <c r="H386" i="6"/>
  <c r="H506" i="6"/>
  <c r="H502" i="6"/>
  <c r="H441" i="6"/>
  <c r="H425" i="6"/>
  <c r="H510" i="6"/>
  <c r="H437" i="6"/>
  <c r="H421" i="6"/>
  <c r="H417" i="6"/>
  <c r="H413" i="6"/>
  <c r="H409" i="6"/>
  <c r="H405" i="6"/>
  <c r="H401" i="6"/>
  <c r="H397" i="6"/>
  <c r="H393" i="6"/>
  <c r="H389" i="6"/>
  <c r="H385" i="6"/>
  <c r="H381" i="6"/>
  <c r="H525" i="6"/>
  <c r="H465" i="6"/>
  <c r="H433" i="6"/>
  <c r="H474" i="6"/>
  <c r="H470" i="6"/>
  <c r="H461" i="6"/>
  <c r="H429" i="6"/>
  <c r="H420" i="6"/>
  <c r="H416" i="6"/>
  <c r="H412" i="6"/>
  <c r="H408" i="6"/>
  <c r="H404" i="6"/>
  <c r="H400" i="6"/>
  <c r="H396" i="6"/>
  <c r="H392" i="6"/>
  <c r="H388" i="6"/>
  <c r="H384" i="6"/>
  <c r="H372" i="6"/>
  <c r="H368" i="6"/>
  <c r="H364" i="6"/>
  <c r="H360" i="6"/>
  <c r="H356" i="6"/>
  <c r="H352" i="6"/>
  <c r="H348" i="6"/>
  <c r="H344" i="6"/>
  <c r="H340" i="6"/>
  <c r="H336" i="6"/>
  <c r="H332" i="6"/>
  <c r="H328" i="6"/>
  <c r="H371" i="6"/>
  <c r="H367" i="6"/>
  <c r="H363" i="6"/>
  <c r="H359" i="6"/>
  <c r="H355" i="6"/>
  <c r="H351" i="6"/>
  <c r="H347" i="6"/>
  <c r="H343" i="6"/>
  <c r="H339" i="6"/>
  <c r="H335" i="6"/>
  <c r="H331" i="6"/>
  <c r="H327" i="6"/>
  <c r="H378" i="6"/>
  <c r="H377" i="6"/>
  <c r="H380" i="6"/>
  <c r="H376" i="6"/>
  <c r="H370" i="6"/>
  <c r="H366" i="6"/>
  <c r="H362" i="6"/>
  <c r="H358" i="6"/>
  <c r="H354" i="6"/>
  <c r="H350" i="6"/>
  <c r="H346" i="6"/>
  <c r="H342" i="6"/>
  <c r="H338" i="6"/>
  <c r="H334" i="6"/>
  <c r="H330" i="6"/>
  <c r="H382" i="6"/>
  <c r="H374" i="6"/>
  <c r="H478" i="6"/>
  <c r="H373" i="6"/>
  <c r="H369" i="6"/>
  <c r="H365" i="6"/>
  <c r="H361" i="6"/>
  <c r="H357" i="6"/>
  <c r="H353" i="6"/>
  <c r="H349" i="6"/>
  <c r="H345" i="6"/>
  <c r="H341" i="6"/>
  <c r="H337" i="6"/>
  <c r="H333" i="6"/>
  <c r="H325" i="6"/>
  <c r="H321" i="6"/>
  <c r="H317" i="6"/>
  <c r="H313" i="6"/>
  <c r="H309" i="6"/>
  <c r="H305" i="6"/>
  <c r="H301" i="6"/>
  <c r="H297" i="6"/>
  <c r="H293" i="6"/>
  <c r="H289" i="6"/>
  <c r="H285" i="6"/>
  <c r="H281" i="6"/>
  <c r="H277" i="6"/>
  <c r="H273" i="6"/>
  <c r="H269" i="6"/>
  <c r="H329" i="6"/>
  <c r="H324" i="6"/>
  <c r="H320" i="6"/>
  <c r="H316" i="6"/>
  <c r="H312" i="6"/>
  <c r="H308" i="6"/>
  <c r="H304" i="6"/>
  <c r="H300" i="6"/>
  <c r="H296" i="6"/>
  <c r="H292" i="6"/>
  <c r="H288" i="6"/>
  <c r="H284" i="6"/>
  <c r="H280" i="6"/>
  <c r="H276" i="6"/>
  <c r="H272" i="6"/>
  <c r="H268" i="6"/>
  <c r="H457" i="6"/>
  <c r="H323" i="6"/>
  <c r="H319" i="6"/>
  <c r="H315" i="6"/>
  <c r="H311" i="6"/>
  <c r="H307" i="6"/>
  <c r="H303" i="6"/>
  <c r="H299" i="6"/>
  <c r="H295" i="6"/>
  <c r="H291" i="6"/>
  <c r="H287" i="6"/>
  <c r="H283" i="6"/>
  <c r="H279" i="6"/>
  <c r="H275" i="6"/>
  <c r="H326" i="6"/>
  <c r="H294" i="6"/>
  <c r="H267" i="6"/>
  <c r="H265" i="6"/>
  <c r="H261" i="6"/>
  <c r="H257" i="6"/>
  <c r="H253" i="6"/>
  <c r="H249" i="6"/>
  <c r="H245" i="6"/>
  <c r="H241" i="6"/>
  <c r="H237" i="6"/>
  <c r="H233" i="6"/>
  <c r="H229" i="6"/>
  <c r="H225" i="6"/>
  <c r="H221" i="6"/>
  <c r="H217" i="6"/>
  <c r="H213" i="6"/>
  <c r="H209" i="6"/>
  <c r="H205" i="6"/>
  <c r="H201" i="6"/>
  <c r="H197" i="6"/>
  <c r="H193" i="6"/>
  <c r="H189" i="6"/>
  <c r="H185" i="6"/>
  <c r="H181" i="6"/>
  <c r="H177" i="6"/>
  <c r="H173" i="6"/>
  <c r="H169" i="6"/>
  <c r="H165" i="6"/>
  <c r="H161" i="6"/>
  <c r="H157" i="6"/>
  <c r="H153" i="6"/>
  <c r="H149" i="6"/>
  <c r="H322" i="6"/>
  <c r="H290" i="6"/>
  <c r="H270" i="6"/>
  <c r="H318" i="6"/>
  <c r="H286" i="6"/>
  <c r="H271" i="6"/>
  <c r="H264" i="6"/>
  <c r="H260" i="6"/>
  <c r="H256" i="6"/>
  <c r="H252" i="6"/>
  <c r="H248" i="6"/>
  <c r="H244" i="6"/>
  <c r="H240" i="6"/>
  <c r="H236" i="6"/>
  <c r="H232" i="6"/>
  <c r="H228" i="6"/>
  <c r="H224" i="6"/>
  <c r="H220" i="6"/>
  <c r="H216" i="6"/>
  <c r="H212" i="6"/>
  <c r="H208" i="6"/>
  <c r="H204" i="6"/>
  <c r="H200" i="6"/>
  <c r="H196" i="6"/>
  <c r="H192" i="6"/>
  <c r="H188" i="6"/>
  <c r="H184" i="6"/>
  <c r="H180" i="6"/>
  <c r="H176" i="6"/>
  <c r="H172" i="6"/>
  <c r="H168" i="6"/>
  <c r="H164" i="6"/>
  <c r="H160" i="6"/>
  <c r="H156" i="6"/>
  <c r="H152" i="6"/>
  <c r="H148" i="6"/>
  <c r="H314" i="6"/>
  <c r="H282" i="6"/>
  <c r="H310" i="6"/>
  <c r="H278" i="6"/>
  <c r="H263" i="6"/>
  <c r="H259" i="6"/>
  <c r="H255" i="6"/>
  <c r="H251" i="6"/>
  <c r="H247" i="6"/>
  <c r="H243" i="6"/>
  <c r="H239" i="6"/>
  <c r="H235" i="6"/>
  <c r="H231" i="6"/>
  <c r="H227" i="6"/>
  <c r="H223" i="6"/>
  <c r="H219" i="6"/>
  <c r="H215" i="6"/>
  <c r="H211" i="6"/>
  <c r="H207" i="6"/>
  <c r="H203" i="6"/>
  <c r="H199" i="6"/>
  <c r="H195" i="6"/>
  <c r="H191" i="6"/>
  <c r="H187" i="6"/>
  <c r="H183" i="6"/>
  <c r="H179" i="6"/>
  <c r="H175" i="6"/>
  <c r="H171" i="6"/>
  <c r="H167" i="6"/>
  <c r="H163" i="6"/>
  <c r="H159" i="6"/>
  <c r="H155" i="6"/>
  <c r="H151" i="6"/>
  <c r="H306" i="6"/>
  <c r="H302" i="6"/>
  <c r="H274" i="6"/>
  <c r="H262" i="6"/>
  <c r="H258" i="6"/>
  <c r="H254" i="6"/>
  <c r="H250" i="6"/>
  <c r="H246" i="6"/>
  <c r="H242" i="6"/>
  <c r="H238" i="6"/>
  <c r="H234" i="6"/>
  <c r="H230" i="6"/>
  <c r="H226" i="6"/>
  <c r="H222" i="6"/>
  <c r="H218" i="6"/>
  <c r="H214" i="6"/>
  <c r="H210" i="6"/>
  <c r="H206" i="6"/>
  <c r="H202" i="6"/>
  <c r="H198" i="6"/>
  <c r="H194" i="6"/>
  <c r="H190" i="6"/>
  <c r="H186" i="6"/>
  <c r="H182" i="6"/>
  <c r="H178" i="6"/>
  <c r="H174" i="6"/>
  <c r="H170" i="6"/>
  <c r="H166" i="6"/>
  <c r="H162" i="6"/>
  <c r="H158" i="6"/>
  <c r="H154" i="6"/>
  <c r="H150" i="6"/>
  <c r="H146" i="6"/>
  <c r="H142" i="6"/>
  <c r="H138" i="6"/>
  <c r="H134" i="6"/>
  <c r="H130" i="6"/>
  <c r="H126" i="6"/>
  <c r="H122" i="6"/>
  <c r="H118" i="6"/>
  <c r="H114" i="6"/>
  <c r="H110" i="6"/>
  <c r="H106" i="6"/>
  <c r="H102" i="6"/>
  <c r="H98" i="6"/>
  <c r="H94" i="6"/>
  <c r="H90" i="6"/>
  <c r="H86" i="6"/>
  <c r="H82" i="6"/>
  <c r="H78" i="6"/>
  <c r="H74" i="6"/>
  <c r="H70" i="6"/>
  <c r="H66" i="6"/>
  <c r="H62" i="6"/>
  <c r="H58" i="6"/>
  <c r="H54" i="6"/>
  <c r="H50" i="6"/>
  <c r="H46" i="6"/>
  <c r="H145" i="6"/>
  <c r="H141" i="6"/>
  <c r="H137" i="6"/>
  <c r="H133" i="6"/>
  <c r="H129" i="6"/>
  <c r="H125" i="6"/>
  <c r="H121" i="6"/>
  <c r="H117" i="6"/>
  <c r="H113" i="6"/>
  <c r="H109" i="6"/>
  <c r="H105" i="6"/>
  <c r="H101" i="6"/>
  <c r="H97" i="6"/>
  <c r="H93" i="6"/>
  <c r="H89" i="6"/>
  <c r="H85" i="6"/>
  <c r="H81" i="6"/>
  <c r="H77" i="6"/>
  <c r="H73" i="6"/>
  <c r="H69" i="6"/>
  <c r="H65" i="6"/>
  <c r="H61" i="6"/>
  <c r="H57" i="6"/>
  <c r="H53" i="6"/>
  <c r="H49" i="6"/>
  <c r="H45" i="6"/>
  <c r="H144" i="6"/>
  <c r="H140" i="6"/>
  <c r="H136" i="6"/>
  <c r="H132" i="6"/>
  <c r="H128" i="6"/>
  <c r="H124" i="6"/>
  <c r="H120" i="6"/>
  <c r="H116" i="6"/>
  <c r="H112" i="6"/>
  <c r="H108" i="6"/>
  <c r="H104" i="6"/>
  <c r="H100" i="6"/>
  <c r="H96" i="6"/>
  <c r="H92" i="6"/>
  <c r="H88" i="6"/>
  <c r="H84" i="6"/>
  <c r="H80" i="6"/>
  <c r="H76" i="6"/>
  <c r="H72" i="6"/>
  <c r="H68" i="6"/>
  <c r="H64" i="6"/>
  <c r="H60" i="6"/>
  <c r="H56" i="6"/>
  <c r="H52" i="6"/>
  <c r="H48" i="6"/>
  <c r="H127" i="6"/>
  <c r="H95" i="6"/>
  <c r="H79" i="6"/>
  <c r="H42" i="6"/>
  <c r="H38" i="6"/>
  <c r="H34" i="6"/>
  <c r="H30" i="6"/>
  <c r="H26" i="6"/>
  <c r="H22" i="6"/>
  <c r="H18" i="6"/>
  <c r="H13" i="6"/>
  <c r="H123" i="6"/>
  <c r="H91" i="6"/>
  <c r="H119" i="6"/>
  <c r="H87" i="6"/>
  <c r="H71" i="6"/>
  <c r="H41" i="6"/>
  <c r="H37" i="6"/>
  <c r="H33" i="6"/>
  <c r="H29" i="6"/>
  <c r="H25" i="6"/>
  <c r="H21" i="6"/>
  <c r="H17" i="6"/>
  <c r="H147" i="6"/>
  <c r="H115" i="6"/>
  <c r="H83" i="6"/>
  <c r="H63" i="6"/>
  <c r="H298" i="6"/>
  <c r="H143" i="6"/>
  <c r="H111" i="6"/>
  <c r="H59" i="6"/>
  <c r="H44" i="6"/>
  <c r="H40" i="6"/>
  <c r="H36" i="6"/>
  <c r="H32" i="6"/>
  <c r="H28" i="6"/>
  <c r="H24" i="6"/>
  <c r="H20" i="6"/>
  <c r="H16" i="6"/>
  <c r="H139" i="6"/>
  <c r="H107" i="6"/>
  <c r="H75" i="6"/>
  <c r="H55" i="6"/>
  <c r="H135" i="6"/>
  <c r="H103" i="6"/>
  <c r="H67" i="6"/>
  <c r="H51" i="6"/>
  <c r="H43" i="6"/>
  <c r="H39" i="6"/>
  <c r="H35" i="6"/>
  <c r="H31" i="6"/>
  <c r="H27" i="6"/>
  <c r="H23" i="6"/>
  <c r="H19" i="6"/>
  <c r="H15" i="6"/>
  <c r="H47" i="6"/>
  <c r="H131" i="6"/>
  <c r="H266" i="6"/>
  <c r="J10" i="6"/>
  <c r="H99" i="6"/>
  <c r="H14" i="6"/>
  <c r="K17" i="6"/>
  <c r="I4" i="1" l="1"/>
  <c r="I6" i="1"/>
</calcChain>
</file>

<file path=xl/sharedStrings.xml><?xml version="1.0" encoding="utf-8"?>
<sst xmlns="http://schemas.openxmlformats.org/spreadsheetml/2006/main" count="1383" uniqueCount="723">
  <si>
    <t>SPC Report Summary - 20260206_FOSB清單及數據</t>
  </si>
  <si>
    <t>Item</t>
  </si>
  <si>
    <t>Chart Type</t>
  </si>
  <si>
    <t>n</t>
  </si>
  <si>
    <t>LSL</t>
  </si>
  <si>
    <t>USL</t>
  </si>
  <si>
    <t>Mean</t>
  </si>
  <si>
    <t>σw(within)</t>
  </si>
  <si>
    <t>σ(overall)</t>
  </si>
  <si>
    <t>Capability / Notes</t>
  </si>
  <si>
    <t>AOI Particle</t>
  </si>
  <si>
    <t>u + Laney u′</t>
  </si>
  <si>
    <t>Thickness</t>
  </si>
  <si>
    <t>I–MR</t>
  </si>
  <si>
    <t>TTV</t>
  </si>
  <si>
    <t>Notes:
1) AOI Particle 為計數型資料，u 圖預設 n_i=1；若每片檢測面積/視野數不同，請填入 n_i。
2) Laney u′ 用於 over-dispersion 修正；仍需依 OCAP 對 OOC 點進行處置與關閉。
3) Thickness/TTV 規格值可於 Settings 修改；能力與 OOS 統計會自動更新。</t>
  </si>
  <si>
    <t>SPC Report Settings</t>
  </si>
  <si>
    <t>Notes</t>
  </si>
  <si>
    <t>AOI Particle (count)</t>
  </si>
  <si>
    <t>計數型；建議單邊 USL，能力用 CPU/PPU。</t>
  </si>
  <si>
    <t>Thickness (um)</t>
  </si>
  <si>
    <t>連續型逐點；採 I–MR。</t>
  </si>
  <si>
    <t>TTV (um)</t>
  </si>
  <si>
    <t>Sheet</t>
  </si>
  <si>
    <t>Block</t>
  </si>
  <si>
    <t>Slot</t>
  </si>
  <si>
    <t>Wafer ID</t>
  </si>
  <si>
    <t>Particle</t>
  </si>
  <si>
    <t>Thickness(um)</t>
  </si>
  <si>
    <t>TTV(um)</t>
  </si>
  <si>
    <t>工作表1</t>
  </si>
  <si>
    <t>NKAAE2B125C2</t>
  </si>
  <si>
    <t>NKAAEEB7C5H2</t>
  </si>
  <si>
    <t>NKAAEEB7BFB5</t>
  </si>
  <si>
    <t>NKAAEEB67EB3</t>
  </si>
  <si>
    <t>NKAAEEF83BF4</t>
  </si>
  <si>
    <t>NKAAE427D0H2</t>
  </si>
  <si>
    <t>NKAAE427D1G5</t>
  </si>
  <si>
    <t>NKAAE519C8D0</t>
  </si>
  <si>
    <t>NKAAE419E9A5</t>
  </si>
  <si>
    <t>NKAAE518A1F6</t>
  </si>
  <si>
    <t>NKAAE419EEA4</t>
  </si>
  <si>
    <t>NKAAE419EFH2</t>
  </si>
  <si>
    <t>NKAAE4285DA2</t>
  </si>
  <si>
    <t>NKAAE42864F2</t>
  </si>
  <si>
    <t>NKAAE4286CD2</t>
  </si>
  <si>
    <t>NKAAE4272ED0</t>
  </si>
  <si>
    <t>NKAAE4271AD1</t>
  </si>
  <si>
    <t>NKAAE42717C0</t>
  </si>
  <si>
    <t>NKAAE519BFG5</t>
  </si>
  <si>
    <t>NKAAE514F4G1</t>
  </si>
  <si>
    <t>NKAAEFA63DB7</t>
  </si>
  <si>
    <t>NKAAE414F8E4</t>
  </si>
  <si>
    <t>NKAAE42611B4</t>
  </si>
  <si>
    <t>NKAAE418EBF4</t>
  </si>
  <si>
    <t>NKAAE41D3CF6</t>
  </si>
  <si>
    <t>NKAAE42B86H0</t>
  </si>
  <si>
    <t>NKAAE41DEDD5</t>
  </si>
  <si>
    <t>NKAAE418FEG0</t>
  </si>
  <si>
    <t>NKAAE50F9EH1</t>
  </si>
  <si>
    <t>NKAAE50F9BB5</t>
  </si>
  <si>
    <t>NKAAE50F9AC2</t>
  </si>
  <si>
    <t>NKAAE50F99H2</t>
  </si>
  <si>
    <t>NKAAE4271FA0</t>
  </si>
  <si>
    <t>NKAAE42729D1</t>
  </si>
  <si>
    <t>NKAAE42727E3</t>
  </si>
  <si>
    <t>NKAAE4271CB7</t>
  </si>
  <si>
    <t>NKAAE4272DD5</t>
  </si>
  <si>
    <t>NKAAE42721A6</t>
  </si>
  <si>
    <t>NKAAE11049F6</t>
  </si>
  <si>
    <t>NKAAE1104BA1</t>
  </si>
  <si>
    <t>NKAAE11047H0</t>
  </si>
  <si>
    <t>NKAAE11056C5</t>
  </si>
  <si>
    <t>NKAAE110E7D1</t>
  </si>
  <si>
    <t>NKAAE11052F1</t>
  </si>
  <si>
    <t>NKAAE42BB5B7</t>
  </si>
  <si>
    <t>NKAAE42C1FG6</t>
  </si>
  <si>
    <t>NKAAE42733B7</t>
  </si>
  <si>
    <t>NKAAE426E0F3</t>
  </si>
  <si>
    <t>NKAAE5193AD5</t>
  </si>
  <si>
    <t>NKAAE5191AG2</t>
  </si>
  <si>
    <t>NKAAE4291AE2</t>
  </si>
  <si>
    <t>NKAAE423FCF2</t>
  </si>
  <si>
    <t>NKAAE41CD3A2</t>
  </si>
  <si>
    <t>NKAAE516EBD4</t>
  </si>
  <si>
    <t>NKAAE41F74D5</t>
  </si>
  <si>
    <t>NKAAE42E1EB1</t>
  </si>
  <si>
    <t>NKAAE42E38G5</t>
  </si>
  <si>
    <t>NKAAE42E3CH1</t>
  </si>
  <si>
    <t>NKAAE42E3AB0</t>
  </si>
  <si>
    <t>NKAAE51087F5</t>
  </si>
  <si>
    <t>NKAAE52332G6</t>
  </si>
  <si>
    <t>NKAAE431B7G5</t>
  </si>
  <si>
    <t>NKAAE52339C3</t>
  </si>
  <si>
    <t>NKAAE52335E7</t>
  </si>
  <si>
    <t>NKAAE52336E2</t>
  </si>
  <si>
    <t>NKAAE431B5A4</t>
  </si>
  <si>
    <t>NKAAE431B6H2</t>
  </si>
  <si>
    <t>NKAAE4321CH2</t>
  </si>
  <si>
    <t>NKAAE4321AB1</t>
  </si>
  <si>
    <t>NKAAE5232EH2</t>
  </si>
  <si>
    <t>NKAAE5233AE6</t>
  </si>
  <si>
    <t>NKAAE5233BE1</t>
  </si>
  <si>
    <t>NKAAE52337D5</t>
  </si>
  <si>
    <t>NKAAE5232FG5</t>
  </si>
  <si>
    <t>NKAAE52338D0</t>
  </si>
  <si>
    <t>NKAAE42A19G3</t>
  </si>
  <si>
    <t>NKAAE42921B7</t>
  </si>
  <si>
    <t>NKAAE42960E5</t>
  </si>
  <si>
    <t>NKAAE51B6AE6</t>
  </si>
  <si>
    <t>NKAAEEB67BD2</t>
  </si>
  <si>
    <t>NKAAEEB7C6G5</t>
  </si>
  <si>
    <t>NKAAEEF831B3</t>
  </si>
  <si>
    <t>NKAAE42A81F7</t>
  </si>
  <si>
    <t>NKAAE42A7AA7</t>
  </si>
  <si>
    <t>NKAAE42A79F7</t>
  </si>
  <si>
    <t>NKAAE42A77H1</t>
  </si>
  <si>
    <t>NKAAE42A84E0</t>
  </si>
  <si>
    <t>NKAAE42A82F2</t>
  </si>
  <si>
    <t>NKAAE42A7FF1</t>
  </si>
  <si>
    <t>NKAAE42A1CA1</t>
  </si>
  <si>
    <t>NKAAE42A22F6</t>
  </si>
  <si>
    <t>NKAAE519B7B2</t>
  </si>
  <si>
    <t>NKAAE42A23F1</t>
  </si>
  <si>
    <t>NKAAE519B8A5</t>
  </si>
  <si>
    <t>NKAAE519B4D1</t>
  </si>
  <si>
    <t>NKAAE519B9A0</t>
  </si>
  <si>
    <t>NKAAE42A41D6</t>
  </si>
  <si>
    <t>NKAAE42A20H0</t>
  </si>
  <si>
    <t>NKAAE42A21G3</t>
  </si>
  <si>
    <t>NKAAE519B5C4</t>
  </si>
  <si>
    <t>NKAAE42967A2</t>
  </si>
  <si>
    <t>NKAAE42C5BE0</t>
  </si>
  <si>
    <t>NKAAEF9DC7F1</t>
  </si>
  <si>
    <t>NKAAEEB710E4</t>
  </si>
  <si>
    <t>NKAAEF9DC8E4</t>
  </si>
  <si>
    <t>NKAAEEB70ED6</t>
  </si>
  <si>
    <t>NKAAEEB713C5</t>
  </si>
  <si>
    <t>NKAAEEB70FD1</t>
  </si>
  <si>
    <t>NKAAEEB711D7</t>
  </si>
  <si>
    <t>NKAAE50533F5</t>
  </si>
  <si>
    <t>NKAAEFF56CF6</t>
  </si>
  <si>
    <t>NKAAE50535E3</t>
  </si>
  <si>
    <t>NKAAE50532G2</t>
  </si>
  <si>
    <t>NKAAE50777G3</t>
  </si>
  <si>
    <t>NKAAE43128E7</t>
  </si>
  <si>
    <t>NKAAE514D4B3</t>
  </si>
  <si>
    <t>NKAAE514D2C5</t>
  </si>
  <si>
    <t>NKAAE4216DC3</t>
  </si>
  <si>
    <t>NKAAE41C28G0</t>
  </si>
  <si>
    <t>NKAAE41C2AA3</t>
  </si>
  <si>
    <t>NKAAE5182EB7</t>
  </si>
  <si>
    <t>NKAAE42D2DH2</t>
  </si>
  <si>
    <t>NKAAE42D4AG4</t>
  </si>
  <si>
    <t>NKAAE42D48E6</t>
  </si>
  <si>
    <t>NKAAE42D24C4</t>
  </si>
  <si>
    <t>NKAAE51CEFE5</t>
  </si>
  <si>
    <t>NKAAE4291DC3</t>
  </si>
  <si>
    <t>NKAAE42922B2</t>
  </si>
  <si>
    <t>NKAAE42964C1</t>
  </si>
  <si>
    <t>NKAAE51B70D0</t>
  </si>
  <si>
    <t>NKAAE51B6DC7</t>
  </si>
  <si>
    <t>NKAAEEB70DE3</t>
  </si>
  <si>
    <t>NKAAEF9DCBF5</t>
  </si>
  <si>
    <t>NKAAEEB70CF0</t>
  </si>
  <si>
    <t>NKAAE42E43E6</t>
  </si>
  <si>
    <t>NKAAE42E1CC3</t>
  </si>
  <si>
    <t>NKAAE42E44E1</t>
  </si>
  <si>
    <t>NKAAE42E40G5</t>
  </si>
  <si>
    <t>NKAAE42E3DG4</t>
  </si>
  <si>
    <t>NKAAE42E47C2</t>
  </si>
  <si>
    <t>NKAAE42E21B2</t>
  </si>
  <si>
    <t>NKAAE42E20B7</t>
  </si>
  <si>
    <t>NKAAE42E46C7</t>
  </si>
  <si>
    <t>NKAAE4291CD0</t>
  </si>
  <si>
    <t>NKAAE42965B4</t>
  </si>
  <si>
    <t>NKAAE42920C4</t>
  </si>
  <si>
    <t>NKAAEF9DCAG2</t>
  </si>
  <si>
    <t>NKAAEEB712D2</t>
  </si>
  <si>
    <t>NKAAEF9DC9D7</t>
  </si>
  <si>
    <t>NKAAE51511G5</t>
  </si>
  <si>
    <t>工作表2</t>
  </si>
  <si>
    <t>NKAAEEF836F5</t>
  </si>
  <si>
    <t>NKAAE51F6CF6</t>
  </si>
  <si>
    <t>NKAAE514E1F5</t>
  </si>
  <si>
    <t>NKAAE42185B6</t>
  </si>
  <si>
    <t>NKAAE5150DH1</t>
  </si>
  <si>
    <t>NKAAE42182D5</t>
  </si>
  <si>
    <t>NKAAE5154BD1</t>
  </si>
  <si>
    <t>NKAAE51D76A3</t>
  </si>
  <si>
    <t>NKAAE4319AB1</t>
  </si>
  <si>
    <t>NKAAE5154CC4</t>
  </si>
  <si>
    <t>NKAAE5154AD6</t>
  </si>
  <si>
    <t>NKAAE42186B1</t>
  </si>
  <si>
    <t>NKAAE4319DG5</t>
  </si>
  <si>
    <t>NKAAE42F98D0</t>
  </si>
  <si>
    <t>NKAAE42F8EH2</t>
  </si>
  <si>
    <t>NKAAE42F94F4</t>
  </si>
  <si>
    <t>NKAAE42F8FG5</t>
  </si>
  <si>
    <t>NKAAE42F90A5</t>
  </si>
  <si>
    <t>NKAAE42F9BE1</t>
  </si>
  <si>
    <t>NKAAE41FEDE6</t>
  </si>
  <si>
    <t>NKAAE42C99E3</t>
  </si>
  <si>
    <t>NKAAE42C9FD5</t>
  </si>
  <si>
    <t>NKAAE43021F0</t>
  </si>
  <si>
    <t>NKAAEFA1C4G4</t>
  </si>
  <si>
    <t>NKAAEFA1C6F2</t>
  </si>
  <si>
    <t>NKAAE505F6E5</t>
  </si>
  <si>
    <t>NKAAEEB75FA2</t>
  </si>
  <si>
    <t>NKAAEEB716A6</t>
  </si>
  <si>
    <t>NKAAE505F9C6</t>
  </si>
  <si>
    <t>NKAAE425DFH1</t>
  </si>
  <si>
    <t>NKAAE40D17E0</t>
  </si>
  <si>
    <t>NKAAE505FBE4</t>
  </si>
  <si>
    <t>NKAAE40D16E5</t>
  </si>
  <si>
    <t>NKAAE505FCD7</t>
  </si>
  <si>
    <t>NKAAE425DDB0</t>
  </si>
  <si>
    <t>NKAAE40D12H1</t>
  </si>
  <si>
    <t>NKAAE4310CA5</t>
  </si>
  <si>
    <t>NKAAE51E39A5</t>
  </si>
  <si>
    <t>NKAAE42C9AG6</t>
  </si>
  <si>
    <t>NKAAE42C9BG1</t>
  </si>
  <si>
    <t>NKAAE42C9DE7</t>
  </si>
  <si>
    <t>NKAAE42CA0G7</t>
  </si>
  <si>
    <t>NKAAE42C9EE2</t>
  </si>
  <si>
    <t>NKAAE51E38B2</t>
  </si>
  <si>
    <t>NKAAE42CA2F5</t>
  </si>
  <si>
    <t>NKAAE514AFF1</t>
  </si>
  <si>
    <t>NKAAE514AEF6</t>
  </si>
  <si>
    <t>NKAAE4211CF7</t>
  </si>
  <si>
    <t>NKAAE422F8A4</t>
  </si>
  <si>
    <t>NKAAE40D13G4</t>
  </si>
  <si>
    <t>NKAAEFAC85E5</t>
  </si>
  <si>
    <t>NKAAE51E9AC4</t>
  </si>
  <si>
    <t>NKAAE41D4AC0</t>
  </si>
  <si>
    <t>NKAAE51E97B3</t>
  </si>
  <si>
    <t>NKAAE41D45C1</t>
  </si>
  <si>
    <t>NKAAE41D47A7</t>
  </si>
  <si>
    <t>NKAAE51E93D7</t>
  </si>
  <si>
    <t>NKAAE41D3FD7</t>
  </si>
  <si>
    <t>NKAAE42FCFD2</t>
  </si>
  <si>
    <t>NKAAE42613A2</t>
  </si>
  <si>
    <t>NKAAE42B21D2</t>
  </si>
  <si>
    <t>NKAAE51CC5D1</t>
  </si>
  <si>
    <t>NKAAE42B20D7</t>
  </si>
  <si>
    <t>NKAAE42B1ED1</t>
  </si>
  <si>
    <t>NKAAE42B16F1</t>
  </si>
  <si>
    <t>NKAAE51CC7B7</t>
  </si>
  <si>
    <t>NKAAE51CC6C4</t>
  </si>
  <si>
    <t>NKAAE51CF0G0</t>
  </si>
  <si>
    <t>NKAAE42B17E4</t>
  </si>
  <si>
    <t>NKAAE51CF6C2</t>
  </si>
  <si>
    <t>NKAAEFA1C5F7</t>
  </si>
  <si>
    <t>NKAAEF24C9A2</t>
  </si>
  <si>
    <t>NKAAE42F92G6</t>
  </si>
  <si>
    <t>NKAAE50A3CC3</t>
  </si>
  <si>
    <t>NKAAE4239CD7</t>
  </si>
  <si>
    <t>NKAAE42DFBE3</t>
  </si>
  <si>
    <t>NKAAE42043E0</t>
  </si>
  <si>
    <t>NKAAE4239DD2</t>
  </si>
  <si>
    <t>NKAAEFAC84F2</t>
  </si>
  <si>
    <t>NKAAE42091C3</t>
  </si>
  <si>
    <t>NKAAE4203FE4</t>
  </si>
  <si>
    <t>NKAAEFAC88C6</t>
  </si>
  <si>
    <t>NKAAE42095H2</t>
  </si>
  <si>
    <t>NKAAE42CA3F0</t>
  </si>
  <si>
    <t>NKAAE52105E0</t>
  </si>
  <si>
    <t>NKAAE42F71C5</t>
  </si>
  <si>
    <t>NKAAE43143F3</t>
  </si>
  <si>
    <t>NKAAE429D9C6</t>
  </si>
  <si>
    <t>NKAAE52211F6</t>
  </si>
  <si>
    <t>NKAAE43144E6</t>
  </si>
  <si>
    <t>NKAAE42840D0</t>
  </si>
  <si>
    <t>NKAAE5220FF0</t>
  </si>
  <si>
    <t>NKAAE43148C2</t>
  </si>
  <si>
    <t>NKAAE52210G3</t>
  </si>
  <si>
    <t>NKAAE43149B5</t>
  </si>
  <si>
    <t>NKAAE43142G0</t>
  </si>
  <si>
    <t>NKAAE52213E4</t>
  </si>
  <si>
    <t>NKAAE414F5G3</t>
  </si>
  <si>
    <t>NKAAE520FEF1</t>
  </si>
  <si>
    <t>NKAAE5210BD2</t>
  </si>
  <si>
    <t>NKAAE52103F2</t>
  </si>
  <si>
    <t>NKAAEF6DBCD7</t>
  </si>
  <si>
    <t>NKAAEF7CBBE6</t>
  </si>
  <si>
    <t>NKAAE42A3DE2</t>
  </si>
  <si>
    <t>NKAAE519B6B7</t>
  </si>
  <si>
    <t>NKAAE42A3AG1</t>
  </si>
  <si>
    <t>NKAAE42A44B7</t>
  </si>
  <si>
    <t>NKAAE42A3CE7</t>
  </si>
  <si>
    <t>NKAAE42FCED7</t>
  </si>
  <si>
    <t>NKAAE4310DA0</t>
  </si>
  <si>
    <t>NKAAE51CADD6</t>
  </si>
  <si>
    <t>NKAAE51D7BA2</t>
  </si>
  <si>
    <t>NKAAE42ECDA2</t>
  </si>
  <si>
    <t>NKAAE42654B6</t>
  </si>
  <si>
    <t>NKAAE51D5AD4</t>
  </si>
  <si>
    <t>NKAAE42CA4E3</t>
  </si>
  <si>
    <t>NKAAE42AA6C0</t>
  </si>
  <si>
    <t>NKAAE42ECEH0</t>
  </si>
  <si>
    <t>NKAAE42ECCA7</t>
  </si>
  <si>
    <t>NKAAE42D5FF6</t>
  </si>
  <si>
    <t>NKAAE42ED0A3</t>
  </si>
  <si>
    <t>NKAAE42ECAC1</t>
  </si>
  <si>
    <t>NKAAE414F6F6</t>
  </si>
  <si>
    <t>NKAAE520FFE4</t>
  </si>
  <si>
    <t>NKAAE414F7F1</t>
  </si>
  <si>
    <t>NKAAE423D5B7</t>
  </si>
  <si>
    <t>NKAAE52104E5</t>
  </si>
  <si>
    <t>NKAAE52101G4</t>
  </si>
  <si>
    <t>NKAAE414F4H0</t>
  </si>
  <si>
    <t>NKAAE52106D3</t>
  </si>
  <si>
    <t>NKAAE52107C6</t>
  </si>
  <si>
    <t>NKAAE52102F7</t>
  </si>
  <si>
    <t>NKAAE521BCB1</t>
  </si>
  <si>
    <t>NKAAE521B2E3</t>
  </si>
  <si>
    <t>NKAAE520A8B3</t>
  </si>
  <si>
    <t>NKAAE42612A7</t>
  </si>
  <si>
    <t>NKAAE425E1A4</t>
  </si>
  <si>
    <t>NKAAE42FCCF1</t>
  </si>
  <si>
    <t>NKAAE425E0B1</t>
  </si>
  <si>
    <t>NKAAE42FD0E5</t>
  </si>
  <si>
    <t>NKAAE520AAD1</t>
  </si>
  <si>
    <t>NKAAE4260DC0</t>
  </si>
  <si>
    <t>NKAAE42FC9E0</t>
  </si>
  <si>
    <t>NKAAE42FC7F2</t>
  </si>
  <si>
    <t>NKAAE52214D7</t>
  </si>
  <si>
    <t>NKAAE51BEFA3</t>
  </si>
  <si>
    <t>NKAAE42841C3</t>
  </si>
  <si>
    <t>NKAAE5091AB6</t>
  </si>
  <si>
    <t>NKAAE50918A0</t>
  </si>
  <si>
    <t>NKAAE423D4C4</t>
  </si>
  <si>
    <t>工作表3</t>
  </si>
  <si>
    <t>NKAAE51CA8D7</t>
  </si>
  <si>
    <t>NKAAE52315A1</t>
  </si>
  <si>
    <t>NKAAE42F9DC7</t>
  </si>
  <si>
    <t>NKAAE42F85C4</t>
  </si>
  <si>
    <t>NKAAE42F88A5</t>
  </si>
  <si>
    <t>NKAAE42F9CD4</t>
  </si>
  <si>
    <t>NKAAE42F93G1</t>
  </si>
  <si>
    <t>NKAAE42F95E7</t>
  </si>
  <si>
    <t>NKAAE42F91A0</t>
  </si>
  <si>
    <t>NKAAE42F89A0</t>
  </si>
  <si>
    <t>NKAAE42F8DA4</t>
  </si>
  <si>
    <t>NKAAE42F99C3</t>
  </si>
  <si>
    <t>NKAAE42F97D5</t>
  </si>
  <si>
    <t>NKAAE42F9AE6</t>
  </si>
  <si>
    <t>NKAAE3164CB1</t>
  </si>
  <si>
    <t>NKAAE316C6A5</t>
  </si>
  <si>
    <t>NKAAE512B8A3</t>
  </si>
  <si>
    <t>NKAAE31675C2</t>
  </si>
  <si>
    <t>NKAAE41C27G5</t>
  </si>
  <si>
    <t>NKAAE512BAC1</t>
  </si>
  <si>
    <t>NKAAE3165DC7</t>
  </si>
  <si>
    <t>NKAAE512B9H1</t>
  </si>
  <si>
    <t>NKAAE3E9D9A5</t>
  </si>
  <si>
    <t>NKAAE5150AB5</t>
  </si>
  <si>
    <t>NKAAE42F84D1</t>
  </si>
  <si>
    <t>NKAAE31672E1</t>
  </si>
  <si>
    <t>NKAAE42BD9E1</t>
  </si>
  <si>
    <t>NKAAE51D4BA4</t>
  </si>
  <si>
    <t>NKAAE51CA7E4</t>
  </si>
  <si>
    <t>NKAAE51CACE3</t>
  </si>
  <si>
    <t>NKAAE51D7CH0</t>
  </si>
  <si>
    <t>NKAAE51CB1D2</t>
  </si>
  <si>
    <t>NKAAE4310AB7</t>
  </si>
  <si>
    <t>NKAAE51CA9D2</t>
  </si>
  <si>
    <t>NKAAE4310BB2</t>
  </si>
  <si>
    <t>NKAAE427DFA7</t>
  </si>
  <si>
    <t>NKAAE42A30C0</t>
  </si>
  <si>
    <t>NKAAE42A2FA5</t>
  </si>
  <si>
    <t>NKAAE51E98A6</t>
  </si>
  <si>
    <t>NKAAE51E9DA5</t>
  </si>
  <si>
    <t>NKAAE41D3DF1</t>
  </si>
  <si>
    <t>NKAAE41D41E5</t>
  </si>
  <si>
    <t>NKAAE41D44C6</t>
  </si>
  <si>
    <t>NKAAE51D36F5</t>
  </si>
  <si>
    <t>NKAAE51D30C0</t>
  </si>
  <si>
    <t>NKAAE414F2A7</t>
  </si>
  <si>
    <t>NKAAE42FE8C0</t>
  </si>
  <si>
    <t>NKAAE2234FG5</t>
  </si>
  <si>
    <t>NKAAE31649A0</t>
  </si>
  <si>
    <t>NKAAE512BCA7</t>
  </si>
  <si>
    <t>NKAAE42FC8E5</t>
  </si>
  <si>
    <t>NKAAE512BBB4</t>
  </si>
  <si>
    <t>NKAAE42BDDE5</t>
  </si>
  <si>
    <t>NKAAE51CB0D7</t>
  </si>
  <si>
    <t>NKAAEFA38EA3</t>
  </si>
  <si>
    <t>NKAAEFA38FH1</t>
  </si>
  <si>
    <t>NKAAEFA390B1</t>
  </si>
  <si>
    <t>NKAAE42C18A6</t>
  </si>
  <si>
    <t>NKAAE421CED1</t>
  </si>
  <si>
    <t>NKAAE3E9DBC3</t>
  </si>
  <si>
    <t>NKAAE41FF1E2</t>
  </si>
  <si>
    <t>NKAAE41F00E2</t>
  </si>
  <si>
    <t>NKAAE51F33B2</t>
  </si>
  <si>
    <t>NKAAE51F2DD0</t>
  </si>
  <si>
    <t>NKAAE42AA5C5</t>
  </si>
  <si>
    <t>NKAAE42AA2E4</t>
  </si>
  <si>
    <t>NKAAE51F20A6</t>
  </si>
  <si>
    <t>NKAAE4260EB3</t>
  </si>
  <si>
    <t>NKAAE42605E0</t>
  </si>
  <si>
    <t>NKAAE428A2D1</t>
  </si>
  <si>
    <t>NKAAE42FCAG3</t>
  </si>
  <si>
    <t>NKAAE520ACB7</t>
  </si>
  <si>
    <t>NKAAE42608C1</t>
  </si>
  <si>
    <t>NKAAE4302AC3</t>
  </si>
  <si>
    <t>NKAAE42FC6F7</t>
  </si>
  <si>
    <t>NKAAE51A88D4</t>
  </si>
  <si>
    <t>NKAAE42FCBF6</t>
  </si>
  <si>
    <t>NKAAE520A9A6</t>
  </si>
  <si>
    <t>NKAAE42610C1</t>
  </si>
  <si>
    <t>NKAAE42A5FA3</t>
  </si>
  <si>
    <t>NKAAE51EE5B5</t>
  </si>
  <si>
    <t>NKAAE51EE7A3</t>
  </si>
  <si>
    <t>NKAAE42A61B1</t>
  </si>
  <si>
    <t>NKAAE51ED1B6</t>
  </si>
  <si>
    <t>NKAAE51ED4H2</t>
  </si>
  <si>
    <t>NKAAE514B0G4</t>
  </si>
  <si>
    <t>NKAAE51ED5G5</t>
  </si>
  <si>
    <t>NKAAE4283CD4</t>
  </si>
  <si>
    <t>NKAAE431ECG2</t>
  </si>
  <si>
    <t>NKAAE431CAC6</t>
  </si>
  <si>
    <t>NKAAE42AA3D7</t>
  </si>
  <si>
    <t>NKAAE42AA4D2</t>
  </si>
  <si>
    <t>NKAAE428A4B7</t>
  </si>
  <si>
    <t>NKAAE431C7B5</t>
  </si>
  <si>
    <t>NKAAE4281EE7</t>
  </si>
  <si>
    <t>NKAAE51A8AF2</t>
  </si>
  <si>
    <t>NKAAE51A8DD3</t>
  </si>
  <si>
    <t>NKAAE51A87E1</t>
  </si>
  <si>
    <t>NKAAE42819F0</t>
  </si>
  <si>
    <t>NKAAE42886B3</t>
  </si>
  <si>
    <t>NKAAE4242BG7</t>
  </si>
  <si>
    <t>NKAAE42817G2</t>
  </si>
  <si>
    <t>NKAAE42884C5</t>
  </si>
  <si>
    <t>NKAAE4285BB4</t>
  </si>
  <si>
    <t>NKAAE51F28D1</t>
  </si>
  <si>
    <t>NKAAE51F2EC3</t>
  </si>
  <si>
    <t>NKAAE51F2AE7</t>
  </si>
  <si>
    <t>NKAAE40D1AF1</t>
  </si>
  <si>
    <t>NKAAE51F21A1</t>
  </si>
  <si>
    <t>NKAAE520BBE7</t>
  </si>
  <si>
    <t>NKAAE520BED0</t>
  </si>
  <si>
    <t>NKAAE520B1A6</t>
  </si>
  <si>
    <t>NKAAE52050A0</t>
  </si>
  <si>
    <t>NKAAE42416E5</t>
  </si>
  <si>
    <t>NKAAE422D0A6</t>
  </si>
  <si>
    <t>NKAAEF7CABC3</t>
  </si>
  <si>
    <t>NKAAEF7CACB6</t>
  </si>
  <si>
    <t>NKAAEFF58EB7</t>
  </si>
  <si>
    <t>NKAAEF6CEDG1</t>
  </si>
  <si>
    <t>NKAAE5168CB4</t>
  </si>
  <si>
    <t>NKAAE41DDAD1</t>
  </si>
  <si>
    <t>NKAAE513C3C6</t>
  </si>
  <si>
    <t>NKAAE3DECEA3</t>
  </si>
  <si>
    <t>NKAAE430F5F6</t>
  </si>
  <si>
    <t>NKAAE43010D2</t>
  </si>
  <si>
    <t>NKAAE4218EG4</t>
  </si>
  <si>
    <t>NKAAE42415F2</t>
  </si>
  <si>
    <t>NKAAE42429F1</t>
  </si>
  <si>
    <t>NKAAE42414F7</t>
  </si>
  <si>
    <t>NKAAE42425A2</t>
  </si>
  <si>
    <t>NKAAE4241CD7</t>
  </si>
  <si>
    <t>NKAAE4242DF5</t>
  </si>
  <si>
    <t>NKAAE423F9E1</t>
  </si>
  <si>
    <t>NKAAE42430F6</t>
  </si>
  <si>
    <t>NKAAE42426H0</t>
  </si>
  <si>
    <t>NKAAE11EF3B3</t>
  </si>
  <si>
    <t>NKAAE11EF7G2</t>
  </si>
  <si>
    <t>NKAAE11EF0D2</t>
  </si>
  <si>
    <t>NKAAE11EF1C5</t>
  </si>
  <si>
    <t>NKAAEE0C6BE5</t>
  </si>
  <si>
    <t>NKAAE11DF0G3</t>
  </si>
  <si>
    <t>NKAAE11E1FG0</t>
  </si>
  <si>
    <t>NKAAE11E23F4</t>
  </si>
  <si>
    <t>NKAAE11AE1F3</t>
  </si>
  <si>
    <t>NKAAE11AE2E6</t>
  </si>
  <si>
    <t>NKAAE42481C2</t>
  </si>
  <si>
    <t>NKAAE41C01F5</t>
  </si>
  <si>
    <t>NKAAE2FF3CH2</t>
  </si>
  <si>
    <t>NKAAE2D617G6</t>
  </si>
  <si>
    <t>NKAAE42240H0</t>
  </si>
  <si>
    <t>工作表4</t>
  </si>
  <si>
    <t>NKAAE50807B3</t>
  </si>
  <si>
    <t>NKAAE40A1AH1</t>
  </si>
  <si>
    <t>NKAAE409DCC2</t>
  </si>
  <si>
    <t>NKAAE51DD2E2</t>
  </si>
  <si>
    <t>NKAAE42F31A4</t>
  </si>
  <si>
    <t>NKAAE42F00B3</t>
  </si>
  <si>
    <t>NKAAE42F2DB0</t>
  </si>
  <si>
    <t>NKAAE428E0G4</t>
  </si>
  <si>
    <t>NKAAE51C7FA7</t>
  </si>
  <si>
    <t>NKAAE51DD0F4</t>
  </si>
  <si>
    <t>NKAAE51CCFH2</t>
  </si>
  <si>
    <t>NKAAE52074C2</t>
  </si>
  <si>
    <t>NKAAE51DD3D5</t>
  </si>
  <si>
    <t>NKAAE50FFBD0</t>
  </si>
  <si>
    <t>NKAAE42A67E6</t>
  </si>
  <si>
    <t>NKAAE42AE8C7</t>
  </si>
  <si>
    <t>NKAAE51DD1E7</t>
  </si>
  <si>
    <t>NKAAE424C9B2</t>
  </si>
  <si>
    <t>NKAAE11AD6H2</t>
  </si>
  <si>
    <t>NKAAE11AD7G5</t>
  </si>
  <si>
    <t>NKAAE11AD2C3</t>
  </si>
  <si>
    <t>NKAAE11AD5A4</t>
  </si>
  <si>
    <t>NKAAE40F6AD3</t>
  </si>
  <si>
    <t>NKAAE40F67C2</t>
  </si>
  <si>
    <t>NKAAE50803D7</t>
  </si>
  <si>
    <t>NKAAE11CEDC0</t>
  </si>
  <si>
    <t>NKAAE40F9CB7</t>
  </si>
  <si>
    <t>NKAAE50BC3D0</t>
  </si>
  <si>
    <t>NKAAE50808A6</t>
  </si>
  <si>
    <t>NKAAE50800F6</t>
  </si>
  <si>
    <t>NKAAEF25F4A0</t>
  </si>
  <si>
    <t>NKAAE41421F5</t>
  </si>
  <si>
    <t>NKAAE4296CA1</t>
  </si>
  <si>
    <t>NKAAE5202FB2</t>
  </si>
  <si>
    <t>NKAAE42969G3</t>
  </si>
  <si>
    <t>NKAAE42CB8E2</t>
  </si>
  <si>
    <t>NKAAE11AE0G0</t>
  </si>
  <si>
    <t>NKAAE12B33H0</t>
  </si>
  <si>
    <t>NKAAE41CA1B6</t>
  </si>
  <si>
    <t>NKAAE5131DB0</t>
  </si>
  <si>
    <t>NKAAE11E10F0</t>
  </si>
  <si>
    <t>NKAAE11E0CF4</t>
  </si>
  <si>
    <t>NKAAE42079A0</t>
  </si>
  <si>
    <t>NKAAE11F55A7</t>
  </si>
  <si>
    <t>NKAAE42031C7</t>
  </si>
  <si>
    <t>NKAAE12591E1</t>
  </si>
  <si>
    <t>NKAAE42A65G0</t>
  </si>
  <si>
    <t>NKAAE41942B4</t>
  </si>
  <si>
    <t>NKAAE12B38D7</t>
  </si>
  <si>
    <t>NKAAE12B37E4</t>
  </si>
  <si>
    <t>NKAAE11C30B2</t>
  </si>
  <si>
    <t>NKAAE11CEEB3</t>
  </si>
  <si>
    <t>NKAAE42963C6</t>
  </si>
  <si>
    <t>NKAAE4291FB1</t>
  </si>
  <si>
    <t>NKAAE42D87A1</t>
  </si>
  <si>
    <t>NKAAE42D8FF4</t>
  </si>
  <si>
    <t>NKAAE42D8CA0</t>
  </si>
  <si>
    <t>NKAAE42D8EG1</t>
  </si>
  <si>
    <t>NKAAE42D8BA5</t>
  </si>
  <si>
    <t>NKAAE42D93F0</t>
  </si>
  <si>
    <t>NKAAE42D8DG6</t>
  </si>
  <si>
    <t>NKAAE42D92F5</t>
  </si>
  <si>
    <t>NKAAE42D8AB2</t>
  </si>
  <si>
    <t>NKAAE51000F6</t>
  </si>
  <si>
    <t>NKAAE50FFCC3</t>
  </si>
  <si>
    <t>NKAAE50FF3F0</t>
  </si>
  <si>
    <t>NKAAE4177DD5</t>
  </si>
  <si>
    <t>NKAAE4177CE2</t>
  </si>
  <si>
    <t>NKAAE50FF1G2</t>
  </si>
  <si>
    <t>NKAAE51001F1</t>
  </si>
  <si>
    <t>NKAAE4177BE7</t>
  </si>
  <si>
    <t>NKAAE50FDED6</t>
  </si>
  <si>
    <t>NKAAE4177ED0</t>
  </si>
  <si>
    <t>NKAAE50FF6D1</t>
  </si>
  <si>
    <t>NKAAE51FF6A2</t>
  </si>
  <si>
    <t>NKAAE431A7E2</t>
  </si>
  <si>
    <t>NKAAE43004F6</t>
  </si>
  <si>
    <t>NKAAE43013B3</t>
  </si>
  <si>
    <t>NKAAE43003G3</t>
  </si>
  <si>
    <t>NKAAE5208EB3</t>
  </si>
  <si>
    <t>NKAAE43015A1</t>
  </si>
  <si>
    <t>NKAAE52139B2</t>
  </si>
  <si>
    <t>NKAAE43011C5</t>
  </si>
  <si>
    <t>NKAAE52138B7</t>
  </si>
  <si>
    <t>NKAAE52136D1</t>
  </si>
  <si>
    <t>NKAAE4300DD1</t>
  </si>
  <si>
    <t>NKAAE507FFD1</t>
  </si>
  <si>
    <t>NKAAE11F37C2</t>
  </si>
  <si>
    <t>NKAAE11F33E6</t>
  </si>
  <si>
    <t>NKAAE12B2CC0</t>
  </si>
  <si>
    <t>NKAAE11F3CC1</t>
  </si>
  <si>
    <t>NKAAE12B2EA6</t>
  </si>
  <si>
    <t>NKAAE11D20D1</t>
  </si>
  <si>
    <t>NKAAE11D22B7</t>
  </si>
  <si>
    <t>NKAAE51326E6</t>
  </si>
  <si>
    <t>NKAAE4221AE0</t>
  </si>
  <si>
    <t>NKAAE5105AH0</t>
  </si>
  <si>
    <t>NKAAE120C0H2</t>
  </si>
  <si>
    <t>NKAAE120BBB0</t>
  </si>
  <si>
    <t>NKAAE120AFD4</t>
  </si>
  <si>
    <t>NKAAE511CAA2</t>
  </si>
  <si>
    <t>NKAAE521CAE6</t>
  </si>
  <si>
    <t>NKAAE120B1E2</t>
  </si>
  <si>
    <t>NKAAE120B2D5</t>
  </si>
  <si>
    <t>NKAAE12B2DB3</t>
  </si>
  <si>
    <t>NKAAE11F36C7</t>
  </si>
  <si>
    <t>NKAAE11F34E1</t>
  </si>
  <si>
    <t>NKAAE11F3AD3</t>
  </si>
  <si>
    <t>NKAAE11F3BC6</t>
  </si>
  <si>
    <t>NKAAE11F35D4</t>
  </si>
  <si>
    <t>NKAAE11F32F3</t>
  </si>
  <si>
    <t>NKAAE11BA3G2</t>
  </si>
  <si>
    <t>NKAAE11D1FB6</t>
  </si>
  <si>
    <t>NKAAE11D1EC3</t>
  </si>
  <si>
    <t>NKAAE11D1DD0</t>
  </si>
  <si>
    <t>NKAAE11D1CD5</t>
  </si>
  <si>
    <t>NKAAE11D21C4</t>
  </si>
  <si>
    <t>NKAAE42001D1</t>
  </si>
  <si>
    <t>NKAAE51D29B3</t>
  </si>
  <si>
    <t>NKAAE42059C5</t>
  </si>
  <si>
    <t>NKAAE20E78B4</t>
  </si>
  <si>
    <t>NKAAE1264AB2</t>
  </si>
  <si>
    <t>NKAAE1264EG1</t>
  </si>
  <si>
    <t>NKAAE12649G2</t>
  </si>
  <si>
    <t>NKAAE522C4C3</t>
  </si>
  <si>
    <t>NKAAE12B00B6</t>
  </si>
  <si>
    <t>NKAAE11FE4C5</t>
  </si>
  <si>
    <t>NKAAE11FE7A6</t>
  </si>
  <si>
    <t>NKAAE1264BA5</t>
  </si>
  <si>
    <t>NKAAE120B6B1</t>
  </si>
  <si>
    <t>NKAAE120BAB5</t>
  </si>
  <si>
    <t>NKAAE51B94F2</t>
  </si>
  <si>
    <t>NKAAE41F7DB0</t>
  </si>
  <si>
    <t>NKAAE431B3B6</t>
  </si>
  <si>
    <t>NKAAE43248G4</t>
  </si>
  <si>
    <t>NKAAE43102D7</t>
  </si>
  <si>
    <t>NKAAE521EEH0</t>
  </si>
  <si>
    <t>NKAAE521F2G4</t>
  </si>
  <si>
    <t>NKAAE430F9D2</t>
  </si>
  <si>
    <t>NKAAE42000D6</t>
  </si>
  <si>
    <t>NKAAE42003B7</t>
  </si>
  <si>
    <t>NKAAE41FFDH1</t>
  </si>
  <si>
    <t>NKAAE121B0B6</t>
  </si>
  <si>
    <t>NKAAE43109G7</t>
  </si>
  <si>
    <t>NKAAE11C37E2</t>
  </si>
  <si>
    <t>NKAAE11C2DB1</t>
  </si>
  <si>
    <t>NKAAE11C36E7</t>
  </si>
  <si>
    <t>NKAAE11C31A5</t>
  </si>
  <si>
    <t>NKAAE12AFFG4</t>
  </si>
  <si>
    <t>NKAAE11C3BE6</t>
  </si>
  <si>
    <t>AOI Particle - u Chart + Laney u′ + One-sided Capability</t>
  </si>
  <si>
    <t>【方法】計數型資料採 u 圖（預設 n_i=1，可修改）。Laney u′ 用於 over-dispersion 修正。能力以 USL 單邊 CPU/PPU。</t>
  </si>
  <si>
    <t>ubar</t>
  </si>
  <si>
    <t>OOC(u)</t>
  </si>
  <si>
    <t>sigma_z</t>
  </si>
  <si>
    <t>OOC(u′)</t>
  </si>
  <si>
    <t>MRbar(u)</t>
  </si>
  <si>
    <t>Conclusion u</t>
  </si>
  <si>
    <t>σwithin(u)</t>
  </si>
  <si>
    <t>Conclusion u′</t>
  </si>
  <si>
    <t>Sample</t>
  </si>
  <si>
    <t>c (Particle)</t>
  </si>
  <si>
    <t>n_i</t>
  </si>
  <si>
    <t>u</t>
  </si>
  <si>
    <t>CPU</t>
  </si>
  <si>
    <t>LCL(u)</t>
  </si>
  <si>
    <t>z</t>
  </si>
  <si>
    <t>UCL(u′)</t>
  </si>
  <si>
    <t>CL</t>
  </si>
  <si>
    <t>LCL(u′)</t>
  </si>
  <si>
    <t>MR(u)</t>
  </si>
  <si>
    <t>Thickness_IMR - I–MR Control Charts + Capability</t>
  </si>
  <si>
    <t>【方法】逐點資料採 I–MR。σw(within)=MR̄/d2(d2=1.128)；σ(overall)=STDEV.S。能力：雙邊用 Cp/Cpk、Pp/Ppk。</t>
  </si>
  <si>
    <t>Summary</t>
  </si>
  <si>
    <t>Limits</t>
  </si>
  <si>
    <t>I UCL</t>
  </si>
  <si>
    <t>Mean (μ)</t>
  </si>
  <si>
    <t>I CL</t>
  </si>
  <si>
    <t>MR̄</t>
  </si>
  <si>
    <t>I LCL</t>
  </si>
  <si>
    <t>MR UCL</t>
  </si>
  <si>
    <t>MR CL</t>
  </si>
  <si>
    <t>Cp</t>
  </si>
  <si>
    <t>MR LCL</t>
  </si>
  <si>
    <t>MR</t>
  </si>
  <si>
    <t>Cpk</t>
  </si>
  <si>
    <t>OOC(I)</t>
  </si>
  <si>
    <t>OOC(MR)</t>
  </si>
  <si>
    <t>OOS(spec)</t>
  </si>
  <si>
    <t>Pp</t>
  </si>
  <si>
    <t>Ppk</t>
  </si>
  <si>
    <t>OOS count</t>
  </si>
  <si>
    <t>TTV_IMR - I–MR Control Charts + Capability</t>
  </si>
  <si>
    <t>製程管制（SPC）日常紀錄暨稽核表單</t>
  </si>
  <si>
    <t>版本：A</t>
  </si>
  <si>
    <t>頁次：1 / 1</t>
  </si>
  <si>
    <t>一、基本資訊</t>
  </si>
  <si>
    <t>產品/料號：C001玻璃/ 300- 500055</t>
    <phoneticPr fontId="3" type="noConversion"/>
  </si>
  <si>
    <t>製程站點/步驟：洗淨後品檢</t>
    <phoneticPr fontId="3" type="noConversion"/>
  </si>
  <si>
    <t>機台編號：JE-01、JE-02</t>
    <phoneticPr fontId="3" type="noConversion"/>
  </si>
  <si>
    <t>Recipe/條件：AOI產品參數001/ TTVWafer12”-2L4P</t>
    <phoneticPr fontId="3" type="noConversion"/>
  </si>
  <si>
    <t>CTQ項目/量測特性：詳總結報告</t>
    <phoneticPr fontId="3" type="noConversion"/>
  </si>
  <si>
    <t>量測單位：品管課</t>
    <phoneticPr fontId="3" type="noConversion"/>
  </si>
  <si>
    <t>量測設備：AOI、TTV</t>
    <phoneticPr fontId="3" type="noConversion"/>
  </si>
  <si>
    <t>量測頻率：全檢</t>
    <phoneticPr fontId="3" type="noConversion"/>
  </si>
  <si>
    <t>規格 LSL：詳總結報告</t>
    <phoneticPr fontId="3" type="noConversion"/>
  </si>
  <si>
    <t>規格 USL：詳總結報告</t>
    <phoneticPr fontId="3" type="noConversion"/>
  </si>
  <si>
    <t>目標值(可選)：詳總結報告</t>
    <phoneticPr fontId="3" type="noConversion"/>
  </si>
  <si>
    <t>抽樣計畫(每次n)：全檢</t>
    <phoneticPr fontId="3" type="noConversion"/>
  </si>
  <si>
    <t>管制圖類型：詳總結報告</t>
    <phoneticPr fontId="3" type="noConversion"/>
  </si>
  <si>
    <t>訂單編號：4516243668</t>
    <phoneticPr fontId="3" type="noConversion"/>
  </si>
  <si>
    <t>備註：</t>
    <phoneticPr fontId="3" type="noConversion"/>
  </si>
  <si>
    <t>二、SPC設定與能力目標</t>
    <phoneticPr fontId="3" type="noConversion"/>
  </si>
  <si>
    <r>
      <t>Cp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3" type="noConversion"/>
  </si>
  <si>
    <r>
      <t xml:space="preserve">Cpk 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3" type="noConversion"/>
  </si>
  <si>
    <r>
      <t>異常判定規則：</t>
    </r>
    <r>
      <rPr>
        <sz val="11"/>
        <color theme="1"/>
        <rFont val="細明體"/>
        <family val="3"/>
      </rPr>
      <t>■</t>
    </r>
    <r>
      <rPr>
        <sz val="11"/>
        <color theme="1"/>
        <rFont val="新細明體"/>
        <family val="2"/>
        <scheme val="minor"/>
      </rPr>
      <t xml:space="preserve"> 超出UCL/LCL  ■ 連續趨勢  ■連續同側  □ 其他：______________</t>
    </r>
    <phoneticPr fontId="3" type="noConversion"/>
  </si>
  <si>
    <r>
      <t xml:space="preserve">B. </t>
    </r>
    <r>
      <rPr>
        <b/>
        <sz val="11"/>
        <rFont val="Microsoft JhengHei"/>
        <family val="2"/>
        <charset val="136"/>
      </rPr>
      <t>本次執行之</t>
    </r>
    <r>
      <rPr>
        <b/>
        <sz val="11"/>
        <rFont val="Calibri"/>
        <family val="2"/>
      </rPr>
      <t xml:space="preserve"> SPC </t>
    </r>
    <r>
      <rPr>
        <b/>
        <sz val="11"/>
        <rFont val="Microsoft JhengHei"/>
        <family val="2"/>
        <charset val="136"/>
      </rPr>
      <t>項目（勾選</t>
    </r>
    <r>
      <rPr>
        <b/>
        <sz val="11"/>
        <rFont val="Calibri"/>
        <family val="2"/>
      </rPr>
      <t>/</t>
    </r>
    <r>
      <rPr>
        <b/>
        <sz val="11"/>
        <rFont val="Microsoft JhengHei"/>
        <family val="2"/>
        <charset val="136"/>
      </rPr>
      <t>填寫）</t>
    </r>
    <phoneticPr fontId="3" type="noConversion"/>
  </si>
  <si>
    <r>
      <rPr>
        <sz val="11"/>
        <color rgb="FF000000"/>
        <rFont val="Segoe UI Symbol"/>
        <family val="2"/>
      </rPr>
      <t>☑</t>
    </r>
    <r>
      <rPr>
        <sz val="11"/>
        <color rgb="FF000000"/>
        <rFont val="PMingLiU"/>
        <family val="1"/>
        <charset val="136"/>
      </rPr>
      <t xml:space="preserve"> AOI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TTV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Thickness</t>
    </r>
    <phoneticPr fontId="3" type="noConversion"/>
  </si>
  <si>
    <t>三、佐證附件</t>
    <phoneticPr fontId="3" type="noConversion"/>
  </si>
  <si>
    <t>■ 管制圖（I-MR）  ■ 原始量測資料  □ 異常處置/8D或CAPA   □ 其他：__________</t>
    <phoneticPr fontId="3" type="noConversion"/>
  </si>
  <si>
    <t>備註：本表單用於日常SPC紀錄與稽核佐證。建議每一CTQ項目建立一本表單（或一個檔案），並與最新版管制圖報告一併保存。</t>
  </si>
  <si>
    <t xml:space="preserve">SPC Summary </t>
    <phoneticPr fontId="3" type="noConversion"/>
  </si>
  <si>
    <t>量測設備</t>
    <phoneticPr fontId="3" type="noConversion"/>
  </si>
  <si>
    <t>LCL</t>
    <phoneticPr fontId="3" type="noConversion"/>
  </si>
  <si>
    <t>UCL</t>
    <phoneticPr fontId="3" type="noConversion"/>
  </si>
  <si>
    <t>σ</t>
    <phoneticPr fontId="3" type="noConversion"/>
  </si>
  <si>
    <t>Cp</t>
    <phoneticPr fontId="3" type="noConversion"/>
  </si>
  <si>
    <t>判定(OOC)</t>
  </si>
  <si>
    <t>OOS 超規</t>
    <phoneticPr fontId="3" type="noConversion"/>
  </si>
  <si>
    <t>備註</t>
    <phoneticPr fontId="3" type="noConversion"/>
  </si>
  <si>
    <t>AOI</t>
  </si>
  <si>
    <t>□Y ■N</t>
    <phoneticPr fontId="3" type="noConversion"/>
  </si>
  <si>
    <t>Thickness</t>
    <phoneticPr fontId="3" type="noConversion"/>
  </si>
  <si>
    <t>TTV</t>
    <phoneticPr fontId="3" type="noConversion"/>
  </si>
  <si>
    <t>填表人(品管課)：                  日期：</t>
    <phoneticPr fontId="3" type="noConversion"/>
  </si>
  <si>
    <t>審核人(工程部)：                              日期：</t>
    <phoneticPr fontId="3" type="noConversion"/>
  </si>
  <si>
    <t>核准(協理)：                        日期：</t>
    <phoneticPr fontId="3" type="noConversion"/>
  </si>
  <si>
    <t>製作日期：2026-02-06</t>
    <phoneticPr fontId="3" type="noConversion"/>
  </si>
  <si>
    <t>表單編號：MR12-03(004)A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</si>
</sst>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_ "/>
  </numFmts>
  <fonts count="14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</font>
    <font>
      <b/>
      <sz val="11"/>
      <color theme="1"/>
      <name val="Adobe Myungjo Std M"/>
      <family val="1"/>
      <charset val="128"/>
    </font>
    <font>
      <b/>
      <sz val="11"/>
      <color theme="1"/>
      <name val="PMingLiU"/>
      <family val="1"/>
      <charset val="136"/>
    </font>
    <font>
      <sz val="11"/>
      <color theme="1"/>
      <name val="細明體"/>
      <family val="3"/>
    </font>
    <font>
      <b/>
      <sz val="11"/>
      <name val="Calibri"/>
      <family val="2"/>
    </font>
    <font>
      <b/>
      <sz val="11"/>
      <name val="Microsoft JhengHei"/>
      <family val="2"/>
      <charset val="136"/>
    </font>
    <font>
      <sz val="11"/>
      <color rgb="FF000000"/>
      <name val="新細明體"/>
      <family val="2"/>
    </font>
    <font>
      <sz val="11"/>
      <color rgb="FF000000"/>
      <name val="Segoe UI Symbol"/>
      <family val="2"/>
    </font>
    <font>
      <sz val="11"/>
      <color rgb="FF000000"/>
      <name val="PMingLiU"/>
      <family val="1"/>
      <charset val="136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2F2F2"/>
        <bgColor rgb="FF000000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808080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1" fontId="0" fillId="0" borderId="1" xfId="0" applyNumberFormat="1" applyBorder="1"/>
    <xf numFmtId="176" fontId="0" fillId="0" borderId="1" xfId="0" applyNumberFormat="1" applyBorder="1"/>
    <xf numFmtId="176" fontId="2" fillId="2" borderId="1" xfId="0" applyNumberFormat="1" applyFont="1" applyFill="1" applyBorder="1" applyAlignment="1">
      <alignment horizontal="center" wrapText="1"/>
    </xf>
    <xf numFmtId="0" fontId="0" fillId="0" borderId="0" xfId="0"/>
    <xf numFmtId="0" fontId="2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5" xfId="0" applyBorder="1" applyAlignment="1"/>
    <xf numFmtId="0" fontId="2" fillId="0" borderId="5" xfId="0" applyFont="1" applyBorder="1" applyAlignment="1"/>
    <xf numFmtId="0" fontId="4" fillId="2" borderId="5" xfId="0" applyFont="1" applyFill="1" applyBorder="1" applyAlignment="1"/>
    <xf numFmtId="0" fontId="2" fillId="3" borderId="5" xfId="0" applyFont="1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2" fillId="3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left" vertical="top" wrapText="1"/>
    </xf>
    <xf numFmtId="0" fontId="10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7" xfId="0" applyBorder="1"/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 Chart (traditional)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AOI_u_Laney!$D$11:$D$610</c:f>
              <c:numCache>
                <c:formatCode>0.0000</c:formatCode>
                <c:ptCount val="600"/>
                <c:pt idx="0">
                  <c:v>9</c:v>
                </c:pt>
                <c:pt idx="1">
                  <c:v>29</c:v>
                </c:pt>
                <c:pt idx="2">
                  <c:v>29</c:v>
                </c:pt>
                <c:pt idx="3">
                  <c:v>21</c:v>
                </c:pt>
                <c:pt idx="4">
                  <c:v>38</c:v>
                </c:pt>
                <c:pt idx="5">
                  <c:v>15</c:v>
                </c:pt>
                <c:pt idx="6">
                  <c:v>15</c:v>
                </c:pt>
                <c:pt idx="7">
                  <c:v>8</c:v>
                </c:pt>
                <c:pt idx="8">
                  <c:v>18</c:v>
                </c:pt>
                <c:pt idx="9">
                  <c:v>19</c:v>
                </c:pt>
                <c:pt idx="10">
                  <c:v>14</c:v>
                </c:pt>
                <c:pt idx="11">
                  <c:v>13</c:v>
                </c:pt>
                <c:pt idx="12">
                  <c:v>8</c:v>
                </c:pt>
                <c:pt idx="13">
                  <c:v>6</c:v>
                </c:pt>
                <c:pt idx="14">
                  <c:v>16</c:v>
                </c:pt>
                <c:pt idx="15">
                  <c:v>27</c:v>
                </c:pt>
                <c:pt idx="16">
                  <c:v>13</c:v>
                </c:pt>
                <c:pt idx="17">
                  <c:v>11</c:v>
                </c:pt>
                <c:pt idx="18">
                  <c:v>40</c:v>
                </c:pt>
                <c:pt idx="19">
                  <c:v>18</c:v>
                </c:pt>
                <c:pt idx="20">
                  <c:v>21</c:v>
                </c:pt>
                <c:pt idx="21">
                  <c:v>33</c:v>
                </c:pt>
                <c:pt idx="22">
                  <c:v>13</c:v>
                </c:pt>
                <c:pt idx="23">
                  <c:v>15</c:v>
                </c:pt>
                <c:pt idx="24">
                  <c:v>9</c:v>
                </c:pt>
                <c:pt idx="25">
                  <c:v>13</c:v>
                </c:pt>
                <c:pt idx="26">
                  <c:v>6</c:v>
                </c:pt>
                <c:pt idx="27">
                  <c:v>9</c:v>
                </c:pt>
                <c:pt idx="28">
                  <c:v>8</c:v>
                </c:pt>
                <c:pt idx="29">
                  <c:v>15</c:v>
                </c:pt>
                <c:pt idx="30">
                  <c:v>10</c:v>
                </c:pt>
                <c:pt idx="31">
                  <c:v>14</c:v>
                </c:pt>
                <c:pt idx="32">
                  <c:v>24</c:v>
                </c:pt>
                <c:pt idx="33">
                  <c:v>23</c:v>
                </c:pt>
                <c:pt idx="34">
                  <c:v>31</c:v>
                </c:pt>
                <c:pt idx="35">
                  <c:v>34</c:v>
                </c:pt>
                <c:pt idx="36">
                  <c:v>20</c:v>
                </c:pt>
                <c:pt idx="37">
                  <c:v>10</c:v>
                </c:pt>
                <c:pt idx="38">
                  <c:v>19</c:v>
                </c:pt>
                <c:pt idx="39">
                  <c:v>22</c:v>
                </c:pt>
                <c:pt idx="40">
                  <c:v>14</c:v>
                </c:pt>
                <c:pt idx="41">
                  <c:v>34</c:v>
                </c:pt>
                <c:pt idx="42">
                  <c:v>41</c:v>
                </c:pt>
                <c:pt idx="43">
                  <c:v>41</c:v>
                </c:pt>
                <c:pt idx="44">
                  <c:v>13</c:v>
                </c:pt>
                <c:pt idx="45">
                  <c:v>9</c:v>
                </c:pt>
                <c:pt idx="46">
                  <c:v>20</c:v>
                </c:pt>
                <c:pt idx="47">
                  <c:v>6</c:v>
                </c:pt>
                <c:pt idx="48">
                  <c:v>21</c:v>
                </c:pt>
                <c:pt idx="49">
                  <c:v>14</c:v>
                </c:pt>
                <c:pt idx="50">
                  <c:v>8</c:v>
                </c:pt>
                <c:pt idx="51">
                  <c:v>9</c:v>
                </c:pt>
                <c:pt idx="52">
                  <c:v>11</c:v>
                </c:pt>
                <c:pt idx="53">
                  <c:v>12</c:v>
                </c:pt>
                <c:pt idx="54">
                  <c:v>15</c:v>
                </c:pt>
                <c:pt idx="55">
                  <c:v>21</c:v>
                </c:pt>
                <c:pt idx="56">
                  <c:v>25</c:v>
                </c:pt>
                <c:pt idx="57">
                  <c:v>10</c:v>
                </c:pt>
                <c:pt idx="58">
                  <c:v>19</c:v>
                </c:pt>
                <c:pt idx="59">
                  <c:v>16</c:v>
                </c:pt>
                <c:pt idx="60">
                  <c:v>10</c:v>
                </c:pt>
                <c:pt idx="61">
                  <c:v>9</c:v>
                </c:pt>
                <c:pt idx="62">
                  <c:v>10</c:v>
                </c:pt>
                <c:pt idx="63">
                  <c:v>16</c:v>
                </c:pt>
                <c:pt idx="64">
                  <c:v>14</c:v>
                </c:pt>
                <c:pt idx="65">
                  <c:v>15</c:v>
                </c:pt>
                <c:pt idx="66">
                  <c:v>11</c:v>
                </c:pt>
                <c:pt idx="67">
                  <c:v>15</c:v>
                </c:pt>
                <c:pt idx="68">
                  <c:v>16</c:v>
                </c:pt>
                <c:pt idx="69">
                  <c:v>13</c:v>
                </c:pt>
                <c:pt idx="70">
                  <c:v>9</c:v>
                </c:pt>
                <c:pt idx="71">
                  <c:v>23</c:v>
                </c:pt>
                <c:pt idx="72">
                  <c:v>10</c:v>
                </c:pt>
                <c:pt idx="73">
                  <c:v>10</c:v>
                </c:pt>
                <c:pt idx="74">
                  <c:v>12</c:v>
                </c:pt>
                <c:pt idx="75">
                  <c:v>17</c:v>
                </c:pt>
                <c:pt idx="76">
                  <c:v>11</c:v>
                </c:pt>
                <c:pt idx="77">
                  <c:v>20</c:v>
                </c:pt>
                <c:pt idx="78">
                  <c:v>22</c:v>
                </c:pt>
                <c:pt idx="79">
                  <c:v>23</c:v>
                </c:pt>
                <c:pt idx="80">
                  <c:v>38</c:v>
                </c:pt>
                <c:pt idx="81">
                  <c:v>40</c:v>
                </c:pt>
                <c:pt idx="82">
                  <c:v>7</c:v>
                </c:pt>
                <c:pt idx="83">
                  <c:v>14</c:v>
                </c:pt>
                <c:pt idx="84">
                  <c:v>14</c:v>
                </c:pt>
                <c:pt idx="85">
                  <c:v>24</c:v>
                </c:pt>
                <c:pt idx="86">
                  <c:v>10</c:v>
                </c:pt>
                <c:pt idx="87">
                  <c:v>7</c:v>
                </c:pt>
                <c:pt idx="88">
                  <c:v>6</c:v>
                </c:pt>
                <c:pt idx="89">
                  <c:v>12</c:v>
                </c:pt>
                <c:pt idx="90">
                  <c:v>11</c:v>
                </c:pt>
                <c:pt idx="91">
                  <c:v>15</c:v>
                </c:pt>
                <c:pt idx="92">
                  <c:v>9</c:v>
                </c:pt>
                <c:pt idx="93">
                  <c:v>8</c:v>
                </c:pt>
                <c:pt idx="94">
                  <c:v>13</c:v>
                </c:pt>
                <c:pt idx="95">
                  <c:v>11</c:v>
                </c:pt>
                <c:pt idx="96">
                  <c:v>10</c:v>
                </c:pt>
                <c:pt idx="97">
                  <c:v>7</c:v>
                </c:pt>
                <c:pt idx="98">
                  <c:v>10</c:v>
                </c:pt>
                <c:pt idx="99">
                  <c:v>13</c:v>
                </c:pt>
                <c:pt idx="100">
                  <c:v>32</c:v>
                </c:pt>
                <c:pt idx="101">
                  <c:v>33</c:v>
                </c:pt>
                <c:pt idx="102">
                  <c:v>41</c:v>
                </c:pt>
                <c:pt idx="103">
                  <c:v>29</c:v>
                </c:pt>
                <c:pt idx="104">
                  <c:v>27</c:v>
                </c:pt>
                <c:pt idx="105">
                  <c:v>44</c:v>
                </c:pt>
                <c:pt idx="106">
                  <c:v>47</c:v>
                </c:pt>
                <c:pt idx="107">
                  <c:v>30</c:v>
                </c:pt>
                <c:pt idx="108">
                  <c:v>36</c:v>
                </c:pt>
                <c:pt idx="109">
                  <c:v>16</c:v>
                </c:pt>
                <c:pt idx="110">
                  <c:v>28</c:v>
                </c:pt>
                <c:pt idx="111">
                  <c:v>12</c:v>
                </c:pt>
                <c:pt idx="112">
                  <c:v>16</c:v>
                </c:pt>
                <c:pt idx="113">
                  <c:v>8</c:v>
                </c:pt>
                <c:pt idx="114">
                  <c:v>27</c:v>
                </c:pt>
                <c:pt idx="115">
                  <c:v>17</c:v>
                </c:pt>
                <c:pt idx="116">
                  <c:v>16</c:v>
                </c:pt>
                <c:pt idx="117">
                  <c:v>11</c:v>
                </c:pt>
                <c:pt idx="118">
                  <c:v>11</c:v>
                </c:pt>
                <c:pt idx="119">
                  <c:v>10</c:v>
                </c:pt>
                <c:pt idx="120">
                  <c:v>21</c:v>
                </c:pt>
                <c:pt idx="121">
                  <c:v>13</c:v>
                </c:pt>
                <c:pt idx="122">
                  <c:v>17</c:v>
                </c:pt>
                <c:pt idx="123">
                  <c:v>24</c:v>
                </c:pt>
                <c:pt idx="124">
                  <c:v>21</c:v>
                </c:pt>
                <c:pt idx="125">
                  <c:v>5</c:v>
                </c:pt>
                <c:pt idx="126">
                  <c:v>24</c:v>
                </c:pt>
                <c:pt idx="127">
                  <c:v>31</c:v>
                </c:pt>
                <c:pt idx="128">
                  <c:v>43</c:v>
                </c:pt>
                <c:pt idx="129">
                  <c:v>27</c:v>
                </c:pt>
                <c:pt idx="130">
                  <c:v>25</c:v>
                </c:pt>
                <c:pt idx="131">
                  <c:v>38</c:v>
                </c:pt>
                <c:pt idx="132">
                  <c:v>42</c:v>
                </c:pt>
                <c:pt idx="133">
                  <c:v>31</c:v>
                </c:pt>
                <c:pt idx="134">
                  <c:v>20</c:v>
                </c:pt>
                <c:pt idx="135">
                  <c:v>11</c:v>
                </c:pt>
                <c:pt idx="136">
                  <c:v>16</c:v>
                </c:pt>
                <c:pt idx="137">
                  <c:v>18</c:v>
                </c:pt>
                <c:pt idx="138">
                  <c:v>22</c:v>
                </c:pt>
                <c:pt idx="139">
                  <c:v>18</c:v>
                </c:pt>
                <c:pt idx="140">
                  <c:v>13</c:v>
                </c:pt>
                <c:pt idx="141">
                  <c:v>12</c:v>
                </c:pt>
                <c:pt idx="142">
                  <c:v>15</c:v>
                </c:pt>
                <c:pt idx="143">
                  <c:v>16</c:v>
                </c:pt>
                <c:pt idx="144">
                  <c:v>28</c:v>
                </c:pt>
                <c:pt idx="145">
                  <c:v>12</c:v>
                </c:pt>
                <c:pt idx="146">
                  <c:v>34</c:v>
                </c:pt>
                <c:pt idx="147">
                  <c:v>32</c:v>
                </c:pt>
                <c:pt idx="148">
                  <c:v>62</c:v>
                </c:pt>
                <c:pt idx="149">
                  <c:v>4</c:v>
                </c:pt>
                <c:pt idx="150">
                  <c:v>36</c:v>
                </c:pt>
                <c:pt idx="151">
                  <c:v>25</c:v>
                </c:pt>
                <c:pt idx="152">
                  <c:v>23</c:v>
                </c:pt>
                <c:pt idx="153">
                  <c:v>19</c:v>
                </c:pt>
                <c:pt idx="154">
                  <c:v>8</c:v>
                </c:pt>
                <c:pt idx="155">
                  <c:v>10</c:v>
                </c:pt>
                <c:pt idx="156">
                  <c:v>12</c:v>
                </c:pt>
                <c:pt idx="157">
                  <c:v>15</c:v>
                </c:pt>
                <c:pt idx="158">
                  <c:v>11</c:v>
                </c:pt>
                <c:pt idx="159">
                  <c:v>3</c:v>
                </c:pt>
                <c:pt idx="160">
                  <c:v>13</c:v>
                </c:pt>
                <c:pt idx="161">
                  <c:v>13</c:v>
                </c:pt>
                <c:pt idx="162">
                  <c:v>21</c:v>
                </c:pt>
                <c:pt idx="163">
                  <c:v>18</c:v>
                </c:pt>
                <c:pt idx="164">
                  <c:v>11</c:v>
                </c:pt>
                <c:pt idx="165">
                  <c:v>19</c:v>
                </c:pt>
                <c:pt idx="166">
                  <c:v>17</c:v>
                </c:pt>
                <c:pt idx="167">
                  <c:v>20</c:v>
                </c:pt>
                <c:pt idx="168">
                  <c:v>17</c:v>
                </c:pt>
                <c:pt idx="169">
                  <c:v>15</c:v>
                </c:pt>
                <c:pt idx="170">
                  <c:v>11</c:v>
                </c:pt>
                <c:pt idx="171">
                  <c:v>15</c:v>
                </c:pt>
                <c:pt idx="172">
                  <c:v>8</c:v>
                </c:pt>
                <c:pt idx="173">
                  <c:v>14</c:v>
                </c:pt>
                <c:pt idx="174">
                  <c:v>12</c:v>
                </c:pt>
                <c:pt idx="175">
                  <c:v>33</c:v>
                </c:pt>
                <c:pt idx="176">
                  <c:v>29</c:v>
                </c:pt>
                <c:pt idx="177">
                  <c:v>35</c:v>
                </c:pt>
                <c:pt idx="178">
                  <c:v>26</c:v>
                </c:pt>
                <c:pt idx="179">
                  <c:v>14</c:v>
                </c:pt>
                <c:pt idx="180">
                  <c:v>10</c:v>
                </c:pt>
                <c:pt idx="181">
                  <c:v>23</c:v>
                </c:pt>
                <c:pt idx="182">
                  <c:v>9</c:v>
                </c:pt>
                <c:pt idx="183">
                  <c:v>15</c:v>
                </c:pt>
                <c:pt idx="184">
                  <c:v>13</c:v>
                </c:pt>
                <c:pt idx="185">
                  <c:v>21</c:v>
                </c:pt>
                <c:pt idx="186">
                  <c:v>8</c:v>
                </c:pt>
                <c:pt idx="187">
                  <c:v>22</c:v>
                </c:pt>
                <c:pt idx="188">
                  <c:v>30</c:v>
                </c:pt>
                <c:pt idx="189">
                  <c:v>23</c:v>
                </c:pt>
                <c:pt idx="190">
                  <c:v>14</c:v>
                </c:pt>
                <c:pt idx="191">
                  <c:v>14</c:v>
                </c:pt>
                <c:pt idx="192">
                  <c:v>16</c:v>
                </c:pt>
                <c:pt idx="193">
                  <c:v>11</c:v>
                </c:pt>
                <c:pt idx="194">
                  <c:v>20</c:v>
                </c:pt>
                <c:pt idx="195">
                  <c:v>19</c:v>
                </c:pt>
                <c:pt idx="196">
                  <c:v>18</c:v>
                </c:pt>
                <c:pt idx="197">
                  <c:v>19</c:v>
                </c:pt>
                <c:pt idx="198">
                  <c:v>15</c:v>
                </c:pt>
                <c:pt idx="199">
                  <c:v>25</c:v>
                </c:pt>
                <c:pt idx="200">
                  <c:v>18</c:v>
                </c:pt>
                <c:pt idx="201">
                  <c:v>30</c:v>
                </c:pt>
                <c:pt idx="202">
                  <c:v>15</c:v>
                </c:pt>
                <c:pt idx="203">
                  <c:v>28</c:v>
                </c:pt>
                <c:pt idx="204">
                  <c:v>25</c:v>
                </c:pt>
                <c:pt idx="205">
                  <c:v>15</c:v>
                </c:pt>
                <c:pt idx="206">
                  <c:v>26</c:v>
                </c:pt>
                <c:pt idx="207">
                  <c:v>45</c:v>
                </c:pt>
                <c:pt idx="208">
                  <c:v>16</c:v>
                </c:pt>
                <c:pt idx="209">
                  <c:v>19</c:v>
                </c:pt>
                <c:pt idx="210">
                  <c:v>22</c:v>
                </c:pt>
                <c:pt idx="211">
                  <c:v>14</c:v>
                </c:pt>
                <c:pt idx="212">
                  <c:v>27</c:v>
                </c:pt>
                <c:pt idx="213">
                  <c:v>32</c:v>
                </c:pt>
                <c:pt idx="214">
                  <c:v>22</c:v>
                </c:pt>
                <c:pt idx="215">
                  <c:v>20</c:v>
                </c:pt>
                <c:pt idx="216">
                  <c:v>15</c:v>
                </c:pt>
                <c:pt idx="217">
                  <c:v>20</c:v>
                </c:pt>
                <c:pt idx="218">
                  <c:v>19</c:v>
                </c:pt>
                <c:pt idx="219">
                  <c:v>20</c:v>
                </c:pt>
                <c:pt idx="220">
                  <c:v>19</c:v>
                </c:pt>
                <c:pt idx="221">
                  <c:v>15</c:v>
                </c:pt>
                <c:pt idx="222">
                  <c:v>7</c:v>
                </c:pt>
                <c:pt idx="223">
                  <c:v>18</c:v>
                </c:pt>
                <c:pt idx="224">
                  <c:v>31</c:v>
                </c:pt>
                <c:pt idx="225">
                  <c:v>25</c:v>
                </c:pt>
                <c:pt idx="226">
                  <c:v>24</c:v>
                </c:pt>
                <c:pt idx="227">
                  <c:v>16</c:v>
                </c:pt>
                <c:pt idx="228">
                  <c:v>37</c:v>
                </c:pt>
                <c:pt idx="229">
                  <c:v>23</c:v>
                </c:pt>
                <c:pt idx="230">
                  <c:v>58</c:v>
                </c:pt>
                <c:pt idx="231">
                  <c:v>14</c:v>
                </c:pt>
                <c:pt idx="232">
                  <c:v>20</c:v>
                </c:pt>
                <c:pt idx="233">
                  <c:v>11</c:v>
                </c:pt>
                <c:pt idx="234">
                  <c:v>14</c:v>
                </c:pt>
                <c:pt idx="235">
                  <c:v>19</c:v>
                </c:pt>
                <c:pt idx="236">
                  <c:v>24</c:v>
                </c:pt>
                <c:pt idx="237">
                  <c:v>23</c:v>
                </c:pt>
                <c:pt idx="238">
                  <c:v>27</c:v>
                </c:pt>
                <c:pt idx="239">
                  <c:v>18</c:v>
                </c:pt>
                <c:pt idx="240">
                  <c:v>30</c:v>
                </c:pt>
                <c:pt idx="241">
                  <c:v>20</c:v>
                </c:pt>
                <c:pt idx="242">
                  <c:v>16</c:v>
                </c:pt>
                <c:pt idx="243">
                  <c:v>56</c:v>
                </c:pt>
                <c:pt idx="244">
                  <c:v>48</c:v>
                </c:pt>
                <c:pt idx="245">
                  <c:v>33</c:v>
                </c:pt>
                <c:pt idx="246">
                  <c:v>63</c:v>
                </c:pt>
                <c:pt idx="247">
                  <c:v>54</c:v>
                </c:pt>
                <c:pt idx="248">
                  <c:v>44</c:v>
                </c:pt>
                <c:pt idx="249">
                  <c:v>25</c:v>
                </c:pt>
                <c:pt idx="250">
                  <c:v>11</c:v>
                </c:pt>
                <c:pt idx="251">
                  <c:v>25</c:v>
                </c:pt>
                <c:pt idx="252">
                  <c:v>13</c:v>
                </c:pt>
                <c:pt idx="253">
                  <c:v>10</c:v>
                </c:pt>
                <c:pt idx="254">
                  <c:v>20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44</c:v>
                </c:pt>
                <c:pt idx="259">
                  <c:v>37</c:v>
                </c:pt>
                <c:pt idx="260">
                  <c:v>17</c:v>
                </c:pt>
                <c:pt idx="261">
                  <c:v>44</c:v>
                </c:pt>
                <c:pt idx="262">
                  <c:v>27</c:v>
                </c:pt>
                <c:pt idx="263">
                  <c:v>40</c:v>
                </c:pt>
                <c:pt idx="264">
                  <c:v>28</c:v>
                </c:pt>
                <c:pt idx="265">
                  <c:v>20</c:v>
                </c:pt>
                <c:pt idx="266">
                  <c:v>16</c:v>
                </c:pt>
                <c:pt idx="267">
                  <c:v>21</c:v>
                </c:pt>
                <c:pt idx="268">
                  <c:v>22</c:v>
                </c:pt>
                <c:pt idx="269">
                  <c:v>26</c:v>
                </c:pt>
                <c:pt idx="270">
                  <c:v>28</c:v>
                </c:pt>
                <c:pt idx="271">
                  <c:v>24</c:v>
                </c:pt>
                <c:pt idx="272">
                  <c:v>17</c:v>
                </c:pt>
                <c:pt idx="273">
                  <c:v>21</c:v>
                </c:pt>
                <c:pt idx="274">
                  <c:v>14</c:v>
                </c:pt>
                <c:pt idx="275">
                  <c:v>28</c:v>
                </c:pt>
                <c:pt idx="276">
                  <c:v>23</c:v>
                </c:pt>
                <c:pt idx="277">
                  <c:v>12</c:v>
                </c:pt>
                <c:pt idx="278">
                  <c:v>28</c:v>
                </c:pt>
                <c:pt idx="279">
                  <c:v>13</c:v>
                </c:pt>
                <c:pt idx="280">
                  <c:v>18</c:v>
                </c:pt>
                <c:pt idx="281">
                  <c:v>24</c:v>
                </c:pt>
                <c:pt idx="282">
                  <c:v>45</c:v>
                </c:pt>
                <c:pt idx="283">
                  <c:v>17</c:v>
                </c:pt>
                <c:pt idx="284">
                  <c:v>13</c:v>
                </c:pt>
                <c:pt idx="285">
                  <c:v>12</c:v>
                </c:pt>
                <c:pt idx="286">
                  <c:v>22</c:v>
                </c:pt>
                <c:pt idx="287">
                  <c:v>31</c:v>
                </c:pt>
                <c:pt idx="288">
                  <c:v>13</c:v>
                </c:pt>
                <c:pt idx="289">
                  <c:v>18</c:v>
                </c:pt>
                <c:pt idx="290">
                  <c:v>28</c:v>
                </c:pt>
                <c:pt idx="291">
                  <c:v>22</c:v>
                </c:pt>
                <c:pt idx="292">
                  <c:v>20</c:v>
                </c:pt>
                <c:pt idx="293">
                  <c:v>19</c:v>
                </c:pt>
                <c:pt idx="294">
                  <c:v>20</c:v>
                </c:pt>
                <c:pt idx="295">
                  <c:v>5</c:v>
                </c:pt>
                <c:pt idx="296">
                  <c:v>16</c:v>
                </c:pt>
                <c:pt idx="297">
                  <c:v>12</c:v>
                </c:pt>
                <c:pt idx="298">
                  <c:v>18</c:v>
                </c:pt>
                <c:pt idx="299">
                  <c:v>21</c:v>
                </c:pt>
                <c:pt idx="300">
                  <c:v>41</c:v>
                </c:pt>
                <c:pt idx="301">
                  <c:v>16</c:v>
                </c:pt>
                <c:pt idx="302">
                  <c:v>24</c:v>
                </c:pt>
                <c:pt idx="303">
                  <c:v>20</c:v>
                </c:pt>
                <c:pt idx="304">
                  <c:v>14</c:v>
                </c:pt>
                <c:pt idx="305">
                  <c:v>20</c:v>
                </c:pt>
                <c:pt idx="306">
                  <c:v>15</c:v>
                </c:pt>
                <c:pt idx="307">
                  <c:v>23</c:v>
                </c:pt>
                <c:pt idx="308">
                  <c:v>30</c:v>
                </c:pt>
                <c:pt idx="309">
                  <c:v>22</c:v>
                </c:pt>
                <c:pt idx="310">
                  <c:v>26</c:v>
                </c:pt>
                <c:pt idx="311">
                  <c:v>16</c:v>
                </c:pt>
                <c:pt idx="312">
                  <c:v>18</c:v>
                </c:pt>
                <c:pt idx="313">
                  <c:v>26</c:v>
                </c:pt>
                <c:pt idx="314">
                  <c:v>18</c:v>
                </c:pt>
                <c:pt idx="315">
                  <c:v>17</c:v>
                </c:pt>
                <c:pt idx="316">
                  <c:v>24</c:v>
                </c:pt>
                <c:pt idx="317">
                  <c:v>22</c:v>
                </c:pt>
                <c:pt idx="318">
                  <c:v>43</c:v>
                </c:pt>
                <c:pt idx="319">
                  <c:v>23</c:v>
                </c:pt>
                <c:pt idx="320">
                  <c:v>31</c:v>
                </c:pt>
                <c:pt idx="321">
                  <c:v>15</c:v>
                </c:pt>
                <c:pt idx="322">
                  <c:v>46</c:v>
                </c:pt>
                <c:pt idx="323">
                  <c:v>32</c:v>
                </c:pt>
                <c:pt idx="324">
                  <c:v>44</c:v>
                </c:pt>
                <c:pt idx="325">
                  <c:v>21</c:v>
                </c:pt>
                <c:pt idx="326">
                  <c:v>18</c:v>
                </c:pt>
                <c:pt idx="327">
                  <c:v>16</c:v>
                </c:pt>
                <c:pt idx="328">
                  <c:v>23</c:v>
                </c:pt>
                <c:pt idx="329">
                  <c:v>23</c:v>
                </c:pt>
                <c:pt idx="330">
                  <c:v>9</c:v>
                </c:pt>
                <c:pt idx="331">
                  <c:v>14</c:v>
                </c:pt>
                <c:pt idx="332">
                  <c:v>25</c:v>
                </c:pt>
                <c:pt idx="333">
                  <c:v>23</c:v>
                </c:pt>
                <c:pt idx="334">
                  <c:v>15</c:v>
                </c:pt>
                <c:pt idx="335">
                  <c:v>11</c:v>
                </c:pt>
                <c:pt idx="336">
                  <c:v>14</c:v>
                </c:pt>
                <c:pt idx="337">
                  <c:v>15</c:v>
                </c:pt>
                <c:pt idx="338">
                  <c:v>16</c:v>
                </c:pt>
                <c:pt idx="339">
                  <c:v>12</c:v>
                </c:pt>
                <c:pt idx="340">
                  <c:v>11</c:v>
                </c:pt>
                <c:pt idx="341">
                  <c:v>8</c:v>
                </c:pt>
                <c:pt idx="342">
                  <c:v>12</c:v>
                </c:pt>
                <c:pt idx="343">
                  <c:v>22</c:v>
                </c:pt>
                <c:pt idx="344">
                  <c:v>23</c:v>
                </c:pt>
                <c:pt idx="345">
                  <c:v>31</c:v>
                </c:pt>
                <c:pt idx="346">
                  <c:v>30</c:v>
                </c:pt>
                <c:pt idx="347">
                  <c:v>18</c:v>
                </c:pt>
                <c:pt idx="348">
                  <c:v>11</c:v>
                </c:pt>
                <c:pt idx="349">
                  <c:v>24</c:v>
                </c:pt>
                <c:pt idx="350">
                  <c:v>38</c:v>
                </c:pt>
                <c:pt idx="351">
                  <c:v>26</c:v>
                </c:pt>
                <c:pt idx="352">
                  <c:v>16</c:v>
                </c:pt>
                <c:pt idx="353">
                  <c:v>17</c:v>
                </c:pt>
                <c:pt idx="354">
                  <c:v>23</c:v>
                </c:pt>
                <c:pt idx="355">
                  <c:v>29</c:v>
                </c:pt>
                <c:pt idx="356">
                  <c:v>34</c:v>
                </c:pt>
                <c:pt idx="357">
                  <c:v>26</c:v>
                </c:pt>
                <c:pt idx="358">
                  <c:v>15</c:v>
                </c:pt>
                <c:pt idx="359">
                  <c:v>14</c:v>
                </c:pt>
                <c:pt idx="360">
                  <c:v>30</c:v>
                </c:pt>
                <c:pt idx="361">
                  <c:v>13</c:v>
                </c:pt>
                <c:pt idx="362">
                  <c:v>24</c:v>
                </c:pt>
                <c:pt idx="363">
                  <c:v>13</c:v>
                </c:pt>
                <c:pt idx="364">
                  <c:v>67</c:v>
                </c:pt>
                <c:pt idx="365">
                  <c:v>27</c:v>
                </c:pt>
                <c:pt idx="366">
                  <c:v>21</c:v>
                </c:pt>
                <c:pt idx="367">
                  <c:v>41</c:v>
                </c:pt>
                <c:pt idx="368">
                  <c:v>44</c:v>
                </c:pt>
                <c:pt idx="369">
                  <c:v>54</c:v>
                </c:pt>
                <c:pt idx="370">
                  <c:v>22</c:v>
                </c:pt>
                <c:pt idx="371">
                  <c:v>38</c:v>
                </c:pt>
                <c:pt idx="372">
                  <c:v>29</c:v>
                </c:pt>
                <c:pt idx="373">
                  <c:v>21</c:v>
                </c:pt>
                <c:pt idx="374">
                  <c:v>16</c:v>
                </c:pt>
                <c:pt idx="375">
                  <c:v>14</c:v>
                </c:pt>
                <c:pt idx="376">
                  <c:v>26</c:v>
                </c:pt>
                <c:pt idx="377">
                  <c:v>21</c:v>
                </c:pt>
                <c:pt idx="378">
                  <c:v>17</c:v>
                </c:pt>
                <c:pt idx="379">
                  <c:v>15</c:v>
                </c:pt>
                <c:pt idx="380">
                  <c:v>20</c:v>
                </c:pt>
                <c:pt idx="381">
                  <c:v>18</c:v>
                </c:pt>
                <c:pt idx="382">
                  <c:v>11</c:v>
                </c:pt>
                <c:pt idx="383">
                  <c:v>14</c:v>
                </c:pt>
                <c:pt idx="384">
                  <c:v>28</c:v>
                </c:pt>
                <c:pt idx="385">
                  <c:v>10</c:v>
                </c:pt>
                <c:pt idx="386">
                  <c:v>16</c:v>
                </c:pt>
                <c:pt idx="387">
                  <c:v>20</c:v>
                </c:pt>
                <c:pt idx="388">
                  <c:v>8</c:v>
                </c:pt>
                <c:pt idx="389">
                  <c:v>35</c:v>
                </c:pt>
                <c:pt idx="390">
                  <c:v>25</c:v>
                </c:pt>
                <c:pt idx="391">
                  <c:v>40</c:v>
                </c:pt>
                <c:pt idx="392">
                  <c:v>12</c:v>
                </c:pt>
                <c:pt idx="393">
                  <c:v>29</c:v>
                </c:pt>
                <c:pt idx="394">
                  <c:v>18</c:v>
                </c:pt>
                <c:pt idx="395">
                  <c:v>17</c:v>
                </c:pt>
                <c:pt idx="396">
                  <c:v>46</c:v>
                </c:pt>
                <c:pt idx="397">
                  <c:v>14</c:v>
                </c:pt>
                <c:pt idx="398">
                  <c:v>21</c:v>
                </c:pt>
                <c:pt idx="399">
                  <c:v>19</c:v>
                </c:pt>
                <c:pt idx="400">
                  <c:v>27</c:v>
                </c:pt>
                <c:pt idx="401">
                  <c:v>16</c:v>
                </c:pt>
                <c:pt idx="402">
                  <c:v>14</c:v>
                </c:pt>
                <c:pt idx="403">
                  <c:v>20</c:v>
                </c:pt>
                <c:pt idx="404">
                  <c:v>7</c:v>
                </c:pt>
                <c:pt idx="405">
                  <c:v>17</c:v>
                </c:pt>
                <c:pt idx="406">
                  <c:v>18</c:v>
                </c:pt>
                <c:pt idx="407">
                  <c:v>9</c:v>
                </c:pt>
                <c:pt idx="408">
                  <c:v>10</c:v>
                </c:pt>
                <c:pt idx="409">
                  <c:v>14</c:v>
                </c:pt>
                <c:pt idx="410">
                  <c:v>15</c:v>
                </c:pt>
                <c:pt idx="411">
                  <c:v>14</c:v>
                </c:pt>
                <c:pt idx="412">
                  <c:v>27</c:v>
                </c:pt>
                <c:pt idx="413">
                  <c:v>59</c:v>
                </c:pt>
                <c:pt idx="414">
                  <c:v>18</c:v>
                </c:pt>
                <c:pt idx="415">
                  <c:v>24</c:v>
                </c:pt>
                <c:pt idx="416">
                  <c:v>17</c:v>
                </c:pt>
                <c:pt idx="417">
                  <c:v>18</c:v>
                </c:pt>
                <c:pt idx="418">
                  <c:v>10</c:v>
                </c:pt>
                <c:pt idx="419">
                  <c:v>10</c:v>
                </c:pt>
                <c:pt idx="420">
                  <c:v>14</c:v>
                </c:pt>
                <c:pt idx="421">
                  <c:v>15</c:v>
                </c:pt>
                <c:pt idx="422">
                  <c:v>14</c:v>
                </c:pt>
                <c:pt idx="423">
                  <c:v>21</c:v>
                </c:pt>
                <c:pt idx="424">
                  <c:v>25</c:v>
                </c:pt>
                <c:pt idx="425">
                  <c:v>28</c:v>
                </c:pt>
                <c:pt idx="426">
                  <c:v>26</c:v>
                </c:pt>
                <c:pt idx="427">
                  <c:v>12</c:v>
                </c:pt>
                <c:pt idx="428">
                  <c:v>11</c:v>
                </c:pt>
                <c:pt idx="429">
                  <c:v>25</c:v>
                </c:pt>
                <c:pt idx="430">
                  <c:v>8</c:v>
                </c:pt>
                <c:pt idx="431">
                  <c:v>11</c:v>
                </c:pt>
                <c:pt idx="432">
                  <c:v>14</c:v>
                </c:pt>
                <c:pt idx="433">
                  <c:v>14</c:v>
                </c:pt>
                <c:pt idx="434">
                  <c:v>13</c:v>
                </c:pt>
                <c:pt idx="435">
                  <c:v>32</c:v>
                </c:pt>
                <c:pt idx="436">
                  <c:v>23</c:v>
                </c:pt>
                <c:pt idx="437">
                  <c:v>35</c:v>
                </c:pt>
                <c:pt idx="438">
                  <c:v>30</c:v>
                </c:pt>
                <c:pt idx="439">
                  <c:v>36</c:v>
                </c:pt>
                <c:pt idx="440">
                  <c:v>41</c:v>
                </c:pt>
                <c:pt idx="441">
                  <c:v>55</c:v>
                </c:pt>
                <c:pt idx="442">
                  <c:v>54</c:v>
                </c:pt>
                <c:pt idx="443">
                  <c:v>27</c:v>
                </c:pt>
                <c:pt idx="444">
                  <c:v>25</c:v>
                </c:pt>
                <c:pt idx="445">
                  <c:v>21</c:v>
                </c:pt>
                <c:pt idx="446">
                  <c:v>37</c:v>
                </c:pt>
                <c:pt idx="447">
                  <c:v>32</c:v>
                </c:pt>
                <c:pt idx="448">
                  <c:v>74</c:v>
                </c:pt>
                <c:pt idx="449">
                  <c:v>19</c:v>
                </c:pt>
                <c:pt idx="450">
                  <c:v>29</c:v>
                </c:pt>
                <c:pt idx="451">
                  <c:v>15</c:v>
                </c:pt>
                <c:pt idx="452">
                  <c:v>12</c:v>
                </c:pt>
                <c:pt idx="453">
                  <c:v>8</c:v>
                </c:pt>
                <c:pt idx="454">
                  <c:v>20</c:v>
                </c:pt>
                <c:pt idx="455">
                  <c:v>17</c:v>
                </c:pt>
                <c:pt idx="456">
                  <c:v>18</c:v>
                </c:pt>
                <c:pt idx="457">
                  <c:v>13</c:v>
                </c:pt>
                <c:pt idx="458">
                  <c:v>12</c:v>
                </c:pt>
                <c:pt idx="459">
                  <c:v>10</c:v>
                </c:pt>
                <c:pt idx="460">
                  <c:v>24</c:v>
                </c:pt>
                <c:pt idx="461">
                  <c:v>17</c:v>
                </c:pt>
                <c:pt idx="462">
                  <c:v>8</c:v>
                </c:pt>
                <c:pt idx="463">
                  <c:v>17</c:v>
                </c:pt>
                <c:pt idx="464">
                  <c:v>10</c:v>
                </c:pt>
                <c:pt idx="465">
                  <c:v>37</c:v>
                </c:pt>
                <c:pt idx="466">
                  <c:v>25</c:v>
                </c:pt>
                <c:pt idx="467">
                  <c:v>105</c:v>
                </c:pt>
                <c:pt idx="468">
                  <c:v>122</c:v>
                </c:pt>
                <c:pt idx="469">
                  <c:v>128</c:v>
                </c:pt>
                <c:pt idx="470">
                  <c:v>90</c:v>
                </c:pt>
                <c:pt idx="471">
                  <c:v>93</c:v>
                </c:pt>
                <c:pt idx="472">
                  <c:v>36</c:v>
                </c:pt>
                <c:pt idx="473">
                  <c:v>39</c:v>
                </c:pt>
                <c:pt idx="474">
                  <c:v>25</c:v>
                </c:pt>
                <c:pt idx="475">
                  <c:v>18</c:v>
                </c:pt>
                <c:pt idx="476">
                  <c:v>46</c:v>
                </c:pt>
                <c:pt idx="477">
                  <c:v>20</c:v>
                </c:pt>
                <c:pt idx="478">
                  <c:v>21</c:v>
                </c:pt>
                <c:pt idx="479">
                  <c:v>23</c:v>
                </c:pt>
                <c:pt idx="480">
                  <c:v>49</c:v>
                </c:pt>
                <c:pt idx="481">
                  <c:v>32</c:v>
                </c:pt>
                <c:pt idx="482">
                  <c:v>33</c:v>
                </c:pt>
                <c:pt idx="483">
                  <c:v>27</c:v>
                </c:pt>
                <c:pt idx="484">
                  <c:v>29</c:v>
                </c:pt>
                <c:pt idx="485">
                  <c:v>15</c:v>
                </c:pt>
                <c:pt idx="486">
                  <c:v>19</c:v>
                </c:pt>
                <c:pt idx="487">
                  <c:v>46</c:v>
                </c:pt>
                <c:pt idx="488">
                  <c:v>23</c:v>
                </c:pt>
                <c:pt idx="489">
                  <c:v>17</c:v>
                </c:pt>
                <c:pt idx="490">
                  <c:v>36</c:v>
                </c:pt>
                <c:pt idx="491">
                  <c:v>30</c:v>
                </c:pt>
                <c:pt idx="492">
                  <c:v>18</c:v>
                </c:pt>
                <c:pt idx="493">
                  <c:v>37</c:v>
                </c:pt>
                <c:pt idx="494">
                  <c:v>27</c:v>
                </c:pt>
                <c:pt idx="495">
                  <c:v>16</c:v>
                </c:pt>
                <c:pt idx="496">
                  <c:v>16</c:v>
                </c:pt>
                <c:pt idx="497">
                  <c:v>33</c:v>
                </c:pt>
                <c:pt idx="498">
                  <c:v>40</c:v>
                </c:pt>
                <c:pt idx="499">
                  <c:v>49</c:v>
                </c:pt>
                <c:pt idx="500">
                  <c:v>20</c:v>
                </c:pt>
                <c:pt idx="501">
                  <c:v>29</c:v>
                </c:pt>
                <c:pt idx="502">
                  <c:v>42</c:v>
                </c:pt>
                <c:pt idx="503">
                  <c:v>7</c:v>
                </c:pt>
                <c:pt idx="504">
                  <c:v>27</c:v>
                </c:pt>
                <c:pt idx="505">
                  <c:v>15</c:v>
                </c:pt>
                <c:pt idx="506">
                  <c:v>25</c:v>
                </c:pt>
                <c:pt idx="507">
                  <c:v>14</c:v>
                </c:pt>
                <c:pt idx="508">
                  <c:v>17</c:v>
                </c:pt>
                <c:pt idx="509">
                  <c:v>12</c:v>
                </c:pt>
                <c:pt idx="510">
                  <c:v>13</c:v>
                </c:pt>
                <c:pt idx="511">
                  <c:v>18</c:v>
                </c:pt>
                <c:pt idx="512">
                  <c:v>16</c:v>
                </c:pt>
                <c:pt idx="513">
                  <c:v>19</c:v>
                </c:pt>
                <c:pt idx="514">
                  <c:v>22</c:v>
                </c:pt>
                <c:pt idx="515">
                  <c:v>16</c:v>
                </c:pt>
                <c:pt idx="516">
                  <c:v>9</c:v>
                </c:pt>
                <c:pt idx="517">
                  <c:v>15</c:v>
                </c:pt>
                <c:pt idx="518">
                  <c:v>17</c:v>
                </c:pt>
                <c:pt idx="519">
                  <c:v>21</c:v>
                </c:pt>
                <c:pt idx="520">
                  <c:v>10</c:v>
                </c:pt>
                <c:pt idx="521">
                  <c:v>26</c:v>
                </c:pt>
                <c:pt idx="522">
                  <c:v>11</c:v>
                </c:pt>
                <c:pt idx="523">
                  <c:v>22</c:v>
                </c:pt>
                <c:pt idx="524">
                  <c:v>25</c:v>
                </c:pt>
                <c:pt idx="525">
                  <c:v>6</c:v>
                </c:pt>
                <c:pt idx="526">
                  <c:v>17</c:v>
                </c:pt>
                <c:pt idx="527">
                  <c:v>13</c:v>
                </c:pt>
                <c:pt idx="528">
                  <c:v>13</c:v>
                </c:pt>
                <c:pt idx="529">
                  <c:v>11</c:v>
                </c:pt>
                <c:pt idx="530">
                  <c:v>16</c:v>
                </c:pt>
                <c:pt idx="531">
                  <c:v>21</c:v>
                </c:pt>
                <c:pt idx="532">
                  <c:v>20</c:v>
                </c:pt>
                <c:pt idx="533">
                  <c:v>11</c:v>
                </c:pt>
                <c:pt idx="534">
                  <c:v>14</c:v>
                </c:pt>
                <c:pt idx="535">
                  <c:v>12</c:v>
                </c:pt>
                <c:pt idx="536">
                  <c:v>21</c:v>
                </c:pt>
                <c:pt idx="537">
                  <c:v>21</c:v>
                </c:pt>
                <c:pt idx="538">
                  <c:v>27</c:v>
                </c:pt>
                <c:pt idx="539">
                  <c:v>40</c:v>
                </c:pt>
                <c:pt idx="540">
                  <c:v>41</c:v>
                </c:pt>
                <c:pt idx="541">
                  <c:v>84</c:v>
                </c:pt>
                <c:pt idx="542">
                  <c:v>39</c:v>
                </c:pt>
                <c:pt idx="543">
                  <c:v>29</c:v>
                </c:pt>
                <c:pt idx="544">
                  <c:v>27</c:v>
                </c:pt>
                <c:pt idx="545">
                  <c:v>9</c:v>
                </c:pt>
                <c:pt idx="546">
                  <c:v>16</c:v>
                </c:pt>
                <c:pt idx="547">
                  <c:v>45</c:v>
                </c:pt>
                <c:pt idx="548">
                  <c:v>56</c:v>
                </c:pt>
                <c:pt idx="549">
                  <c:v>85</c:v>
                </c:pt>
                <c:pt idx="550">
                  <c:v>14</c:v>
                </c:pt>
                <c:pt idx="551">
                  <c:v>13</c:v>
                </c:pt>
                <c:pt idx="552">
                  <c:v>58</c:v>
                </c:pt>
                <c:pt idx="553">
                  <c:v>93</c:v>
                </c:pt>
                <c:pt idx="554">
                  <c:v>51</c:v>
                </c:pt>
                <c:pt idx="555">
                  <c:v>11</c:v>
                </c:pt>
                <c:pt idx="556">
                  <c:v>49</c:v>
                </c:pt>
                <c:pt idx="557">
                  <c:v>36</c:v>
                </c:pt>
                <c:pt idx="558">
                  <c:v>11</c:v>
                </c:pt>
                <c:pt idx="559">
                  <c:v>44</c:v>
                </c:pt>
                <c:pt idx="560">
                  <c:v>36</c:v>
                </c:pt>
                <c:pt idx="561">
                  <c:v>41</c:v>
                </c:pt>
                <c:pt idx="562">
                  <c:v>53</c:v>
                </c:pt>
                <c:pt idx="563">
                  <c:v>20</c:v>
                </c:pt>
                <c:pt idx="564">
                  <c:v>55</c:v>
                </c:pt>
                <c:pt idx="565">
                  <c:v>40</c:v>
                </c:pt>
                <c:pt idx="566">
                  <c:v>71</c:v>
                </c:pt>
                <c:pt idx="567">
                  <c:v>20</c:v>
                </c:pt>
                <c:pt idx="568">
                  <c:v>14</c:v>
                </c:pt>
                <c:pt idx="569">
                  <c:v>25</c:v>
                </c:pt>
                <c:pt idx="570">
                  <c:v>16</c:v>
                </c:pt>
                <c:pt idx="571">
                  <c:v>53</c:v>
                </c:pt>
                <c:pt idx="572">
                  <c:v>43</c:v>
                </c:pt>
                <c:pt idx="573">
                  <c:v>77</c:v>
                </c:pt>
                <c:pt idx="574">
                  <c:v>9</c:v>
                </c:pt>
                <c:pt idx="575">
                  <c:v>50</c:v>
                </c:pt>
                <c:pt idx="576">
                  <c:v>41</c:v>
                </c:pt>
                <c:pt idx="577">
                  <c:v>20</c:v>
                </c:pt>
                <c:pt idx="578">
                  <c:v>17</c:v>
                </c:pt>
                <c:pt idx="579">
                  <c:v>39</c:v>
                </c:pt>
                <c:pt idx="580">
                  <c:v>55</c:v>
                </c:pt>
                <c:pt idx="581">
                  <c:v>9</c:v>
                </c:pt>
                <c:pt idx="582">
                  <c:v>9</c:v>
                </c:pt>
                <c:pt idx="583">
                  <c:v>14</c:v>
                </c:pt>
                <c:pt idx="584">
                  <c:v>9</c:v>
                </c:pt>
                <c:pt idx="585">
                  <c:v>25</c:v>
                </c:pt>
                <c:pt idx="586">
                  <c:v>19</c:v>
                </c:pt>
                <c:pt idx="587">
                  <c:v>15</c:v>
                </c:pt>
                <c:pt idx="588">
                  <c:v>27</c:v>
                </c:pt>
                <c:pt idx="589">
                  <c:v>31</c:v>
                </c:pt>
                <c:pt idx="590">
                  <c:v>38</c:v>
                </c:pt>
                <c:pt idx="591">
                  <c:v>24</c:v>
                </c:pt>
                <c:pt idx="592">
                  <c:v>45</c:v>
                </c:pt>
                <c:pt idx="593">
                  <c:v>9</c:v>
                </c:pt>
                <c:pt idx="594">
                  <c:v>28</c:v>
                </c:pt>
                <c:pt idx="595">
                  <c:v>25</c:v>
                </c:pt>
                <c:pt idx="596">
                  <c:v>33</c:v>
                </c:pt>
                <c:pt idx="597">
                  <c:v>36</c:v>
                </c:pt>
                <c:pt idx="598">
                  <c:v>33</c:v>
                </c:pt>
                <c:pt idx="59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13-4FD0-B637-6ACDADD27C2B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AOI_u_Laney!$E$11:$E$610</c:f>
              <c:numCache>
                <c:formatCode>0.0000</c:formatCode>
                <c:ptCount val="600"/>
                <c:pt idx="0">
                  <c:v>37.632427290462147</c:v>
                </c:pt>
                <c:pt idx="1">
                  <c:v>37.632427290462147</c:v>
                </c:pt>
                <c:pt idx="2">
                  <c:v>37.632427290462147</c:v>
                </c:pt>
                <c:pt idx="3">
                  <c:v>37.632427290462147</c:v>
                </c:pt>
                <c:pt idx="4">
                  <c:v>37.632427290462147</c:v>
                </c:pt>
                <c:pt idx="5">
                  <c:v>37.632427290462147</c:v>
                </c:pt>
                <c:pt idx="6">
                  <c:v>37.632427290462147</c:v>
                </c:pt>
                <c:pt idx="7">
                  <c:v>37.632427290462147</c:v>
                </c:pt>
                <c:pt idx="8">
                  <c:v>37.632427290462147</c:v>
                </c:pt>
                <c:pt idx="9">
                  <c:v>37.632427290462147</c:v>
                </c:pt>
                <c:pt idx="10">
                  <c:v>37.632427290462147</c:v>
                </c:pt>
                <c:pt idx="11">
                  <c:v>37.632427290462147</c:v>
                </c:pt>
                <c:pt idx="12">
                  <c:v>37.632427290462147</c:v>
                </c:pt>
                <c:pt idx="13">
                  <c:v>37.632427290462147</c:v>
                </c:pt>
                <c:pt idx="14">
                  <c:v>37.632427290462147</c:v>
                </c:pt>
                <c:pt idx="15">
                  <c:v>37.632427290462147</c:v>
                </c:pt>
                <c:pt idx="16">
                  <c:v>37.632427290462147</c:v>
                </c:pt>
                <c:pt idx="17">
                  <c:v>37.632427290462147</c:v>
                </c:pt>
                <c:pt idx="18">
                  <c:v>37.632427290462147</c:v>
                </c:pt>
                <c:pt idx="19">
                  <c:v>37.632427290462147</c:v>
                </c:pt>
                <c:pt idx="20">
                  <c:v>37.632427290462147</c:v>
                </c:pt>
                <c:pt idx="21">
                  <c:v>37.632427290462147</c:v>
                </c:pt>
                <c:pt idx="22">
                  <c:v>37.632427290462147</c:v>
                </c:pt>
                <c:pt idx="23">
                  <c:v>37.632427290462147</c:v>
                </c:pt>
                <c:pt idx="24">
                  <c:v>37.632427290462147</c:v>
                </c:pt>
                <c:pt idx="25">
                  <c:v>37.632427290462147</c:v>
                </c:pt>
                <c:pt idx="26">
                  <c:v>37.632427290462147</c:v>
                </c:pt>
                <c:pt idx="27">
                  <c:v>37.632427290462147</c:v>
                </c:pt>
                <c:pt idx="28">
                  <c:v>37.632427290462147</c:v>
                </c:pt>
                <c:pt idx="29">
                  <c:v>37.632427290462147</c:v>
                </c:pt>
                <c:pt idx="30">
                  <c:v>37.632427290462147</c:v>
                </c:pt>
                <c:pt idx="31">
                  <c:v>37.632427290462147</c:v>
                </c:pt>
                <c:pt idx="32">
                  <c:v>37.632427290462147</c:v>
                </c:pt>
                <c:pt idx="33">
                  <c:v>37.632427290462147</c:v>
                </c:pt>
                <c:pt idx="34">
                  <c:v>37.632427290462147</c:v>
                </c:pt>
                <c:pt idx="35">
                  <c:v>37.632427290462147</c:v>
                </c:pt>
                <c:pt idx="36">
                  <c:v>37.632427290462147</c:v>
                </c:pt>
                <c:pt idx="37">
                  <c:v>37.632427290462147</c:v>
                </c:pt>
                <c:pt idx="38">
                  <c:v>37.632427290462147</c:v>
                </c:pt>
                <c:pt idx="39">
                  <c:v>37.632427290462147</c:v>
                </c:pt>
                <c:pt idx="40">
                  <c:v>37.632427290462147</c:v>
                </c:pt>
                <c:pt idx="41">
                  <c:v>37.632427290462147</c:v>
                </c:pt>
                <c:pt idx="42">
                  <c:v>37.632427290462147</c:v>
                </c:pt>
                <c:pt idx="43">
                  <c:v>37.632427290462147</c:v>
                </c:pt>
                <c:pt idx="44">
                  <c:v>37.632427290462147</c:v>
                </c:pt>
                <c:pt idx="45">
                  <c:v>37.632427290462147</c:v>
                </c:pt>
                <c:pt idx="46">
                  <c:v>37.632427290462147</c:v>
                </c:pt>
                <c:pt idx="47">
                  <c:v>37.632427290462147</c:v>
                </c:pt>
                <c:pt idx="48">
                  <c:v>37.632427290462147</c:v>
                </c:pt>
                <c:pt idx="49">
                  <c:v>37.632427290462147</c:v>
                </c:pt>
                <c:pt idx="50">
                  <c:v>37.632427290462147</c:v>
                </c:pt>
                <c:pt idx="51">
                  <c:v>37.632427290462147</c:v>
                </c:pt>
                <c:pt idx="52">
                  <c:v>37.632427290462147</c:v>
                </c:pt>
                <c:pt idx="53">
                  <c:v>37.632427290462147</c:v>
                </c:pt>
                <c:pt idx="54">
                  <c:v>37.632427290462147</c:v>
                </c:pt>
                <c:pt idx="55">
                  <c:v>37.632427290462147</c:v>
                </c:pt>
                <c:pt idx="56">
                  <c:v>37.632427290462147</c:v>
                </c:pt>
                <c:pt idx="57">
                  <c:v>37.632427290462147</c:v>
                </c:pt>
                <c:pt idx="58">
                  <c:v>37.632427290462147</c:v>
                </c:pt>
                <c:pt idx="59">
                  <c:v>37.632427290462147</c:v>
                </c:pt>
                <c:pt idx="60">
                  <c:v>37.632427290462147</c:v>
                </c:pt>
                <c:pt idx="61">
                  <c:v>37.632427290462147</c:v>
                </c:pt>
                <c:pt idx="62">
                  <c:v>37.632427290462147</c:v>
                </c:pt>
                <c:pt idx="63">
                  <c:v>37.632427290462147</c:v>
                </c:pt>
                <c:pt idx="64">
                  <c:v>37.632427290462147</c:v>
                </c:pt>
                <c:pt idx="65">
                  <c:v>37.632427290462147</c:v>
                </c:pt>
                <c:pt idx="66">
                  <c:v>37.632427290462147</c:v>
                </c:pt>
                <c:pt idx="67">
                  <c:v>37.632427290462147</c:v>
                </c:pt>
                <c:pt idx="68">
                  <c:v>37.632427290462147</c:v>
                </c:pt>
                <c:pt idx="69">
                  <c:v>37.632427290462147</c:v>
                </c:pt>
                <c:pt idx="70">
                  <c:v>37.632427290462147</c:v>
                </c:pt>
                <c:pt idx="71">
                  <c:v>37.632427290462147</c:v>
                </c:pt>
                <c:pt idx="72">
                  <c:v>37.632427290462147</c:v>
                </c:pt>
                <c:pt idx="73">
                  <c:v>37.632427290462147</c:v>
                </c:pt>
                <c:pt idx="74">
                  <c:v>37.632427290462147</c:v>
                </c:pt>
                <c:pt idx="75">
                  <c:v>37.632427290462147</c:v>
                </c:pt>
                <c:pt idx="76">
                  <c:v>37.632427290462147</c:v>
                </c:pt>
                <c:pt idx="77">
                  <c:v>37.632427290462147</c:v>
                </c:pt>
                <c:pt idx="78">
                  <c:v>37.632427290462147</c:v>
                </c:pt>
                <c:pt idx="79">
                  <c:v>37.632427290462147</c:v>
                </c:pt>
                <c:pt idx="80">
                  <c:v>37.632427290462147</c:v>
                </c:pt>
                <c:pt idx="81">
                  <c:v>37.632427290462147</c:v>
                </c:pt>
                <c:pt idx="82">
                  <c:v>37.632427290462147</c:v>
                </c:pt>
                <c:pt idx="83">
                  <c:v>37.632427290462147</c:v>
                </c:pt>
                <c:pt idx="84">
                  <c:v>37.632427290462147</c:v>
                </c:pt>
                <c:pt idx="85">
                  <c:v>37.632427290462147</c:v>
                </c:pt>
                <c:pt idx="86">
                  <c:v>37.632427290462147</c:v>
                </c:pt>
                <c:pt idx="87">
                  <c:v>37.632427290462147</c:v>
                </c:pt>
                <c:pt idx="88">
                  <c:v>37.632427290462147</c:v>
                </c:pt>
                <c:pt idx="89">
                  <c:v>37.632427290462147</c:v>
                </c:pt>
                <c:pt idx="90">
                  <c:v>37.632427290462147</c:v>
                </c:pt>
                <c:pt idx="91">
                  <c:v>37.632427290462147</c:v>
                </c:pt>
                <c:pt idx="92">
                  <c:v>37.632427290462147</c:v>
                </c:pt>
                <c:pt idx="93">
                  <c:v>37.632427290462147</c:v>
                </c:pt>
                <c:pt idx="94">
                  <c:v>37.632427290462147</c:v>
                </c:pt>
                <c:pt idx="95">
                  <c:v>37.632427290462147</c:v>
                </c:pt>
                <c:pt idx="96">
                  <c:v>37.632427290462147</c:v>
                </c:pt>
                <c:pt idx="97">
                  <c:v>37.632427290462147</c:v>
                </c:pt>
                <c:pt idx="98">
                  <c:v>37.632427290462147</c:v>
                </c:pt>
                <c:pt idx="99">
                  <c:v>37.632427290462147</c:v>
                </c:pt>
                <c:pt idx="100">
                  <c:v>37.632427290462147</c:v>
                </c:pt>
                <c:pt idx="101">
                  <c:v>37.632427290462147</c:v>
                </c:pt>
                <c:pt idx="102">
                  <c:v>37.632427290462147</c:v>
                </c:pt>
                <c:pt idx="103">
                  <c:v>37.632427290462147</c:v>
                </c:pt>
                <c:pt idx="104">
                  <c:v>37.632427290462147</c:v>
                </c:pt>
                <c:pt idx="105">
                  <c:v>37.632427290462147</c:v>
                </c:pt>
                <c:pt idx="106">
                  <c:v>37.632427290462147</c:v>
                </c:pt>
                <c:pt idx="107">
                  <c:v>37.632427290462147</c:v>
                </c:pt>
                <c:pt idx="108">
                  <c:v>37.632427290462147</c:v>
                </c:pt>
                <c:pt idx="109">
                  <c:v>37.632427290462147</c:v>
                </c:pt>
                <c:pt idx="110">
                  <c:v>37.632427290462147</c:v>
                </c:pt>
                <c:pt idx="111">
                  <c:v>37.632427290462147</c:v>
                </c:pt>
                <c:pt idx="112">
                  <c:v>37.632427290462147</c:v>
                </c:pt>
                <c:pt idx="113">
                  <c:v>37.632427290462147</c:v>
                </c:pt>
                <c:pt idx="114">
                  <c:v>37.632427290462147</c:v>
                </c:pt>
                <c:pt idx="115">
                  <c:v>37.632427290462147</c:v>
                </c:pt>
                <c:pt idx="116">
                  <c:v>37.632427290462147</c:v>
                </c:pt>
                <c:pt idx="117">
                  <c:v>37.632427290462147</c:v>
                </c:pt>
                <c:pt idx="118">
                  <c:v>37.632427290462147</c:v>
                </c:pt>
                <c:pt idx="119">
                  <c:v>37.632427290462147</c:v>
                </c:pt>
                <c:pt idx="120">
                  <c:v>37.632427290462147</c:v>
                </c:pt>
                <c:pt idx="121">
                  <c:v>37.632427290462147</c:v>
                </c:pt>
                <c:pt idx="122">
                  <c:v>37.632427290462147</c:v>
                </c:pt>
                <c:pt idx="123">
                  <c:v>37.632427290462147</c:v>
                </c:pt>
                <c:pt idx="124">
                  <c:v>37.632427290462147</c:v>
                </c:pt>
                <c:pt idx="125">
                  <c:v>37.632427290462147</c:v>
                </c:pt>
                <c:pt idx="126">
                  <c:v>37.632427290462147</c:v>
                </c:pt>
                <c:pt idx="127">
                  <c:v>37.632427290462147</c:v>
                </c:pt>
                <c:pt idx="128">
                  <c:v>37.632427290462147</c:v>
                </c:pt>
                <c:pt idx="129">
                  <c:v>37.632427290462147</c:v>
                </c:pt>
                <c:pt idx="130">
                  <c:v>37.632427290462147</c:v>
                </c:pt>
                <c:pt idx="131">
                  <c:v>37.632427290462147</c:v>
                </c:pt>
                <c:pt idx="132">
                  <c:v>37.632427290462147</c:v>
                </c:pt>
                <c:pt idx="133">
                  <c:v>37.632427290462147</c:v>
                </c:pt>
                <c:pt idx="134">
                  <c:v>37.632427290462147</c:v>
                </c:pt>
                <c:pt idx="135">
                  <c:v>37.632427290462147</c:v>
                </c:pt>
                <c:pt idx="136">
                  <c:v>37.632427290462147</c:v>
                </c:pt>
                <c:pt idx="137">
                  <c:v>37.632427290462147</c:v>
                </c:pt>
                <c:pt idx="138">
                  <c:v>37.632427290462147</c:v>
                </c:pt>
                <c:pt idx="139">
                  <c:v>37.632427290462147</c:v>
                </c:pt>
                <c:pt idx="140">
                  <c:v>37.632427290462147</c:v>
                </c:pt>
                <c:pt idx="141">
                  <c:v>37.632427290462147</c:v>
                </c:pt>
                <c:pt idx="142">
                  <c:v>37.632427290462147</c:v>
                </c:pt>
                <c:pt idx="143">
                  <c:v>37.632427290462147</c:v>
                </c:pt>
                <c:pt idx="144">
                  <c:v>37.632427290462147</c:v>
                </c:pt>
                <c:pt idx="145">
                  <c:v>37.632427290462147</c:v>
                </c:pt>
                <c:pt idx="146">
                  <c:v>37.632427290462147</c:v>
                </c:pt>
                <c:pt idx="147">
                  <c:v>37.632427290462147</c:v>
                </c:pt>
                <c:pt idx="148">
                  <c:v>37.632427290462147</c:v>
                </c:pt>
                <c:pt idx="149">
                  <c:v>37.632427290462147</c:v>
                </c:pt>
                <c:pt idx="150">
                  <c:v>37.632427290462147</c:v>
                </c:pt>
                <c:pt idx="151">
                  <c:v>37.632427290462147</c:v>
                </c:pt>
                <c:pt idx="152">
                  <c:v>37.632427290462147</c:v>
                </c:pt>
                <c:pt idx="153">
                  <c:v>37.632427290462147</c:v>
                </c:pt>
                <c:pt idx="154">
                  <c:v>37.632427290462147</c:v>
                </c:pt>
                <c:pt idx="155">
                  <c:v>37.632427290462147</c:v>
                </c:pt>
                <c:pt idx="156">
                  <c:v>37.632427290462147</c:v>
                </c:pt>
                <c:pt idx="157">
                  <c:v>37.632427290462147</c:v>
                </c:pt>
                <c:pt idx="158">
                  <c:v>37.632427290462147</c:v>
                </c:pt>
                <c:pt idx="159">
                  <c:v>37.632427290462147</c:v>
                </c:pt>
                <c:pt idx="160">
                  <c:v>37.632427290462147</c:v>
                </c:pt>
                <c:pt idx="161">
                  <c:v>37.632427290462147</c:v>
                </c:pt>
                <c:pt idx="162">
                  <c:v>37.632427290462147</c:v>
                </c:pt>
                <c:pt idx="163">
                  <c:v>37.632427290462147</c:v>
                </c:pt>
                <c:pt idx="164">
                  <c:v>37.632427290462147</c:v>
                </c:pt>
                <c:pt idx="165">
                  <c:v>37.632427290462147</c:v>
                </c:pt>
                <c:pt idx="166">
                  <c:v>37.632427290462147</c:v>
                </c:pt>
                <c:pt idx="167">
                  <c:v>37.632427290462147</c:v>
                </c:pt>
                <c:pt idx="168">
                  <c:v>37.632427290462147</c:v>
                </c:pt>
                <c:pt idx="169">
                  <c:v>37.632427290462147</c:v>
                </c:pt>
                <c:pt idx="170">
                  <c:v>37.632427290462147</c:v>
                </c:pt>
                <c:pt idx="171">
                  <c:v>37.632427290462147</c:v>
                </c:pt>
                <c:pt idx="172">
                  <c:v>37.632427290462147</c:v>
                </c:pt>
                <c:pt idx="173">
                  <c:v>37.632427290462147</c:v>
                </c:pt>
                <c:pt idx="174">
                  <c:v>37.632427290462147</c:v>
                </c:pt>
                <c:pt idx="175">
                  <c:v>37.632427290462147</c:v>
                </c:pt>
                <c:pt idx="176">
                  <c:v>37.632427290462147</c:v>
                </c:pt>
                <c:pt idx="177">
                  <c:v>37.632427290462147</c:v>
                </c:pt>
                <c:pt idx="178">
                  <c:v>37.632427290462147</c:v>
                </c:pt>
                <c:pt idx="179">
                  <c:v>37.632427290462147</c:v>
                </c:pt>
                <c:pt idx="180">
                  <c:v>37.632427290462147</c:v>
                </c:pt>
                <c:pt idx="181">
                  <c:v>37.632427290462147</c:v>
                </c:pt>
                <c:pt idx="182">
                  <c:v>37.632427290462147</c:v>
                </c:pt>
                <c:pt idx="183">
                  <c:v>37.632427290462147</c:v>
                </c:pt>
                <c:pt idx="184">
                  <c:v>37.632427290462147</c:v>
                </c:pt>
                <c:pt idx="185">
                  <c:v>37.632427290462147</c:v>
                </c:pt>
                <c:pt idx="186">
                  <c:v>37.632427290462147</c:v>
                </c:pt>
                <c:pt idx="187">
                  <c:v>37.632427290462147</c:v>
                </c:pt>
                <c:pt idx="188">
                  <c:v>37.632427290462147</c:v>
                </c:pt>
                <c:pt idx="189">
                  <c:v>37.632427290462147</c:v>
                </c:pt>
                <c:pt idx="190">
                  <c:v>37.632427290462147</c:v>
                </c:pt>
                <c:pt idx="191">
                  <c:v>37.632427290462147</c:v>
                </c:pt>
                <c:pt idx="192">
                  <c:v>37.632427290462147</c:v>
                </c:pt>
                <c:pt idx="193">
                  <c:v>37.632427290462147</c:v>
                </c:pt>
                <c:pt idx="194">
                  <c:v>37.632427290462147</c:v>
                </c:pt>
                <c:pt idx="195">
                  <c:v>37.632427290462147</c:v>
                </c:pt>
                <c:pt idx="196">
                  <c:v>37.632427290462147</c:v>
                </c:pt>
                <c:pt idx="197">
                  <c:v>37.632427290462147</c:v>
                </c:pt>
                <c:pt idx="198">
                  <c:v>37.632427290462147</c:v>
                </c:pt>
                <c:pt idx="199">
                  <c:v>37.632427290462147</c:v>
                </c:pt>
                <c:pt idx="200">
                  <c:v>37.632427290462147</c:v>
                </c:pt>
                <c:pt idx="201">
                  <c:v>37.632427290462147</c:v>
                </c:pt>
                <c:pt idx="202">
                  <c:v>37.632427290462147</c:v>
                </c:pt>
                <c:pt idx="203">
                  <c:v>37.632427290462147</c:v>
                </c:pt>
                <c:pt idx="204">
                  <c:v>37.632427290462147</c:v>
                </c:pt>
                <c:pt idx="205">
                  <c:v>37.632427290462147</c:v>
                </c:pt>
                <c:pt idx="206">
                  <c:v>37.632427290462147</c:v>
                </c:pt>
                <c:pt idx="207">
                  <c:v>37.632427290462147</c:v>
                </c:pt>
                <c:pt idx="208">
                  <c:v>37.632427290462147</c:v>
                </c:pt>
                <c:pt idx="209">
                  <c:v>37.632427290462147</c:v>
                </c:pt>
                <c:pt idx="210">
                  <c:v>37.632427290462147</c:v>
                </c:pt>
                <c:pt idx="211">
                  <c:v>37.632427290462147</c:v>
                </c:pt>
                <c:pt idx="212">
                  <c:v>37.632427290462147</c:v>
                </c:pt>
                <c:pt idx="213">
                  <c:v>37.632427290462147</c:v>
                </c:pt>
                <c:pt idx="214">
                  <c:v>37.632427290462147</c:v>
                </c:pt>
                <c:pt idx="215">
                  <c:v>37.632427290462147</c:v>
                </c:pt>
                <c:pt idx="216">
                  <c:v>37.632427290462147</c:v>
                </c:pt>
                <c:pt idx="217">
                  <c:v>37.632427290462147</c:v>
                </c:pt>
                <c:pt idx="218">
                  <c:v>37.632427290462147</c:v>
                </c:pt>
                <c:pt idx="219">
                  <c:v>37.632427290462147</c:v>
                </c:pt>
                <c:pt idx="220">
                  <c:v>37.632427290462147</c:v>
                </c:pt>
                <c:pt idx="221">
                  <c:v>37.632427290462147</c:v>
                </c:pt>
                <c:pt idx="222">
                  <c:v>37.632427290462147</c:v>
                </c:pt>
                <c:pt idx="223">
                  <c:v>37.632427290462147</c:v>
                </c:pt>
                <c:pt idx="224">
                  <c:v>37.632427290462147</c:v>
                </c:pt>
                <c:pt idx="225">
                  <c:v>37.632427290462147</c:v>
                </c:pt>
                <c:pt idx="226">
                  <c:v>37.632427290462147</c:v>
                </c:pt>
                <c:pt idx="227">
                  <c:v>37.632427290462147</c:v>
                </c:pt>
                <c:pt idx="228">
                  <c:v>37.632427290462147</c:v>
                </c:pt>
                <c:pt idx="229">
                  <c:v>37.632427290462147</c:v>
                </c:pt>
                <c:pt idx="230">
                  <c:v>37.632427290462147</c:v>
                </c:pt>
                <c:pt idx="231">
                  <c:v>37.632427290462147</c:v>
                </c:pt>
                <c:pt idx="232">
                  <c:v>37.632427290462147</c:v>
                </c:pt>
                <c:pt idx="233">
                  <c:v>37.632427290462147</c:v>
                </c:pt>
                <c:pt idx="234">
                  <c:v>37.632427290462147</c:v>
                </c:pt>
                <c:pt idx="235">
                  <c:v>37.632427290462147</c:v>
                </c:pt>
                <c:pt idx="236">
                  <c:v>37.632427290462147</c:v>
                </c:pt>
                <c:pt idx="237">
                  <c:v>37.632427290462147</c:v>
                </c:pt>
                <c:pt idx="238">
                  <c:v>37.632427290462147</c:v>
                </c:pt>
                <c:pt idx="239">
                  <c:v>37.632427290462147</c:v>
                </c:pt>
                <c:pt idx="240">
                  <c:v>37.632427290462147</c:v>
                </c:pt>
                <c:pt idx="241">
                  <c:v>37.632427290462147</c:v>
                </c:pt>
                <c:pt idx="242">
                  <c:v>37.632427290462147</c:v>
                </c:pt>
                <c:pt idx="243">
                  <c:v>37.632427290462147</c:v>
                </c:pt>
                <c:pt idx="244">
                  <c:v>37.632427290462147</c:v>
                </c:pt>
                <c:pt idx="245">
                  <c:v>37.632427290462147</c:v>
                </c:pt>
                <c:pt idx="246">
                  <c:v>37.632427290462147</c:v>
                </c:pt>
                <c:pt idx="247">
                  <c:v>37.632427290462147</c:v>
                </c:pt>
                <c:pt idx="248">
                  <c:v>37.632427290462147</c:v>
                </c:pt>
                <c:pt idx="249">
                  <c:v>37.632427290462147</c:v>
                </c:pt>
                <c:pt idx="250">
                  <c:v>37.632427290462147</c:v>
                </c:pt>
                <c:pt idx="251">
                  <c:v>37.632427290462147</c:v>
                </c:pt>
                <c:pt idx="252">
                  <c:v>37.632427290462147</c:v>
                </c:pt>
                <c:pt idx="253">
                  <c:v>37.632427290462147</c:v>
                </c:pt>
                <c:pt idx="254">
                  <c:v>37.632427290462147</c:v>
                </c:pt>
                <c:pt idx="255">
                  <c:v>37.632427290462147</c:v>
                </c:pt>
                <c:pt idx="256">
                  <c:v>37.632427290462147</c:v>
                </c:pt>
                <c:pt idx="257">
                  <c:v>37.632427290462147</c:v>
                </c:pt>
                <c:pt idx="258">
                  <c:v>37.632427290462147</c:v>
                </c:pt>
                <c:pt idx="259">
                  <c:v>37.632427290462147</c:v>
                </c:pt>
                <c:pt idx="260">
                  <c:v>37.632427290462147</c:v>
                </c:pt>
                <c:pt idx="261">
                  <c:v>37.632427290462147</c:v>
                </c:pt>
                <c:pt idx="262">
                  <c:v>37.632427290462147</c:v>
                </c:pt>
                <c:pt idx="263">
                  <c:v>37.632427290462147</c:v>
                </c:pt>
                <c:pt idx="264">
                  <c:v>37.632427290462147</c:v>
                </c:pt>
                <c:pt idx="265">
                  <c:v>37.632427290462147</c:v>
                </c:pt>
                <c:pt idx="266">
                  <c:v>37.632427290462147</c:v>
                </c:pt>
                <c:pt idx="267">
                  <c:v>37.632427290462147</c:v>
                </c:pt>
                <c:pt idx="268">
                  <c:v>37.632427290462147</c:v>
                </c:pt>
                <c:pt idx="269">
                  <c:v>37.632427290462147</c:v>
                </c:pt>
                <c:pt idx="270">
                  <c:v>37.632427290462147</c:v>
                </c:pt>
                <c:pt idx="271">
                  <c:v>37.632427290462147</c:v>
                </c:pt>
                <c:pt idx="272">
                  <c:v>37.632427290462147</c:v>
                </c:pt>
                <c:pt idx="273">
                  <c:v>37.632427290462147</c:v>
                </c:pt>
                <c:pt idx="274">
                  <c:v>37.632427290462147</c:v>
                </c:pt>
                <c:pt idx="275">
                  <c:v>37.632427290462147</c:v>
                </c:pt>
                <c:pt idx="276">
                  <c:v>37.632427290462147</c:v>
                </c:pt>
                <c:pt idx="277">
                  <c:v>37.632427290462147</c:v>
                </c:pt>
                <c:pt idx="278">
                  <c:v>37.632427290462147</c:v>
                </c:pt>
                <c:pt idx="279">
                  <c:v>37.632427290462147</c:v>
                </c:pt>
                <c:pt idx="280">
                  <c:v>37.632427290462147</c:v>
                </c:pt>
                <c:pt idx="281">
                  <c:v>37.632427290462147</c:v>
                </c:pt>
                <c:pt idx="282">
                  <c:v>37.632427290462147</c:v>
                </c:pt>
                <c:pt idx="283">
                  <c:v>37.632427290462147</c:v>
                </c:pt>
                <c:pt idx="284">
                  <c:v>37.632427290462147</c:v>
                </c:pt>
                <c:pt idx="285">
                  <c:v>37.632427290462147</c:v>
                </c:pt>
                <c:pt idx="286">
                  <c:v>37.632427290462147</c:v>
                </c:pt>
                <c:pt idx="287">
                  <c:v>37.632427290462147</c:v>
                </c:pt>
                <c:pt idx="288">
                  <c:v>37.632427290462147</c:v>
                </c:pt>
                <c:pt idx="289">
                  <c:v>37.632427290462147</c:v>
                </c:pt>
                <c:pt idx="290">
                  <c:v>37.632427290462147</c:v>
                </c:pt>
                <c:pt idx="291">
                  <c:v>37.632427290462147</c:v>
                </c:pt>
                <c:pt idx="292">
                  <c:v>37.632427290462147</c:v>
                </c:pt>
                <c:pt idx="293">
                  <c:v>37.632427290462147</c:v>
                </c:pt>
                <c:pt idx="294">
                  <c:v>37.632427290462147</c:v>
                </c:pt>
                <c:pt idx="295">
                  <c:v>37.632427290462147</c:v>
                </c:pt>
                <c:pt idx="296">
                  <c:v>37.632427290462147</c:v>
                </c:pt>
                <c:pt idx="297">
                  <c:v>37.632427290462147</c:v>
                </c:pt>
                <c:pt idx="298">
                  <c:v>37.632427290462147</c:v>
                </c:pt>
                <c:pt idx="299">
                  <c:v>37.632427290462147</c:v>
                </c:pt>
                <c:pt idx="300">
                  <c:v>37.632427290462147</c:v>
                </c:pt>
                <c:pt idx="301">
                  <c:v>37.632427290462147</c:v>
                </c:pt>
                <c:pt idx="302">
                  <c:v>37.632427290462147</c:v>
                </c:pt>
                <c:pt idx="303">
                  <c:v>37.632427290462147</c:v>
                </c:pt>
                <c:pt idx="304">
                  <c:v>37.632427290462147</c:v>
                </c:pt>
                <c:pt idx="305">
                  <c:v>37.632427290462147</c:v>
                </c:pt>
                <c:pt idx="306">
                  <c:v>37.632427290462147</c:v>
                </c:pt>
                <c:pt idx="307">
                  <c:v>37.632427290462147</c:v>
                </c:pt>
                <c:pt idx="308">
                  <c:v>37.632427290462147</c:v>
                </c:pt>
                <c:pt idx="309">
                  <c:v>37.632427290462147</c:v>
                </c:pt>
                <c:pt idx="310">
                  <c:v>37.632427290462147</c:v>
                </c:pt>
                <c:pt idx="311">
                  <c:v>37.632427290462147</c:v>
                </c:pt>
                <c:pt idx="312">
                  <c:v>37.632427290462147</c:v>
                </c:pt>
                <c:pt idx="313">
                  <c:v>37.632427290462147</c:v>
                </c:pt>
                <c:pt idx="314">
                  <c:v>37.632427290462147</c:v>
                </c:pt>
                <c:pt idx="315">
                  <c:v>37.632427290462147</c:v>
                </c:pt>
                <c:pt idx="316">
                  <c:v>37.632427290462147</c:v>
                </c:pt>
                <c:pt idx="317">
                  <c:v>37.632427290462147</c:v>
                </c:pt>
                <c:pt idx="318">
                  <c:v>37.632427290462147</c:v>
                </c:pt>
                <c:pt idx="319">
                  <c:v>37.632427290462147</c:v>
                </c:pt>
                <c:pt idx="320">
                  <c:v>37.632427290462147</c:v>
                </c:pt>
                <c:pt idx="321">
                  <c:v>37.632427290462147</c:v>
                </c:pt>
                <c:pt idx="322">
                  <c:v>37.632427290462147</c:v>
                </c:pt>
                <c:pt idx="323">
                  <c:v>37.632427290462147</c:v>
                </c:pt>
                <c:pt idx="324">
                  <c:v>37.632427290462147</c:v>
                </c:pt>
                <c:pt idx="325">
                  <c:v>37.632427290462147</c:v>
                </c:pt>
                <c:pt idx="326">
                  <c:v>37.632427290462147</c:v>
                </c:pt>
                <c:pt idx="327">
                  <c:v>37.632427290462147</c:v>
                </c:pt>
                <c:pt idx="328">
                  <c:v>37.632427290462147</c:v>
                </c:pt>
                <c:pt idx="329">
                  <c:v>37.632427290462147</c:v>
                </c:pt>
                <c:pt idx="330">
                  <c:v>37.632427290462147</c:v>
                </c:pt>
                <c:pt idx="331">
                  <c:v>37.632427290462147</c:v>
                </c:pt>
                <c:pt idx="332">
                  <c:v>37.632427290462147</c:v>
                </c:pt>
                <c:pt idx="333">
                  <c:v>37.632427290462147</c:v>
                </c:pt>
                <c:pt idx="334">
                  <c:v>37.632427290462147</c:v>
                </c:pt>
                <c:pt idx="335">
                  <c:v>37.632427290462147</c:v>
                </c:pt>
                <c:pt idx="336">
                  <c:v>37.632427290462147</c:v>
                </c:pt>
                <c:pt idx="337">
                  <c:v>37.632427290462147</c:v>
                </c:pt>
                <c:pt idx="338">
                  <c:v>37.632427290462147</c:v>
                </c:pt>
                <c:pt idx="339">
                  <c:v>37.632427290462147</c:v>
                </c:pt>
                <c:pt idx="340">
                  <c:v>37.632427290462147</c:v>
                </c:pt>
                <c:pt idx="341">
                  <c:v>37.632427290462147</c:v>
                </c:pt>
                <c:pt idx="342">
                  <c:v>37.632427290462147</c:v>
                </c:pt>
                <c:pt idx="343">
                  <c:v>37.632427290462147</c:v>
                </c:pt>
                <c:pt idx="344">
                  <c:v>37.632427290462147</c:v>
                </c:pt>
                <c:pt idx="345">
                  <c:v>37.632427290462147</c:v>
                </c:pt>
                <c:pt idx="346">
                  <c:v>37.632427290462147</c:v>
                </c:pt>
                <c:pt idx="347">
                  <c:v>37.632427290462147</c:v>
                </c:pt>
                <c:pt idx="348">
                  <c:v>37.632427290462147</c:v>
                </c:pt>
                <c:pt idx="349">
                  <c:v>37.632427290462147</c:v>
                </c:pt>
                <c:pt idx="350">
                  <c:v>37.632427290462147</c:v>
                </c:pt>
                <c:pt idx="351">
                  <c:v>37.632427290462147</c:v>
                </c:pt>
                <c:pt idx="352">
                  <c:v>37.632427290462147</c:v>
                </c:pt>
                <c:pt idx="353">
                  <c:v>37.632427290462147</c:v>
                </c:pt>
                <c:pt idx="354">
                  <c:v>37.632427290462147</c:v>
                </c:pt>
                <c:pt idx="355">
                  <c:v>37.632427290462147</c:v>
                </c:pt>
                <c:pt idx="356">
                  <c:v>37.632427290462147</c:v>
                </c:pt>
                <c:pt idx="357">
                  <c:v>37.632427290462147</c:v>
                </c:pt>
                <c:pt idx="358">
                  <c:v>37.632427290462147</c:v>
                </c:pt>
                <c:pt idx="359">
                  <c:v>37.632427290462147</c:v>
                </c:pt>
                <c:pt idx="360">
                  <c:v>37.632427290462147</c:v>
                </c:pt>
                <c:pt idx="361">
                  <c:v>37.632427290462147</c:v>
                </c:pt>
                <c:pt idx="362">
                  <c:v>37.632427290462147</c:v>
                </c:pt>
                <c:pt idx="363">
                  <c:v>37.632427290462147</c:v>
                </c:pt>
                <c:pt idx="364">
                  <c:v>37.632427290462147</c:v>
                </c:pt>
                <c:pt idx="365">
                  <c:v>37.632427290462147</c:v>
                </c:pt>
                <c:pt idx="366">
                  <c:v>37.632427290462147</c:v>
                </c:pt>
                <c:pt idx="367">
                  <c:v>37.632427290462147</c:v>
                </c:pt>
                <c:pt idx="368">
                  <c:v>37.632427290462147</c:v>
                </c:pt>
                <c:pt idx="369">
                  <c:v>37.632427290462147</c:v>
                </c:pt>
                <c:pt idx="370">
                  <c:v>37.632427290462147</c:v>
                </c:pt>
                <c:pt idx="371">
                  <c:v>37.632427290462147</c:v>
                </c:pt>
                <c:pt idx="372">
                  <c:v>37.632427290462147</c:v>
                </c:pt>
                <c:pt idx="373">
                  <c:v>37.632427290462147</c:v>
                </c:pt>
                <c:pt idx="374">
                  <c:v>37.632427290462147</c:v>
                </c:pt>
                <c:pt idx="375">
                  <c:v>37.632427290462147</c:v>
                </c:pt>
                <c:pt idx="376">
                  <c:v>37.632427290462147</c:v>
                </c:pt>
                <c:pt idx="377">
                  <c:v>37.632427290462147</c:v>
                </c:pt>
                <c:pt idx="378">
                  <c:v>37.632427290462147</c:v>
                </c:pt>
                <c:pt idx="379">
                  <c:v>37.632427290462147</c:v>
                </c:pt>
                <c:pt idx="380">
                  <c:v>37.632427290462147</c:v>
                </c:pt>
                <c:pt idx="381">
                  <c:v>37.632427290462147</c:v>
                </c:pt>
                <c:pt idx="382">
                  <c:v>37.632427290462147</c:v>
                </c:pt>
                <c:pt idx="383">
                  <c:v>37.632427290462147</c:v>
                </c:pt>
                <c:pt idx="384">
                  <c:v>37.632427290462147</c:v>
                </c:pt>
                <c:pt idx="385">
                  <c:v>37.632427290462147</c:v>
                </c:pt>
                <c:pt idx="386">
                  <c:v>37.632427290462147</c:v>
                </c:pt>
                <c:pt idx="387">
                  <c:v>37.632427290462147</c:v>
                </c:pt>
                <c:pt idx="388">
                  <c:v>37.632427290462147</c:v>
                </c:pt>
                <c:pt idx="389">
                  <c:v>37.632427290462147</c:v>
                </c:pt>
                <c:pt idx="390">
                  <c:v>37.632427290462147</c:v>
                </c:pt>
                <c:pt idx="391">
                  <c:v>37.632427290462147</c:v>
                </c:pt>
                <c:pt idx="392">
                  <c:v>37.632427290462147</c:v>
                </c:pt>
                <c:pt idx="393">
                  <c:v>37.632427290462147</c:v>
                </c:pt>
                <c:pt idx="394">
                  <c:v>37.632427290462147</c:v>
                </c:pt>
                <c:pt idx="395">
                  <c:v>37.632427290462147</c:v>
                </c:pt>
                <c:pt idx="396">
                  <c:v>37.632427290462147</c:v>
                </c:pt>
                <c:pt idx="397">
                  <c:v>37.632427290462147</c:v>
                </c:pt>
                <c:pt idx="398">
                  <c:v>37.632427290462147</c:v>
                </c:pt>
                <c:pt idx="399">
                  <c:v>37.632427290462147</c:v>
                </c:pt>
                <c:pt idx="400">
                  <c:v>37.632427290462147</c:v>
                </c:pt>
                <c:pt idx="401">
                  <c:v>37.632427290462147</c:v>
                </c:pt>
                <c:pt idx="402">
                  <c:v>37.632427290462147</c:v>
                </c:pt>
                <c:pt idx="403">
                  <c:v>37.632427290462147</c:v>
                </c:pt>
                <c:pt idx="404">
                  <c:v>37.632427290462147</c:v>
                </c:pt>
                <c:pt idx="405">
                  <c:v>37.632427290462147</c:v>
                </c:pt>
                <c:pt idx="406">
                  <c:v>37.632427290462147</c:v>
                </c:pt>
                <c:pt idx="407">
                  <c:v>37.632427290462147</c:v>
                </c:pt>
                <c:pt idx="408">
                  <c:v>37.632427290462147</c:v>
                </c:pt>
                <c:pt idx="409">
                  <c:v>37.632427290462147</c:v>
                </c:pt>
                <c:pt idx="410">
                  <c:v>37.632427290462147</c:v>
                </c:pt>
                <c:pt idx="411">
                  <c:v>37.632427290462147</c:v>
                </c:pt>
                <c:pt idx="412">
                  <c:v>37.632427290462147</c:v>
                </c:pt>
                <c:pt idx="413">
                  <c:v>37.632427290462147</c:v>
                </c:pt>
                <c:pt idx="414">
                  <c:v>37.632427290462147</c:v>
                </c:pt>
                <c:pt idx="415">
                  <c:v>37.632427290462147</c:v>
                </c:pt>
                <c:pt idx="416">
                  <c:v>37.632427290462147</c:v>
                </c:pt>
                <c:pt idx="417">
                  <c:v>37.632427290462147</c:v>
                </c:pt>
                <c:pt idx="418">
                  <c:v>37.632427290462147</c:v>
                </c:pt>
                <c:pt idx="419">
                  <c:v>37.632427290462147</c:v>
                </c:pt>
                <c:pt idx="420">
                  <c:v>37.632427290462147</c:v>
                </c:pt>
                <c:pt idx="421">
                  <c:v>37.632427290462147</c:v>
                </c:pt>
                <c:pt idx="422">
                  <c:v>37.632427290462147</c:v>
                </c:pt>
                <c:pt idx="423">
                  <c:v>37.632427290462147</c:v>
                </c:pt>
                <c:pt idx="424">
                  <c:v>37.632427290462147</c:v>
                </c:pt>
                <c:pt idx="425">
                  <c:v>37.632427290462147</c:v>
                </c:pt>
                <c:pt idx="426">
                  <c:v>37.632427290462147</c:v>
                </c:pt>
                <c:pt idx="427">
                  <c:v>37.632427290462147</c:v>
                </c:pt>
                <c:pt idx="428">
                  <c:v>37.632427290462147</c:v>
                </c:pt>
                <c:pt idx="429">
                  <c:v>37.632427290462147</c:v>
                </c:pt>
                <c:pt idx="430">
                  <c:v>37.632427290462147</c:v>
                </c:pt>
                <c:pt idx="431">
                  <c:v>37.632427290462147</c:v>
                </c:pt>
                <c:pt idx="432">
                  <c:v>37.632427290462147</c:v>
                </c:pt>
                <c:pt idx="433">
                  <c:v>37.632427290462147</c:v>
                </c:pt>
                <c:pt idx="434">
                  <c:v>37.632427290462147</c:v>
                </c:pt>
                <c:pt idx="435">
                  <c:v>37.632427290462147</c:v>
                </c:pt>
                <c:pt idx="436">
                  <c:v>37.632427290462147</c:v>
                </c:pt>
                <c:pt idx="437">
                  <c:v>37.632427290462147</c:v>
                </c:pt>
                <c:pt idx="438">
                  <c:v>37.632427290462147</c:v>
                </c:pt>
                <c:pt idx="439">
                  <c:v>37.632427290462147</c:v>
                </c:pt>
                <c:pt idx="440">
                  <c:v>37.632427290462147</c:v>
                </c:pt>
                <c:pt idx="441">
                  <c:v>37.632427290462147</c:v>
                </c:pt>
                <c:pt idx="442">
                  <c:v>37.632427290462147</c:v>
                </c:pt>
                <c:pt idx="443">
                  <c:v>37.632427290462147</c:v>
                </c:pt>
                <c:pt idx="444">
                  <c:v>37.632427290462147</c:v>
                </c:pt>
                <c:pt idx="445">
                  <c:v>37.632427290462147</c:v>
                </c:pt>
                <c:pt idx="446">
                  <c:v>37.632427290462147</c:v>
                </c:pt>
                <c:pt idx="447">
                  <c:v>37.632427290462147</c:v>
                </c:pt>
                <c:pt idx="448">
                  <c:v>37.632427290462147</c:v>
                </c:pt>
                <c:pt idx="449">
                  <c:v>37.632427290462147</c:v>
                </c:pt>
                <c:pt idx="450">
                  <c:v>37.632427290462147</c:v>
                </c:pt>
                <c:pt idx="451">
                  <c:v>37.632427290462147</c:v>
                </c:pt>
                <c:pt idx="452">
                  <c:v>37.632427290462147</c:v>
                </c:pt>
                <c:pt idx="453">
                  <c:v>37.632427290462147</c:v>
                </c:pt>
                <c:pt idx="454">
                  <c:v>37.632427290462147</c:v>
                </c:pt>
                <c:pt idx="455">
                  <c:v>37.632427290462147</c:v>
                </c:pt>
                <c:pt idx="456">
                  <c:v>37.632427290462147</c:v>
                </c:pt>
                <c:pt idx="457">
                  <c:v>37.632427290462147</c:v>
                </c:pt>
                <c:pt idx="458">
                  <c:v>37.632427290462147</c:v>
                </c:pt>
                <c:pt idx="459">
                  <c:v>37.632427290462147</c:v>
                </c:pt>
                <c:pt idx="460">
                  <c:v>37.632427290462147</c:v>
                </c:pt>
                <c:pt idx="461">
                  <c:v>37.632427290462147</c:v>
                </c:pt>
                <c:pt idx="462">
                  <c:v>37.632427290462147</c:v>
                </c:pt>
                <c:pt idx="463">
                  <c:v>37.632427290462147</c:v>
                </c:pt>
                <c:pt idx="464">
                  <c:v>37.632427290462147</c:v>
                </c:pt>
                <c:pt idx="465">
                  <c:v>37.632427290462147</c:v>
                </c:pt>
                <c:pt idx="466">
                  <c:v>37.632427290462147</c:v>
                </c:pt>
                <c:pt idx="467">
                  <c:v>37.632427290462147</c:v>
                </c:pt>
                <c:pt idx="468">
                  <c:v>37.632427290462147</c:v>
                </c:pt>
                <c:pt idx="469">
                  <c:v>37.632427290462147</c:v>
                </c:pt>
                <c:pt idx="470">
                  <c:v>37.632427290462147</c:v>
                </c:pt>
                <c:pt idx="471">
                  <c:v>37.632427290462147</c:v>
                </c:pt>
                <c:pt idx="472">
                  <c:v>37.632427290462147</c:v>
                </c:pt>
                <c:pt idx="473">
                  <c:v>37.632427290462147</c:v>
                </c:pt>
                <c:pt idx="474">
                  <c:v>37.632427290462147</c:v>
                </c:pt>
                <c:pt idx="475">
                  <c:v>37.632427290462147</c:v>
                </c:pt>
                <c:pt idx="476">
                  <c:v>37.632427290462147</c:v>
                </c:pt>
                <c:pt idx="477">
                  <c:v>37.632427290462147</c:v>
                </c:pt>
                <c:pt idx="478">
                  <c:v>37.632427290462147</c:v>
                </c:pt>
                <c:pt idx="479">
                  <c:v>37.632427290462147</c:v>
                </c:pt>
                <c:pt idx="480">
                  <c:v>37.632427290462147</c:v>
                </c:pt>
                <c:pt idx="481">
                  <c:v>37.632427290462147</c:v>
                </c:pt>
                <c:pt idx="482">
                  <c:v>37.632427290462147</c:v>
                </c:pt>
                <c:pt idx="483">
                  <c:v>37.632427290462147</c:v>
                </c:pt>
                <c:pt idx="484">
                  <c:v>37.632427290462147</c:v>
                </c:pt>
                <c:pt idx="485">
                  <c:v>37.632427290462147</c:v>
                </c:pt>
                <c:pt idx="486">
                  <c:v>37.632427290462147</c:v>
                </c:pt>
                <c:pt idx="487">
                  <c:v>37.632427290462147</c:v>
                </c:pt>
                <c:pt idx="488">
                  <c:v>37.632427290462147</c:v>
                </c:pt>
                <c:pt idx="489">
                  <c:v>37.632427290462147</c:v>
                </c:pt>
                <c:pt idx="490">
                  <c:v>37.632427290462147</c:v>
                </c:pt>
                <c:pt idx="491">
                  <c:v>37.632427290462147</c:v>
                </c:pt>
                <c:pt idx="492">
                  <c:v>37.632427290462147</c:v>
                </c:pt>
                <c:pt idx="493">
                  <c:v>37.632427290462147</c:v>
                </c:pt>
                <c:pt idx="494">
                  <c:v>37.632427290462147</c:v>
                </c:pt>
                <c:pt idx="495">
                  <c:v>37.632427290462147</c:v>
                </c:pt>
                <c:pt idx="496">
                  <c:v>37.632427290462147</c:v>
                </c:pt>
                <c:pt idx="497">
                  <c:v>37.632427290462147</c:v>
                </c:pt>
                <c:pt idx="498">
                  <c:v>37.632427290462147</c:v>
                </c:pt>
                <c:pt idx="499">
                  <c:v>37.632427290462147</c:v>
                </c:pt>
                <c:pt idx="500">
                  <c:v>37.632427290462147</c:v>
                </c:pt>
                <c:pt idx="501">
                  <c:v>37.632427290462147</c:v>
                </c:pt>
                <c:pt idx="502">
                  <c:v>37.632427290462147</c:v>
                </c:pt>
                <c:pt idx="503">
                  <c:v>37.632427290462147</c:v>
                </c:pt>
                <c:pt idx="504">
                  <c:v>37.632427290462147</c:v>
                </c:pt>
                <c:pt idx="505">
                  <c:v>37.632427290462147</c:v>
                </c:pt>
                <c:pt idx="506">
                  <c:v>37.632427290462147</c:v>
                </c:pt>
                <c:pt idx="507">
                  <c:v>37.632427290462147</c:v>
                </c:pt>
                <c:pt idx="508">
                  <c:v>37.632427290462147</c:v>
                </c:pt>
                <c:pt idx="509">
                  <c:v>37.632427290462147</c:v>
                </c:pt>
                <c:pt idx="510">
                  <c:v>37.632427290462147</c:v>
                </c:pt>
                <c:pt idx="511">
                  <c:v>37.632427290462147</c:v>
                </c:pt>
                <c:pt idx="512">
                  <c:v>37.632427290462147</c:v>
                </c:pt>
                <c:pt idx="513">
                  <c:v>37.632427290462147</c:v>
                </c:pt>
                <c:pt idx="514">
                  <c:v>37.632427290462147</c:v>
                </c:pt>
                <c:pt idx="515">
                  <c:v>37.632427290462147</c:v>
                </c:pt>
                <c:pt idx="516">
                  <c:v>37.632427290462147</c:v>
                </c:pt>
                <c:pt idx="517">
                  <c:v>37.632427290462147</c:v>
                </c:pt>
                <c:pt idx="518">
                  <c:v>37.632427290462147</c:v>
                </c:pt>
                <c:pt idx="519">
                  <c:v>37.632427290462147</c:v>
                </c:pt>
                <c:pt idx="520">
                  <c:v>37.632427290462147</c:v>
                </c:pt>
                <c:pt idx="521">
                  <c:v>37.632427290462147</c:v>
                </c:pt>
                <c:pt idx="522">
                  <c:v>37.632427290462147</c:v>
                </c:pt>
                <c:pt idx="523">
                  <c:v>37.632427290462147</c:v>
                </c:pt>
                <c:pt idx="524">
                  <c:v>37.632427290462147</c:v>
                </c:pt>
                <c:pt idx="525">
                  <c:v>37.632427290462147</c:v>
                </c:pt>
                <c:pt idx="526">
                  <c:v>37.632427290462147</c:v>
                </c:pt>
                <c:pt idx="527">
                  <c:v>37.632427290462147</c:v>
                </c:pt>
                <c:pt idx="528">
                  <c:v>37.632427290462147</c:v>
                </c:pt>
                <c:pt idx="529">
                  <c:v>37.632427290462147</c:v>
                </c:pt>
                <c:pt idx="530">
                  <c:v>37.632427290462147</c:v>
                </c:pt>
                <c:pt idx="531">
                  <c:v>37.632427290462147</c:v>
                </c:pt>
                <c:pt idx="532">
                  <c:v>37.632427290462147</c:v>
                </c:pt>
                <c:pt idx="533">
                  <c:v>37.632427290462147</c:v>
                </c:pt>
                <c:pt idx="534">
                  <c:v>37.632427290462147</c:v>
                </c:pt>
                <c:pt idx="535">
                  <c:v>37.632427290462147</c:v>
                </c:pt>
                <c:pt idx="536">
                  <c:v>37.632427290462147</c:v>
                </c:pt>
                <c:pt idx="537">
                  <c:v>37.632427290462147</c:v>
                </c:pt>
                <c:pt idx="538">
                  <c:v>37.632427290462147</c:v>
                </c:pt>
                <c:pt idx="539">
                  <c:v>37.632427290462147</c:v>
                </c:pt>
                <c:pt idx="540">
                  <c:v>37.632427290462147</c:v>
                </c:pt>
                <c:pt idx="541">
                  <c:v>37.632427290462147</c:v>
                </c:pt>
                <c:pt idx="542">
                  <c:v>37.632427290462147</c:v>
                </c:pt>
                <c:pt idx="543">
                  <c:v>37.632427290462147</c:v>
                </c:pt>
                <c:pt idx="544">
                  <c:v>37.632427290462147</c:v>
                </c:pt>
                <c:pt idx="545">
                  <c:v>37.632427290462147</c:v>
                </c:pt>
                <c:pt idx="546">
                  <c:v>37.632427290462147</c:v>
                </c:pt>
                <c:pt idx="547">
                  <c:v>37.632427290462147</c:v>
                </c:pt>
                <c:pt idx="548">
                  <c:v>37.632427290462147</c:v>
                </c:pt>
                <c:pt idx="549">
                  <c:v>37.632427290462147</c:v>
                </c:pt>
                <c:pt idx="550">
                  <c:v>37.632427290462147</c:v>
                </c:pt>
                <c:pt idx="551">
                  <c:v>37.632427290462147</c:v>
                </c:pt>
                <c:pt idx="552">
                  <c:v>37.632427290462147</c:v>
                </c:pt>
                <c:pt idx="553">
                  <c:v>37.632427290462147</c:v>
                </c:pt>
                <c:pt idx="554">
                  <c:v>37.632427290462147</c:v>
                </c:pt>
                <c:pt idx="555">
                  <c:v>37.632427290462147</c:v>
                </c:pt>
                <c:pt idx="556">
                  <c:v>37.632427290462147</c:v>
                </c:pt>
                <c:pt idx="557">
                  <c:v>37.632427290462147</c:v>
                </c:pt>
                <c:pt idx="558">
                  <c:v>37.632427290462147</c:v>
                </c:pt>
                <c:pt idx="559">
                  <c:v>37.632427290462147</c:v>
                </c:pt>
                <c:pt idx="560">
                  <c:v>37.632427290462147</c:v>
                </c:pt>
                <c:pt idx="561">
                  <c:v>37.632427290462147</c:v>
                </c:pt>
                <c:pt idx="562">
                  <c:v>37.632427290462147</c:v>
                </c:pt>
                <c:pt idx="563">
                  <c:v>37.632427290462147</c:v>
                </c:pt>
                <c:pt idx="564">
                  <c:v>37.632427290462147</c:v>
                </c:pt>
                <c:pt idx="565">
                  <c:v>37.632427290462147</c:v>
                </c:pt>
                <c:pt idx="566">
                  <c:v>37.632427290462147</c:v>
                </c:pt>
                <c:pt idx="567">
                  <c:v>37.632427290462147</c:v>
                </c:pt>
                <c:pt idx="568">
                  <c:v>37.632427290462147</c:v>
                </c:pt>
                <c:pt idx="569">
                  <c:v>37.632427290462147</c:v>
                </c:pt>
                <c:pt idx="570">
                  <c:v>37.632427290462147</c:v>
                </c:pt>
                <c:pt idx="571">
                  <c:v>37.632427290462147</c:v>
                </c:pt>
                <c:pt idx="572">
                  <c:v>37.632427290462147</c:v>
                </c:pt>
                <c:pt idx="573">
                  <c:v>37.632427290462147</c:v>
                </c:pt>
                <c:pt idx="574">
                  <c:v>37.632427290462147</c:v>
                </c:pt>
                <c:pt idx="575">
                  <c:v>37.632427290462147</c:v>
                </c:pt>
                <c:pt idx="576">
                  <c:v>37.632427290462147</c:v>
                </c:pt>
                <c:pt idx="577">
                  <c:v>37.632427290462147</c:v>
                </c:pt>
                <c:pt idx="578">
                  <c:v>37.632427290462147</c:v>
                </c:pt>
                <c:pt idx="579">
                  <c:v>37.632427290462147</c:v>
                </c:pt>
                <c:pt idx="580">
                  <c:v>37.632427290462147</c:v>
                </c:pt>
                <c:pt idx="581">
                  <c:v>37.632427290462147</c:v>
                </c:pt>
                <c:pt idx="582">
                  <c:v>37.632427290462147</c:v>
                </c:pt>
                <c:pt idx="583">
                  <c:v>37.632427290462147</c:v>
                </c:pt>
                <c:pt idx="584">
                  <c:v>37.632427290462147</c:v>
                </c:pt>
                <c:pt idx="585">
                  <c:v>37.632427290462147</c:v>
                </c:pt>
                <c:pt idx="586">
                  <c:v>37.632427290462147</c:v>
                </c:pt>
                <c:pt idx="587">
                  <c:v>37.632427290462147</c:v>
                </c:pt>
                <c:pt idx="588">
                  <c:v>37.632427290462147</c:v>
                </c:pt>
                <c:pt idx="589">
                  <c:v>37.632427290462147</c:v>
                </c:pt>
                <c:pt idx="590">
                  <c:v>37.632427290462147</c:v>
                </c:pt>
                <c:pt idx="591">
                  <c:v>37.632427290462147</c:v>
                </c:pt>
                <c:pt idx="592">
                  <c:v>37.632427290462147</c:v>
                </c:pt>
                <c:pt idx="593">
                  <c:v>37.632427290462147</c:v>
                </c:pt>
                <c:pt idx="594">
                  <c:v>37.632427290462147</c:v>
                </c:pt>
                <c:pt idx="595">
                  <c:v>37.632427290462147</c:v>
                </c:pt>
                <c:pt idx="596">
                  <c:v>37.632427290462147</c:v>
                </c:pt>
                <c:pt idx="597">
                  <c:v>37.632427290462147</c:v>
                </c:pt>
                <c:pt idx="598">
                  <c:v>37.632427290462147</c:v>
                </c:pt>
                <c:pt idx="599">
                  <c:v>37.632427290462147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13-4FD0-B637-6ACDADD27C2B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AOI_u_Laney!$F$11:$F$610</c:f>
              <c:numCache>
                <c:formatCode>0.0000</c:formatCode>
                <c:ptCount val="600"/>
                <c:pt idx="0">
                  <c:v>23.186666666666667</c:v>
                </c:pt>
                <c:pt idx="1">
                  <c:v>23.186666666666667</c:v>
                </c:pt>
                <c:pt idx="2">
                  <c:v>23.186666666666667</c:v>
                </c:pt>
                <c:pt idx="3">
                  <c:v>23.186666666666667</c:v>
                </c:pt>
                <c:pt idx="4">
                  <c:v>23.186666666666667</c:v>
                </c:pt>
                <c:pt idx="5">
                  <c:v>23.186666666666667</c:v>
                </c:pt>
                <c:pt idx="6">
                  <c:v>23.186666666666667</c:v>
                </c:pt>
                <c:pt idx="7">
                  <c:v>23.186666666666667</c:v>
                </c:pt>
                <c:pt idx="8">
                  <c:v>23.186666666666667</c:v>
                </c:pt>
                <c:pt idx="9">
                  <c:v>23.186666666666667</c:v>
                </c:pt>
                <c:pt idx="10">
                  <c:v>23.186666666666667</c:v>
                </c:pt>
                <c:pt idx="11">
                  <c:v>23.186666666666667</c:v>
                </c:pt>
                <c:pt idx="12">
                  <c:v>23.186666666666667</c:v>
                </c:pt>
                <c:pt idx="13">
                  <c:v>23.186666666666667</c:v>
                </c:pt>
                <c:pt idx="14">
                  <c:v>23.186666666666667</c:v>
                </c:pt>
                <c:pt idx="15">
                  <c:v>23.186666666666667</c:v>
                </c:pt>
                <c:pt idx="16">
                  <c:v>23.186666666666667</c:v>
                </c:pt>
                <c:pt idx="17">
                  <c:v>23.186666666666667</c:v>
                </c:pt>
                <c:pt idx="18">
                  <c:v>23.186666666666667</c:v>
                </c:pt>
                <c:pt idx="19">
                  <c:v>23.186666666666667</c:v>
                </c:pt>
                <c:pt idx="20">
                  <c:v>23.186666666666667</c:v>
                </c:pt>
                <c:pt idx="21">
                  <c:v>23.186666666666667</c:v>
                </c:pt>
                <c:pt idx="22">
                  <c:v>23.186666666666667</c:v>
                </c:pt>
                <c:pt idx="23">
                  <c:v>23.186666666666667</c:v>
                </c:pt>
                <c:pt idx="24">
                  <c:v>23.186666666666667</c:v>
                </c:pt>
                <c:pt idx="25">
                  <c:v>23.186666666666667</c:v>
                </c:pt>
                <c:pt idx="26">
                  <c:v>23.186666666666667</c:v>
                </c:pt>
                <c:pt idx="27">
                  <c:v>23.186666666666667</c:v>
                </c:pt>
                <c:pt idx="28">
                  <c:v>23.186666666666667</c:v>
                </c:pt>
                <c:pt idx="29">
                  <c:v>23.186666666666667</c:v>
                </c:pt>
                <c:pt idx="30">
                  <c:v>23.186666666666667</c:v>
                </c:pt>
                <c:pt idx="31">
                  <c:v>23.186666666666667</c:v>
                </c:pt>
                <c:pt idx="32">
                  <c:v>23.186666666666667</c:v>
                </c:pt>
                <c:pt idx="33">
                  <c:v>23.186666666666667</c:v>
                </c:pt>
                <c:pt idx="34">
                  <c:v>23.186666666666667</c:v>
                </c:pt>
                <c:pt idx="35">
                  <c:v>23.186666666666667</c:v>
                </c:pt>
                <c:pt idx="36">
                  <c:v>23.186666666666667</c:v>
                </c:pt>
                <c:pt idx="37">
                  <c:v>23.186666666666667</c:v>
                </c:pt>
                <c:pt idx="38">
                  <c:v>23.186666666666667</c:v>
                </c:pt>
                <c:pt idx="39">
                  <c:v>23.186666666666667</c:v>
                </c:pt>
                <c:pt idx="40">
                  <c:v>23.186666666666667</c:v>
                </c:pt>
                <c:pt idx="41">
                  <c:v>23.186666666666667</c:v>
                </c:pt>
                <c:pt idx="42">
                  <c:v>23.186666666666667</c:v>
                </c:pt>
                <c:pt idx="43">
                  <c:v>23.186666666666667</c:v>
                </c:pt>
                <c:pt idx="44">
                  <c:v>23.186666666666667</c:v>
                </c:pt>
                <c:pt idx="45">
                  <c:v>23.186666666666667</c:v>
                </c:pt>
                <c:pt idx="46">
                  <c:v>23.186666666666667</c:v>
                </c:pt>
                <c:pt idx="47">
                  <c:v>23.186666666666667</c:v>
                </c:pt>
                <c:pt idx="48">
                  <c:v>23.186666666666667</c:v>
                </c:pt>
                <c:pt idx="49">
                  <c:v>23.186666666666667</c:v>
                </c:pt>
                <c:pt idx="50">
                  <c:v>23.186666666666667</c:v>
                </c:pt>
                <c:pt idx="51">
                  <c:v>23.186666666666667</c:v>
                </c:pt>
                <c:pt idx="52">
                  <c:v>23.186666666666667</c:v>
                </c:pt>
                <c:pt idx="53">
                  <c:v>23.186666666666667</c:v>
                </c:pt>
                <c:pt idx="54">
                  <c:v>23.186666666666667</c:v>
                </c:pt>
                <c:pt idx="55">
                  <c:v>23.186666666666667</c:v>
                </c:pt>
                <c:pt idx="56">
                  <c:v>23.186666666666667</c:v>
                </c:pt>
                <c:pt idx="57">
                  <c:v>23.186666666666667</c:v>
                </c:pt>
                <c:pt idx="58">
                  <c:v>23.186666666666667</c:v>
                </c:pt>
                <c:pt idx="59">
                  <c:v>23.186666666666667</c:v>
                </c:pt>
                <c:pt idx="60">
                  <c:v>23.186666666666667</c:v>
                </c:pt>
                <c:pt idx="61">
                  <c:v>23.186666666666667</c:v>
                </c:pt>
                <c:pt idx="62">
                  <c:v>23.186666666666667</c:v>
                </c:pt>
                <c:pt idx="63">
                  <c:v>23.186666666666667</c:v>
                </c:pt>
                <c:pt idx="64">
                  <c:v>23.186666666666667</c:v>
                </c:pt>
                <c:pt idx="65">
                  <c:v>23.186666666666667</c:v>
                </c:pt>
                <c:pt idx="66">
                  <c:v>23.186666666666667</c:v>
                </c:pt>
                <c:pt idx="67">
                  <c:v>23.186666666666667</c:v>
                </c:pt>
                <c:pt idx="68">
                  <c:v>23.186666666666667</c:v>
                </c:pt>
                <c:pt idx="69">
                  <c:v>23.186666666666667</c:v>
                </c:pt>
                <c:pt idx="70">
                  <c:v>23.186666666666667</c:v>
                </c:pt>
                <c:pt idx="71">
                  <c:v>23.186666666666667</c:v>
                </c:pt>
                <c:pt idx="72">
                  <c:v>23.186666666666667</c:v>
                </c:pt>
                <c:pt idx="73">
                  <c:v>23.186666666666667</c:v>
                </c:pt>
                <c:pt idx="74">
                  <c:v>23.186666666666667</c:v>
                </c:pt>
                <c:pt idx="75">
                  <c:v>23.186666666666667</c:v>
                </c:pt>
                <c:pt idx="76">
                  <c:v>23.186666666666667</c:v>
                </c:pt>
                <c:pt idx="77">
                  <c:v>23.186666666666667</c:v>
                </c:pt>
                <c:pt idx="78">
                  <c:v>23.186666666666667</c:v>
                </c:pt>
                <c:pt idx="79">
                  <c:v>23.186666666666667</c:v>
                </c:pt>
                <c:pt idx="80">
                  <c:v>23.186666666666667</c:v>
                </c:pt>
                <c:pt idx="81">
                  <c:v>23.186666666666667</c:v>
                </c:pt>
                <c:pt idx="82">
                  <c:v>23.186666666666667</c:v>
                </c:pt>
                <c:pt idx="83">
                  <c:v>23.186666666666667</c:v>
                </c:pt>
                <c:pt idx="84">
                  <c:v>23.186666666666667</c:v>
                </c:pt>
                <c:pt idx="85">
                  <c:v>23.186666666666667</c:v>
                </c:pt>
                <c:pt idx="86">
                  <c:v>23.186666666666667</c:v>
                </c:pt>
                <c:pt idx="87">
                  <c:v>23.186666666666667</c:v>
                </c:pt>
                <c:pt idx="88">
                  <c:v>23.186666666666667</c:v>
                </c:pt>
                <c:pt idx="89">
                  <c:v>23.186666666666667</c:v>
                </c:pt>
                <c:pt idx="90">
                  <c:v>23.186666666666667</c:v>
                </c:pt>
                <c:pt idx="91">
                  <c:v>23.186666666666667</c:v>
                </c:pt>
                <c:pt idx="92">
                  <c:v>23.186666666666667</c:v>
                </c:pt>
                <c:pt idx="93">
                  <c:v>23.186666666666667</c:v>
                </c:pt>
                <c:pt idx="94">
                  <c:v>23.186666666666667</c:v>
                </c:pt>
                <c:pt idx="95">
                  <c:v>23.186666666666667</c:v>
                </c:pt>
                <c:pt idx="96">
                  <c:v>23.186666666666667</c:v>
                </c:pt>
                <c:pt idx="97">
                  <c:v>23.186666666666667</c:v>
                </c:pt>
                <c:pt idx="98">
                  <c:v>23.186666666666667</c:v>
                </c:pt>
                <c:pt idx="99">
                  <c:v>23.186666666666667</c:v>
                </c:pt>
                <c:pt idx="100">
                  <c:v>23.186666666666667</c:v>
                </c:pt>
                <c:pt idx="101">
                  <c:v>23.186666666666667</c:v>
                </c:pt>
                <c:pt idx="102">
                  <c:v>23.186666666666667</c:v>
                </c:pt>
                <c:pt idx="103">
                  <c:v>23.186666666666667</c:v>
                </c:pt>
                <c:pt idx="104">
                  <c:v>23.186666666666667</c:v>
                </c:pt>
                <c:pt idx="105">
                  <c:v>23.186666666666667</c:v>
                </c:pt>
                <c:pt idx="106">
                  <c:v>23.186666666666667</c:v>
                </c:pt>
                <c:pt idx="107">
                  <c:v>23.186666666666667</c:v>
                </c:pt>
                <c:pt idx="108">
                  <c:v>23.186666666666667</c:v>
                </c:pt>
                <c:pt idx="109">
                  <c:v>23.186666666666667</c:v>
                </c:pt>
                <c:pt idx="110">
                  <c:v>23.186666666666667</c:v>
                </c:pt>
                <c:pt idx="111">
                  <c:v>23.186666666666667</c:v>
                </c:pt>
                <c:pt idx="112">
                  <c:v>23.186666666666667</c:v>
                </c:pt>
                <c:pt idx="113">
                  <c:v>23.186666666666667</c:v>
                </c:pt>
                <c:pt idx="114">
                  <c:v>23.186666666666667</c:v>
                </c:pt>
                <c:pt idx="115">
                  <c:v>23.186666666666667</c:v>
                </c:pt>
                <c:pt idx="116">
                  <c:v>23.186666666666667</c:v>
                </c:pt>
                <c:pt idx="117">
                  <c:v>23.186666666666667</c:v>
                </c:pt>
                <c:pt idx="118">
                  <c:v>23.186666666666667</c:v>
                </c:pt>
                <c:pt idx="119">
                  <c:v>23.186666666666667</c:v>
                </c:pt>
                <c:pt idx="120">
                  <c:v>23.186666666666667</c:v>
                </c:pt>
                <c:pt idx="121">
                  <c:v>23.186666666666667</c:v>
                </c:pt>
                <c:pt idx="122">
                  <c:v>23.186666666666667</c:v>
                </c:pt>
                <c:pt idx="123">
                  <c:v>23.186666666666667</c:v>
                </c:pt>
                <c:pt idx="124">
                  <c:v>23.186666666666667</c:v>
                </c:pt>
                <c:pt idx="125">
                  <c:v>23.186666666666667</c:v>
                </c:pt>
                <c:pt idx="126">
                  <c:v>23.186666666666667</c:v>
                </c:pt>
                <c:pt idx="127">
                  <c:v>23.186666666666667</c:v>
                </c:pt>
                <c:pt idx="128">
                  <c:v>23.186666666666667</c:v>
                </c:pt>
                <c:pt idx="129">
                  <c:v>23.186666666666667</c:v>
                </c:pt>
                <c:pt idx="130">
                  <c:v>23.186666666666667</c:v>
                </c:pt>
                <c:pt idx="131">
                  <c:v>23.186666666666667</c:v>
                </c:pt>
                <c:pt idx="132">
                  <c:v>23.186666666666667</c:v>
                </c:pt>
                <c:pt idx="133">
                  <c:v>23.186666666666667</c:v>
                </c:pt>
                <c:pt idx="134">
                  <c:v>23.186666666666667</c:v>
                </c:pt>
                <c:pt idx="135">
                  <c:v>23.186666666666667</c:v>
                </c:pt>
                <c:pt idx="136">
                  <c:v>23.186666666666667</c:v>
                </c:pt>
                <c:pt idx="137">
                  <c:v>23.186666666666667</c:v>
                </c:pt>
                <c:pt idx="138">
                  <c:v>23.186666666666667</c:v>
                </c:pt>
                <c:pt idx="139">
                  <c:v>23.186666666666667</c:v>
                </c:pt>
                <c:pt idx="140">
                  <c:v>23.186666666666667</c:v>
                </c:pt>
                <c:pt idx="141">
                  <c:v>23.186666666666667</c:v>
                </c:pt>
                <c:pt idx="142">
                  <c:v>23.186666666666667</c:v>
                </c:pt>
                <c:pt idx="143">
                  <c:v>23.186666666666667</c:v>
                </c:pt>
                <c:pt idx="144">
                  <c:v>23.186666666666667</c:v>
                </c:pt>
                <c:pt idx="145">
                  <c:v>23.186666666666667</c:v>
                </c:pt>
                <c:pt idx="146">
                  <c:v>23.186666666666667</c:v>
                </c:pt>
                <c:pt idx="147">
                  <c:v>23.186666666666667</c:v>
                </c:pt>
                <c:pt idx="148">
                  <c:v>23.186666666666667</c:v>
                </c:pt>
                <c:pt idx="149">
                  <c:v>23.186666666666667</c:v>
                </c:pt>
                <c:pt idx="150">
                  <c:v>23.186666666666667</c:v>
                </c:pt>
                <c:pt idx="151">
                  <c:v>23.186666666666667</c:v>
                </c:pt>
                <c:pt idx="152">
                  <c:v>23.186666666666667</c:v>
                </c:pt>
                <c:pt idx="153">
                  <c:v>23.186666666666667</c:v>
                </c:pt>
                <c:pt idx="154">
                  <c:v>23.186666666666667</c:v>
                </c:pt>
                <c:pt idx="155">
                  <c:v>23.186666666666667</c:v>
                </c:pt>
                <c:pt idx="156">
                  <c:v>23.186666666666667</c:v>
                </c:pt>
                <c:pt idx="157">
                  <c:v>23.186666666666667</c:v>
                </c:pt>
                <c:pt idx="158">
                  <c:v>23.186666666666667</c:v>
                </c:pt>
                <c:pt idx="159">
                  <c:v>23.186666666666667</c:v>
                </c:pt>
                <c:pt idx="160">
                  <c:v>23.186666666666667</c:v>
                </c:pt>
                <c:pt idx="161">
                  <c:v>23.186666666666667</c:v>
                </c:pt>
                <c:pt idx="162">
                  <c:v>23.186666666666667</c:v>
                </c:pt>
                <c:pt idx="163">
                  <c:v>23.186666666666667</c:v>
                </c:pt>
                <c:pt idx="164">
                  <c:v>23.186666666666667</c:v>
                </c:pt>
                <c:pt idx="165">
                  <c:v>23.186666666666667</c:v>
                </c:pt>
                <c:pt idx="166">
                  <c:v>23.186666666666667</c:v>
                </c:pt>
                <c:pt idx="167">
                  <c:v>23.186666666666667</c:v>
                </c:pt>
                <c:pt idx="168">
                  <c:v>23.186666666666667</c:v>
                </c:pt>
                <c:pt idx="169">
                  <c:v>23.186666666666667</c:v>
                </c:pt>
                <c:pt idx="170">
                  <c:v>23.186666666666667</c:v>
                </c:pt>
                <c:pt idx="171">
                  <c:v>23.186666666666667</c:v>
                </c:pt>
                <c:pt idx="172">
                  <c:v>23.186666666666667</c:v>
                </c:pt>
                <c:pt idx="173">
                  <c:v>23.186666666666667</c:v>
                </c:pt>
                <c:pt idx="174">
                  <c:v>23.186666666666667</c:v>
                </c:pt>
                <c:pt idx="175">
                  <c:v>23.186666666666667</c:v>
                </c:pt>
                <c:pt idx="176">
                  <c:v>23.186666666666667</c:v>
                </c:pt>
                <c:pt idx="177">
                  <c:v>23.186666666666667</c:v>
                </c:pt>
                <c:pt idx="178">
                  <c:v>23.186666666666667</c:v>
                </c:pt>
                <c:pt idx="179">
                  <c:v>23.186666666666667</c:v>
                </c:pt>
                <c:pt idx="180">
                  <c:v>23.186666666666667</c:v>
                </c:pt>
                <c:pt idx="181">
                  <c:v>23.186666666666667</c:v>
                </c:pt>
                <c:pt idx="182">
                  <c:v>23.186666666666667</c:v>
                </c:pt>
                <c:pt idx="183">
                  <c:v>23.186666666666667</c:v>
                </c:pt>
                <c:pt idx="184">
                  <c:v>23.186666666666667</c:v>
                </c:pt>
                <c:pt idx="185">
                  <c:v>23.186666666666667</c:v>
                </c:pt>
                <c:pt idx="186">
                  <c:v>23.186666666666667</c:v>
                </c:pt>
                <c:pt idx="187">
                  <c:v>23.186666666666667</c:v>
                </c:pt>
                <c:pt idx="188">
                  <c:v>23.186666666666667</c:v>
                </c:pt>
                <c:pt idx="189">
                  <c:v>23.186666666666667</c:v>
                </c:pt>
                <c:pt idx="190">
                  <c:v>23.186666666666667</c:v>
                </c:pt>
                <c:pt idx="191">
                  <c:v>23.186666666666667</c:v>
                </c:pt>
                <c:pt idx="192">
                  <c:v>23.186666666666667</c:v>
                </c:pt>
                <c:pt idx="193">
                  <c:v>23.186666666666667</c:v>
                </c:pt>
                <c:pt idx="194">
                  <c:v>23.186666666666667</c:v>
                </c:pt>
                <c:pt idx="195">
                  <c:v>23.186666666666667</c:v>
                </c:pt>
                <c:pt idx="196">
                  <c:v>23.186666666666667</c:v>
                </c:pt>
                <c:pt idx="197">
                  <c:v>23.186666666666667</c:v>
                </c:pt>
                <c:pt idx="198">
                  <c:v>23.186666666666667</c:v>
                </c:pt>
                <c:pt idx="199">
                  <c:v>23.186666666666667</c:v>
                </c:pt>
                <c:pt idx="200">
                  <c:v>23.186666666666667</c:v>
                </c:pt>
                <c:pt idx="201">
                  <c:v>23.186666666666667</c:v>
                </c:pt>
                <c:pt idx="202">
                  <c:v>23.186666666666667</c:v>
                </c:pt>
                <c:pt idx="203">
                  <c:v>23.186666666666667</c:v>
                </c:pt>
                <c:pt idx="204">
                  <c:v>23.186666666666667</c:v>
                </c:pt>
                <c:pt idx="205">
                  <c:v>23.186666666666667</c:v>
                </c:pt>
                <c:pt idx="206">
                  <c:v>23.186666666666667</c:v>
                </c:pt>
                <c:pt idx="207">
                  <c:v>23.186666666666667</c:v>
                </c:pt>
                <c:pt idx="208">
                  <c:v>23.186666666666667</c:v>
                </c:pt>
                <c:pt idx="209">
                  <c:v>23.186666666666667</c:v>
                </c:pt>
                <c:pt idx="210">
                  <c:v>23.186666666666667</c:v>
                </c:pt>
                <c:pt idx="211">
                  <c:v>23.186666666666667</c:v>
                </c:pt>
                <c:pt idx="212">
                  <c:v>23.186666666666667</c:v>
                </c:pt>
                <c:pt idx="213">
                  <c:v>23.186666666666667</c:v>
                </c:pt>
                <c:pt idx="214">
                  <c:v>23.186666666666667</c:v>
                </c:pt>
                <c:pt idx="215">
                  <c:v>23.186666666666667</c:v>
                </c:pt>
                <c:pt idx="216">
                  <c:v>23.186666666666667</c:v>
                </c:pt>
                <c:pt idx="217">
                  <c:v>23.186666666666667</c:v>
                </c:pt>
                <c:pt idx="218">
                  <c:v>23.186666666666667</c:v>
                </c:pt>
                <c:pt idx="219">
                  <c:v>23.186666666666667</c:v>
                </c:pt>
                <c:pt idx="220">
                  <c:v>23.186666666666667</c:v>
                </c:pt>
                <c:pt idx="221">
                  <c:v>23.186666666666667</c:v>
                </c:pt>
                <c:pt idx="222">
                  <c:v>23.186666666666667</c:v>
                </c:pt>
                <c:pt idx="223">
                  <c:v>23.186666666666667</c:v>
                </c:pt>
                <c:pt idx="224">
                  <c:v>23.186666666666667</c:v>
                </c:pt>
                <c:pt idx="225">
                  <c:v>23.186666666666667</c:v>
                </c:pt>
                <c:pt idx="226">
                  <c:v>23.186666666666667</c:v>
                </c:pt>
                <c:pt idx="227">
                  <c:v>23.186666666666667</c:v>
                </c:pt>
                <c:pt idx="228">
                  <c:v>23.186666666666667</c:v>
                </c:pt>
                <c:pt idx="229">
                  <c:v>23.186666666666667</c:v>
                </c:pt>
                <c:pt idx="230">
                  <c:v>23.186666666666667</c:v>
                </c:pt>
                <c:pt idx="231">
                  <c:v>23.186666666666667</c:v>
                </c:pt>
                <c:pt idx="232">
                  <c:v>23.186666666666667</c:v>
                </c:pt>
                <c:pt idx="233">
                  <c:v>23.186666666666667</c:v>
                </c:pt>
                <c:pt idx="234">
                  <c:v>23.186666666666667</c:v>
                </c:pt>
                <c:pt idx="235">
                  <c:v>23.186666666666667</c:v>
                </c:pt>
                <c:pt idx="236">
                  <c:v>23.186666666666667</c:v>
                </c:pt>
                <c:pt idx="237">
                  <c:v>23.186666666666667</c:v>
                </c:pt>
                <c:pt idx="238">
                  <c:v>23.186666666666667</c:v>
                </c:pt>
                <c:pt idx="239">
                  <c:v>23.186666666666667</c:v>
                </c:pt>
                <c:pt idx="240">
                  <c:v>23.186666666666667</c:v>
                </c:pt>
                <c:pt idx="241">
                  <c:v>23.186666666666667</c:v>
                </c:pt>
                <c:pt idx="242">
                  <c:v>23.186666666666667</c:v>
                </c:pt>
                <c:pt idx="243">
                  <c:v>23.186666666666667</c:v>
                </c:pt>
                <c:pt idx="244">
                  <c:v>23.186666666666667</c:v>
                </c:pt>
                <c:pt idx="245">
                  <c:v>23.186666666666667</c:v>
                </c:pt>
                <c:pt idx="246">
                  <c:v>23.186666666666667</c:v>
                </c:pt>
                <c:pt idx="247">
                  <c:v>23.186666666666667</c:v>
                </c:pt>
                <c:pt idx="248">
                  <c:v>23.186666666666667</c:v>
                </c:pt>
                <c:pt idx="249">
                  <c:v>23.186666666666667</c:v>
                </c:pt>
                <c:pt idx="250">
                  <c:v>23.186666666666667</c:v>
                </c:pt>
                <c:pt idx="251">
                  <c:v>23.186666666666667</c:v>
                </c:pt>
                <c:pt idx="252">
                  <c:v>23.186666666666667</c:v>
                </c:pt>
                <c:pt idx="253">
                  <c:v>23.186666666666667</c:v>
                </c:pt>
                <c:pt idx="254">
                  <c:v>23.186666666666667</c:v>
                </c:pt>
                <c:pt idx="255">
                  <c:v>23.186666666666667</c:v>
                </c:pt>
                <c:pt idx="256">
                  <c:v>23.186666666666667</c:v>
                </c:pt>
                <c:pt idx="257">
                  <c:v>23.186666666666667</c:v>
                </c:pt>
                <c:pt idx="258">
                  <c:v>23.186666666666667</c:v>
                </c:pt>
                <c:pt idx="259">
                  <c:v>23.186666666666667</c:v>
                </c:pt>
                <c:pt idx="260">
                  <c:v>23.186666666666667</c:v>
                </c:pt>
                <c:pt idx="261">
                  <c:v>23.186666666666667</c:v>
                </c:pt>
                <c:pt idx="262">
                  <c:v>23.186666666666667</c:v>
                </c:pt>
                <c:pt idx="263">
                  <c:v>23.186666666666667</c:v>
                </c:pt>
                <c:pt idx="264">
                  <c:v>23.186666666666667</c:v>
                </c:pt>
                <c:pt idx="265">
                  <c:v>23.186666666666667</c:v>
                </c:pt>
                <c:pt idx="266">
                  <c:v>23.186666666666667</c:v>
                </c:pt>
                <c:pt idx="267">
                  <c:v>23.186666666666667</c:v>
                </c:pt>
                <c:pt idx="268">
                  <c:v>23.186666666666667</c:v>
                </c:pt>
                <c:pt idx="269">
                  <c:v>23.186666666666667</c:v>
                </c:pt>
                <c:pt idx="270">
                  <c:v>23.186666666666667</c:v>
                </c:pt>
                <c:pt idx="271">
                  <c:v>23.186666666666667</c:v>
                </c:pt>
                <c:pt idx="272">
                  <c:v>23.186666666666667</c:v>
                </c:pt>
                <c:pt idx="273">
                  <c:v>23.186666666666667</c:v>
                </c:pt>
                <c:pt idx="274">
                  <c:v>23.186666666666667</c:v>
                </c:pt>
                <c:pt idx="275">
                  <c:v>23.186666666666667</c:v>
                </c:pt>
                <c:pt idx="276">
                  <c:v>23.186666666666667</c:v>
                </c:pt>
                <c:pt idx="277">
                  <c:v>23.186666666666667</c:v>
                </c:pt>
                <c:pt idx="278">
                  <c:v>23.186666666666667</c:v>
                </c:pt>
                <c:pt idx="279">
                  <c:v>23.186666666666667</c:v>
                </c:pt>
                <c:pt idx="280">
                  <c:v>23.186666666666667</c:v>
                </c:pt>
                <c:pt idx="281">
                  <c:v>23.186666666666667</c:v>
                </c:pt>
                <c:pt idx="282">
                  <c:v>23.186666666666667</c:v>
                </c:pt>
                <c:pt idx="283">
                  <c:v>23.186666666666667</c:v>
                </c:pt>
                <c:pt idx="284">
                  <c:v>23.186666666666667</c:v>
                </c:pt>
                <c:pt idx="285">
                  <c:v>23.186666666666667</c:v>
                </c:pt>
                <c:pt idx="286">
                  <c:v>23.186666666666667</c:v>
                </c:pt>
                <c:pt idx="287">
                  <c:v>23.186666666666667</c:v>
                </c:pt>
                <c:pt idx="288">
                  <c:v>23.186666666666667</c:v>
                </c:pt>
                <c:pt idx="289">
                  <c:v>23.186666666666667</c:v>
                </c:pt>
                <c:pt idx="290">
                  <c:v>23.186666666666667</c:v>
                </c:pt>
                <c:pt idx="291">
                  <c:v>23.186666666666667</c:v>
                </c:pt>
                <c:pt idx="292">
                  <c:v>23.186666666666667</c:v>
                </c:pt>
                <c:pt idx="293">
                  <c:v>23.186666666666667</c:v>
                </c:pt>
                <c:pt idx="294">
                  <c:v>23.186666666666667</c:v>
                </c:pt>
                <c:pt idx="295">
                  <c:v>23.186666666666667</c:v>
                </c:pt>
                <c:pt idx="296">
                  <c:v>23.186666666666667</c:v>
                </c:pt>
                <c:pt idx="297">
                  <c:v>23.186666666666667</c:v>
                </c:pt>
                <c:pt idx="298">
                  <c:v>23.186666666666667</c:v>
                </c:pt>
                <c:pt idx="299">
                  <c:v>23.186666666666667</c:v>
                </c:pt>
                <c:pt idx="300">
                  <c:v>23.186666666666667</c:v>
                </c:pt>
                <c:pt idx="301">
                  <c:v>23.186666666666667</c:v>
                </c:pt>
                <c:pt idx="302">
                  <c:v>23.186666666666667</c:v>
                </c:pt>
                <c:pt idx="303">
                  <c:v>23.186666666666667</c:v>
                </c:pt>
                <c:pt idx="304">
                  <c:v>23.186666666666667</c:v>
                </c:pt>
                <c:pt idx="305">
                  <c:v>23.186666666666667</c:v>
                </c:pt>
                <c:pt idx="306">
                  <c:v>23.186666666666667</c:v>
                </c:pt>
                <c:pt idx="307">
                  <c:v>23.186666666666667</c:v>
                </c:pt>
                <c:pt idx="308">
                  <c:v>23.186666666666667</c:v>
                </c:pt>
                <c:pt idx="309">
                  <c:v>23.186666666666667</c:v>
                </c:pt>
                <c:pt idx="310">
                  <c:v>23.186666666666667</c:v>
                </c:pt>
                <c:pt idx="311">
                  <c:v>23.186666666666667</c:v>
                </c:pt>
                <c:pt idx="312">
                  <c:v>23.186666666666667</c:v>
                </c:pt>
                <c:pt idx="313">
                  <c:v>23.186666666666667</c:v>
                </c:pt>
                <c:pt idx="314">
                  <c:v>23.186666666666667</c:v>
                </c:pt>
                <c:pt idx="315">
                  <c:v>23.186666666666667</c:v>
                </c:pt>
                <c:pt idx="316">
                  <c:v>23.186666666666667</c:v>
                </c:pt>
                <c:pt idx="317">
                  <c:v>23.186666666666667</c:v>
                </c:pt>
                <c:pt idx="318">
                  <c:v>23.186666666666667</c:v>
                </c:pt>
                <c:pt idx="319">
                  <c:v>23.186666666666667</c:v>
                </c:pt>
                <c:pt idx="320">
                  <c:v>23.186666666666667</c:v>
                </c:pt>
                <c:pt idx="321">
                  <c:v>23.186666666666667</c:v>
                </c:pt>
                <c:pt idx="322">
                  <c:v>23.186666666666667</c:v>
                </c:pt>
                <c:pt idx="323">
                  <c:v>23.186666666666667</c:v>
                </c:pt>
                <c:pt idx="324">
                  <c:v>23.186666666666667</c:v>
                </c:pt>
                <c:pt idx="325">
                  <c:v>23.186666666666667</c:v>
                </c:pt>
                <c:pt idx="326">
                  <c:v>23.186666666666667</c:v>
                </c:pt>
                <c:pt idx="327">
                  <c:v>23.186666666666667</c:v>
                </c:pt>
                <c:pt idx="328">
                  <c:v>23.186666666666667</c:v>
                </c:pt>
                <c:pt idx="329">
                  <c:v>23.186666666666667</c:v>
                </c:pt>
                <c:pt idx="330">
                  <c:v>23.186666666666667</c:v>
                </c:pt>
                <c:pt idx="331">
                  <c:v>23.186666666666667</c:v>
                </c:pt>
                <c:pt idx="332">
                  <c:v>23.186666666666667</c:v>
                </c:pt>
                <c:pt idx="333">
                  <c:v>23.186666666666667</c:v>
                </c:pt>
                <c:pt idx="334">
                  <c:v>23.186666666666667</c:v>
                </c:pt>
                <c:pt idx="335">
                  <c:v>23.186666666666667</c:v>
                </c:pt>
                <c:pt idx="336">
                  <c:v>23.186666666666667</c:v>
                </c:pt>
                <c:pt idx="337">
                  <c:v>23.186666666666667</c:v>
                </c:pt>
                <c:pt idx="338">
                  <c:v>23.186666666666667</c:v>
                </c:pt>
                <c:pt idx="339">
                  <c:v>23.186666666666667</c:v>
                </c:pt>
                <c:pt idx="340">
                  <c:v>23.186666666666667</c:v>
                </c:pt>
                <c:pt idx="341">
                  <c:v>23.186666666666667</c:v>
                </c:pt>
                <c:pt idx="342">
                  <c:v>23.186666666666667</c:v>
                </c:pt>
                <c:pt idx="343">
                  <c:v>23.186666666666667</c:v>
                </c:pt>
                <c:pt idx="344">
                  <c:v>23.186666666666667</c:v>
                </c:pt>
                <c:pt idx="345">
                  <c:v>23.186666666666667</c:v>
                </c:pt>
                <c:pt idx="346">
                  <c:v>23.186666666666667</c:v>
                </c:pt>
                <c:pt idx="347">
                  <c:v>23.186666666666667</c:v>
                </c:pt>
                <c:pt idx="348">
                  <c:v>23.186666666666667</c:v>
                </c:pt>
                <c:pt idx="349">
                  <c:v>23.186666666666667</c:v>
                </c:pt>
                <c:pt idx="350">
                  <c:v>23.186666666666667</c:v>
                </c:pt>
                <c:pt idx="351">
                  <c:v>23.186666666666667</c:v>
                </c:pt>
                <c:pt idx="352">
                  <c:v>23.186666666666667</c:v>
                </c:pt>
                <c:pt idx="353">
                  <c:v>23.186666666666667</c:v>
                </c:pt>
                <c:pt idx="354">
                  <c:v>23.186666666666667</c:v>
                </c:pt>
                <c:pt idx="355">
                  <c:v>23.186666666666667</c:v>
                </c:pt>
                <c:pt idx="356">
                  <c:v>23.186666666666667</c:v>
                </c:pt>
                <c:pt idx="357">
                  <c:v>23.186666666666667</c:v>
                </c:pt>
                <c:pt idx="358">
                  <c:v>23.186666666666667</c:v>
                </c:pt>
                <c:pt idx="359">
                  <c:v>23.186666666666667</c:v>
                </c:pt>
                <c:pt idx="360">
                  <c:v>23.186666666666667</c:v>
                </c:pt>
                <c:pt idx="361">
                  <c:v>23.186666666666667</c:v>
                </c:pt>
                <c:pt idx="362">
                  <c:v>23.186666666666667</c:v>
                </c:pt>
                <c:pt idx="363">
                  <c:v>23.186666666666667</c:v>
                </c:pt>
                <c:pt idx="364">
                  <c:v>23.186666666666667</c:v>
                </c:pt>
                <c:pt idx="365">
                  <c:v>23.186666666666667</c:v>
                </c:pt>
                <c:pt idx="366">
                  <c:v>23.186666666666667</c:v>
                </c:pt>
                <c:pt idx="367">
                  <c:v>23.186666666666667</c:v>
                </c:pt>
                <c:pt idx="368">
                  <c:v>23.186666666666667</c:v>
                </c:pt>
                <c:pt idx="369">
                  <c:v>23.186666666666667</c:v>
                </c:pt>
                <c:pt idx="370">
                  <c:v>23.186666666666667</c:v>
                </c:pt>
                <c:pt idx="371">
                  <c:v>23.186666666666667</c:v>
                </c:pt>
                <c:pt idx="372">
                  <c:v>23.186666666666667</c:v>
                </c:pt>
                <c:pt idx="373">
                  <c:v>23.186666666666667</c:v>
                </c:pt>
                <c:pt idx="374">
                  <c:v>23.186666666666667</c:v>
                </c:pt>
                <c:pt idx="375">
                  <c:v>23.186666666666667</c:v>
                </c:pt>
                <c:pt idx="376">
                  <c:v>23.186666666666667</c:v>
                </c:pt>
                <c:pt idx="377">
                  <c:v>23.186666666666667</c:v>
                </c:pt>
                <c:pt idx="378">
                  <c:v>23.186666666666667</c:v>
                </c:pt>
                <c:pt idx="379">
                  <c:v>23.186666666666667</c:v>
                </c:pt>
                <c:pt idx="380">
                  <c:v>23.186666666666667</c:v>
                </c:pt>
                <c:pt idx="381">
                  <c:v>23.186666666666667</c:v>
                </c:pt>
                <c:pt idx="382">
                  <c:v>23.186666666666667</c:v>
                </c:pt>
                <c:pt idx="383">
                  <c:v>23.186666666666667</c:v>
                </c:pt>
                <c:pt idx="384">
                  <c:v>23.186666666666667</c:v>
                </c:pt>
                <c:pt idx="385">
                  <c:v>23.186666666666667</c:v>
                </c:pt>
                <c:pt idx="386">
                  <c:v>23.186666666666667</c:v>
                </c:pt>
                <c:pt idx="387">
                  <c:v>23.186666666666667</c:v>
                </c:pt>
                <c:pt idx="388">
                  <c:v>23.186666666666667</c:v>
                </c:pt>
                <c:pt idx="389">
                  <c:v>23.186666666666667</c:v>
                </c:pt>
                <c:pt idx="390">
                  <c:v>23.186666666666667</c:v>
                </c:pt>
                <c:pt idx="391">
                  <c:v>23.186666666666667</c:v>
                </c:pt>
                <c:pt idx="392">
                  <c:v>23.186666666666667</c:v>
                </c:pt>
                <c:pt idx="393">
                  <c:v>23.186666666666667</c:v>
                </c:pt>
                <c:pt idx="394">
                  <c:v>23.186666666666667</c:v>
                </c:pt>
                <c:pt idx="395">
                  <c:v>23.186666666666667</c:v>
                </c:pt>
                <c:pt idx="396">
                  <c:v>23.186666666666667</c:v>
                </c:pt>
                <c:pt idx="397">
                  <c:v>23.186666666666667</c:v>
                </c:pt>
                <c:pt idx="398">
                  <c:v>23.186666666666667</c:v>
                </c:pt>
                <c:pt idx="399">
                  <c:v>23.186666666666667</c:v>
                </c:pt>
                <c:pt idx="400">
                  <c:v>23.186666666666667</c:v>
                </c:pt>
                <c:pt idx="401">
                  <c:v>23.186666666666667</c:v>
                </c:pt>
                <c:pt idx="402">
                  <c:v>23.186666666666667</c:v>
                </c:pt>
                <c:pt idx="403">
                  <c:v>23.186666666666667</c:v>
                </c:pt>
                <c:pt idx="404">
                  <c:v>23.186666666666667</c:v>
                </c:pt>
                <c:pt idx="405">
                  <c:v>23.186666666666667</c:v>
                </c:pt>
                <c:pt idx="406">
                  <c:v>23.186666666666667</c:v>
                </c:pt>
                <c:pt idx="407">
                  <c:v>23.186666666666667</c:v>
                </c:pt>
                <c:pt idx="408">
                  <c:v>23.186666666666667</c:v>
                </c:pt>
                <c:pt idx="409">
                  <c:v>23.186666666666667</c:v>
                </c:pt>
                <c:pt idx="410">
                  <c:v>23.186666666666667</c:v>
                </c:pt>
                <c:pt idx="411">
                  <c:v>23.186666666666667</c:v>
                </c:pt>
                <c:pt idx="412">
                  <c:v>23.186666666666667</c:v>
                </c:pt>
                <c:pt idx="413">
                  <c:v>23.186666666666667</c:v>
                </c:pt>
                <c:pt idx="414">
                  <c:v>23.186666666666667</c:v>
                </c:pt>
                <c:pt idx="415">
                  <c:v>23.186666666666667</c:v>
                </c:pt>
                <c:pt idx="416">
                  <c:v>23.186666666666667</c:v>
                </c:pt>
                <c:pt idx="417">
                  <c:v>23.186666666666667</c:v>
                </c:pt>
                <c:pt idx="418">
                  <c:v>23.186666666666667</c:v>
                </c:pt>
                <c:pt idx="419">
                  <c:v>23.186666666666667</c:v>
                </c:pt>
                <c:pt idx="420">
                  <c:v>23.186666666666667</c:v>
                </c:pt>
                <c:pt idx="421">
                  <c:v>23.186666666666667</c:v>
                </c:pt>
                <c:pt idx="422">
                  <c:v>23.186666666666667</c:v>
                </c:pt>
                <c:pt idx="423">
                  <c:v>23.186666666666667</c:v>
                </c:pt>
                <c:pt idx="424">
                  <c:v>23.186666666666667</c:v>
                </c:pt>
                <c:pt idx="425">
                  <c:v>23.186666666666667</c:v>
                </c:pt>
                <c:pt idx="426">
                  <c:v>23.186666666666667</c:v>
                </c:pt>
                <c:pt idx="427">
                  <c:v>23.186666666666667</c:v>
                </c:pt>
                <c:pt idx="428">
                  <c:v>23.186666666666667</c:v>
                </c:pt>
                <c:pt idx="429">
                  <c:v>23.186666666666667</c:v>
                </c:pt>
                <c:pt idx="430">
                  <c:v>23.186666666666667</c:v>
                </c:pt>
                <c:pt idx="431">
                  <c:v>23.186666666666667</c:v>
                </c:pt>
                <c:pt idx="432">
                  <c:v>23.186666666666667</c:v>
                </c:pt>
                <c:pt idx="433">
                  <c:v>23.186666666666667</c:v>
                </c:pt>
                <c:pt idx="434">
                  <c:v>23.186666666666667</c:v>
                </c:pt>
                <c:pt idx="435">
                  <c:v>23.186666666666667</c:v>
                </c:pt>
                <c:pt idx="436">
                  <c:v>23.186666666666667</c:v>
                </c:pt>
                <c:pt idx="437">
                  <c:v>23.186666666666667</c:v>
                </c:pt>
                <c:pt idx="438">
                  <c:v>23.186666666666667</c:v>
                </c:pt>
                <c:pt idx="439">
                  <c:v>23.186666666666667</c:v>
                </c:pt>
                <c:pt idx="440">
                  <c:v>23.186666666666667</c:v>
                </c:pt>
                <c:pt idx="441">
                  <c:v>23.186666666666667</c:v>
                </c:pt>
                <c:pt idx="442">
                  <c:v>23.186666666666667</c:v>
                </c:pt>
                <c:pt idx="443">
                  <c:v>23.186666666666667</c:v>
                </c:pt>
                <c:pt idx="444">
                  <c:v>23.186666666666667</c:v>
                </c:pt>
                <c:pt idx="445">
                  <c:v>23.186666666666667</c:v>
                </c:pt>
                <c:pt idx="446">
                  <c:v>23.186666666666667</c:v>
                </c:pt>
                <c:pt idx="447">
                  <c:v>23.186666666666667</c:v>
                </c:pt>
                <c:pt idx="448">
                  <c:v>23.186666666666667</c:v>
                </c:pt>
                <c:pt idx="449">
                  <c:v>23.186666666666667</c:v>
                </c:pt>
                <c:pt idx="450">
                  <c:v>23.186666666666667</c:v>
                </c:pt>
                <c:pt idx="451">
                  <c:v>23.186666666666667</c:v>
                </c:pt>
                <c:pt idx="452">
                  <c:v>23.186666666666667</c:v>
                </c:pt>
                <c:pt idx="453">
                  <c:v>23.186666666666667</c:v>
                </c:pt>
                <c:pt idx="454">
                  <c:v>23.186666666666667</c:v>
                </c:pt>
                <c:pt idx="455">
                  <c:v>23.186666666666667</c:v>
                </c:pt>
                <c:pt idx="456">
                  <c:v>23.186666666666667</c:v>
                </c:pt>
                <c:pt idx="457">
                  <c:v>23.186666666666667</c:v>
                </c:pt>
                <c:pt idx="458">
                  <c:v>23.186666666666667</c:v>
                </c:pt>
                <c:pt idx="459">
                  <c:v>23.186666666666667</c:v>
                </c:pt>
                <c:pt idx="460">
                  <c:v>23.186666666666667</c:v>
                </c:pt>
                <c:pt idx="461">
                  <c:v>23.186666666666667</c:v>
                </c:pt>
                <c:pt idx="462">
                  <c:v>23.186666666666667</c:v>
                </c:pt>
                <c:pt idx="463">
                  <c:v>23.186666666666667</c:v>
                </c:pt>
                <c:pt idx="464">
                  <c:v>23.186666666666667</c:v>
                </c:pt>
                <c:pt idx="465">
                  <c:v>23.186666666666667</c:v>
                </c:pt>
                <c:pt idx="466">
                  <c:v>23.186666666666667</c:v>
                </c:pt>
                <c:pt idx="467">
                  <c:v>23.186666666666667</c:v>
                </c:pt>
                <c:pt idx="468">
                  <c:v>23.186666666666667</c:v>
                </c:pt>
                <c:pt idx="469">
                  <c:v>23.186666666666667</c:v>
                </c:pt>
                <c:pt idx="470">
                  <c:v>23.186666666666667</c:v>
                </c:pt>
                <c:pt idx="471">
                  <c:v>23.186666666666667</c:v>
                </c:pt>
                <c:pt idx="472">
                  <c:v>23.186666666666667</c:v>
                </c:pt>
                <c:pt idx="473">
                  <c:v>23.186666666666667</c:v>
                </c:pt>
                <c:pt idx="474">
                  <c:v>23.186666666666667</c:v>
                </c:pt>
                <c:pt idx="475">
                  <c:v>23.186666666666667</c:v>
                </c:pt>
                <c:pt idx="476">
                  <c:v>23.186666666666667</c:v>
                </c:pt>
                <c:pt idx="477">
                  <c:v>23.186666666666667</c:v>
                </c:pt>
                <c:pt idx="478">
                  <c:v>23.186666666666667</c:v>
                </c:pt>
                <c:pt idx="479">
                  <c:v>23.186666666666667</c:v>
                </c:pt>
                <c:pt idx="480">
                  <c:v>23.186666666666667</c:v>
                </c:pt>
                <c:pt idx="481">
                  <c:v>23.186666666666667</c:v>
                </c:pt>
                <c:pt idx="482">
                  <c:v>23.186666666666667</c:v>
                </c:pt>
                <c:pt idx="483">
                  <c:v>23.186666666666667</c:v>
                </c:pt>
                <c:pt idx="484">
                  <c:v>23.186666666666667</c:v>
                </c:pt>
                <c:pt idx="485">
                  <c:v>23.186666666666667</c:v>
                </c:pt>
                <c:pt idx="486">
                  <c:v>23.186666666666667</c:v>
                </c:pt>
                <c:pt idx="487">
                  <c:v>23.186666666666667</c:v>
                </c:pt>
                <c:pt idx="488">
                  <c:v>23.186666666666667</c:v>
                </c:pt>
                <c:pt idx="489">
                  <c:v>23.186666666666667</c:v>
                </c:pt>
                <c:pt idx="490">
                  <c:v>23.186666666666667</c:v>
                </c:pt>
                <c:pt idx="491">
                  <c:v>23.186666666666667</c:v>
                </c:pt>
                <c:pt idx="492">
                  <c:v>23.186666666666667</c:v>
                </c:pt>
                <c:pt idx="493">
                  <c:v>23.186666666666667</c:v>
                </c:pt>
                <c:pt idx="494">
                  <c:v>23.186666666666667</c:v>
                </c:pt>
                <c:pt idx="495">
                  <c:v>23.186666666666667</c:v>
                </c:pt>
                <c:pt idx="496">
                  <c:v>23.186666666666667</c:v>
                </c:pt>
                <c:pt idx="497">
                  <c:v>23.186666666666667</c:v>
                </c:pt>
                <c:pt idx="498">
                  <c:v>23.186666666666667</c:v>
                </c:pt>
                <c:pt idx="499">
                  <c:v>23.186666666666667</c:v>
                </c:pt>
                <c:pt idx="500">
                  <c:v>23.186666666666667</c:v>
                </c:pt>
                <c:pt idx="501">
                  <c:v>23.186666666666667</c:v>
                </c:pt>
                <c:pt idx="502">
                  <c:v>23.186666666666667</c:v>
                </c:pt>
                <c:pt idx="503">
                  <c:v>23.186666666666667</c:v>
                </c:pt>
                <c:pt idx="504">
                  <c:v>23.186666666666667</c:v>
                </c:pt>
                <c:pt idx="505">
                  <c:v>23.186666666666667</c:v>
                </c:pt>
                <c:pt idx="506">
                  <c:v>23.186666666666667</c:v>
                </c:pt>
                <c:pt idx="507">
                  <c:v>23.186666666666667</c:v>
                </c:pt>
                <c:pt idx="508">
                  <c:v>23.186666666666667</c:v>
                </c:pt>
                <c:pt idx="509">
                  <c:v>23.186666666666667</c:v>
                </c:pt>
                <c:pt idx="510">
                  <c:v>23.186666666666667</c:v>
                </c:pt>
                <c:pt idx="511">
                  <c:v>23.186666666666667</c:v>
                </c:pt>
                <c:pt idx="512">
                  <c:v>23.186666666666667</c:v>
                </c:pt>
                <c:pt idx="513">
                  <c:v>23.186666666666667</c:v>
                </c:pt>
                <c:pt idx="514">
                  <c:v>23.186666666666667</c:v>
                </c:pt>
                <c:pt idx="515">
                  <c:v>23.186666666666667</c:v>
                </c:pt>
                <c:pt idx="516">
                  <c:v>23.186666666666667</c:v>
                </c:pt>
                <c:pt idx="517">
                  <c:v>23.186666666666667</c:v>
                </c:pt>
                <c:pt idx="518">
                  <c:v>23.186666666666667</c:v>
                </c:pt>
                <c:pt idx="519">
                  <c:v>23.186666666666667</c:v>
                </c:pt>
                <c:pt idx="520">
                  <c:v>23.186666666666667</c:v>
                </c:pt>
                <c:pt idx="521">
                  <c:v>23.186666666666667</c:v>
                </c:pt>
                <c:pt idx="522">
                  <c:v>23.186666666666667</c:v>
                </c:pt>
                <c:pt idx="523">
                  <c:v>23.186666666666667</c:v>
                </c:pt>
                <c:pt idx="524">
                  <c:v>23.186666666666667</c:v>
                </c:pt>
                <c:pt idx="525">
                  <c:v>23.186666666666667</c:v>
                </c:pt>
                <c:pt idx="526">
                  <c:v>23.186666666666667</c:v>
                </c:pt>
                <c:pt idx="527">
                  <c:v>23.186666666666667</c:v>
                </c:pt>
                <c:pt idx="528">
                  <c:v>23.186666666666667</c:v>
                </c:pt>
                <c:pt idx="529">
                  <c:v>23.186666666666667</c:v>
                </c:pt>
                <c:pt idx="530">
                  <c:v>23.186666666666667</c:v>
                </c:pt>
                <c:pt idx="531">
                  <c:v>23.186666666666667</c:v>
                </c:pt>
                <c:pt idx="532">
                  <c:v>23.186666666666667</c:v>
                </c:pt>
                <c:pt idx="533">
                  <c:v>23.186666666666667</c:v>
                </c:pt>
                <c:pt idx="534">
                  <c:v>23.186666666666667</c:v>
                </c:pt>
                <c:pt idx="535">
                  <c:v>23.186666666666667</c:v>
                </c:pt>
                <c:pt idx="536">
                  <c:v>23.186666666666667</c:v>
                </c:pt>
                <c:pt idx="537">
                  <c:v>23.186666666666667</c:v>
                </c:pt>
                <c:pt idx="538">
                  <c:v>23.186666666666667</c:v>
                </c:pt>
                <c:pt idx="539">
                  <c:v>23.186666666666667</c:v>
                </c:pt>
                <c:pt idx="540">
                  <c:v>23.186666666666667</c:v>
                </c:pt>
                <c:pt idx="541">
                  <c:v>23.186666666666667</c:v>
                </c:pt>
                <c:pt idx="542">
                  <c:v>23.186666666666667</c:v>
                </c:pt>
                <c:pt idx="543">
                  <c:v>23.186666666666667</c:v>
                </c:pt>
                <c:pt idx="544">
                  <c:v>23.186666666666667</c:v>
                </c:pt>
                <c:pt idx="545">
                  <c:v>23.186666666666667</c:v>
                </c:pt>
                <c:pt idx="546">
                  <c:v>23.186666666666667</c:v>
                </c:pt>
                <c:pt idx="547">
                  <c:v>23.186666666666667</c:v>
                </c:pt>
                <c:pt idx="548">
                  <c:v>23.186666666666667</c:v>
                </c:pt>
                <c:pt idx="549">
                  <c:v>23.186666666666667</c:v>
                </c:pt>
                <c:pt idx="550">
                  <c:v>23.186666666666667</c:v>
                </c:pt>
                <c:pt idx="551">
                  <c:v>23.186666666666667</c:v>
                </c:pt>
                <c:pt idx="552">
                  <c:v>23.186666666666667</c:v>
                </c:pt>
                <c:pt idx="553">
                  <c:v>23.186666666666667</c:v>
                </c:pt>
                <c:pt idx="554">
                  <c:v>23.186666666666667</c:v>
                </c:pt>
                <c:pt idx="555">
                  <c:v>23.186666666666667</c:v>
                </c:pt>
                <c:pt idx="556">
                  <c:v>23.186666666666667</c:v>
                </c:pt>
                <c:pt idx="557">
                  <c:v>23.186666666666667</c:v>
                </c:pt>
                <c:pt idx="558">
                  <c:v>23.186666666666667</c:v>
                </c:pt>
                <c:pt idx="559">
                  <c:v>23.186666666666667</c:v>
                </c:pt>
                <c:pt idx="560">
                  <c:v>23.186666666666667</c:v>
                </c:pt>
                <c:pt idx="561">
                  <c:v>23.186666666666667</c:v>
                </c:pt>
                <c:pt idx="562">
                  <c:v>23.186666666666667</c:v>
                </c:pt>
                <c:pt idx="563">
                  <c:v>23.186666666666667</c:v>
                </c:pt>
                <c:pt idx="564">
                  <c:v>23.186666666666667</c:v>
                </c:pt>
                <c:pt idx="565">
                  <c:v>23.186666666666667</c:v>
                </c:pt>
                <c:pt idx="566">
                  <c:v>23.186666666666667</c:v>
                </c:pt>
                <c:pt idx="567">
                  <c:v>23.186666666666667</c:v>
                </c:pt>
                <c:pt idx="568">
                  <c:v>23.186666666666667</c:v>
                </c:pt>
                <c:pt idx="569">
                  <c:v>23.186666666666667</c:v>
                </c:pt>
                <c:pt idx="570">
                  <c:v>23.186666666666667</c:v>
                </c:pt>
                <c:pt idx="571">
                  <c:v>23.186666666666667</c:v>
                </c:pt>
                <c:pt idx="572">
                  <c:v>23.186666666666667</c:v>
                </c:pt>
                <c:pt idx="573">
                  <c:v>23.186666666666667</c:v>
                </c:pt>
                <c:pt idx="574">
                  <c:v>23.186666666666667</c:v>
                </c:pt>
                <c:pt idx="575">
                  <c:v>23.186666666666667</c:v>
                </c:pt>
                <c:pt idx="576">
                  <c:v>23.186666666666667</c:v>
                </c:pt>
                <c:pt idx="577">
                  <c:v>23.186666666666667</c:v>
                </c:pt>
                <c:pt idx="578">
                  <c:v>23.186666666666667</c:v>
                </c:pt>
                <c:pt idx="579">
                  <c:v>23.186666666666667</c:v>
                </c:pt>
                <c:pt idx="580">
                  <c:v>23.186666666666667</c:v>
                </c:pt>
                <c:pt idx="581">
                  <c:v>23.186666666666667</c:v>
                </c:pt>
                <c:pt idx="582">
                  <c:v>23.186666666666667</c:v>
                </c:pt>
                <c:pt idx="583">
                  <c:v>23.186666666666667</c:v>
                </c:pt>
                <c:pt idx="584">
                  <c:v>23.186666666666667</c:v>
                </c:pt>
                <c:pt idx="585">
                  <c:v>23.186666666666667</c:v>
                </c:pt>
                <c:pt idx="586">
                  <c:v>23.186666666666667</c:v>
                </c:pt>
                <c:pt idx="587">
                  <c:v>23.186666666666667</c:v>
                </c:pt>
                <c:pt idx="588">
                  <c:v>23.186666666666667</c:v>
                </c:pt>
                <c:pt idx="589">
                  <c:v>23.186666666666667</c:v>
                </c:pt>
                <c:pt idx="590">
                  <c:v>23.186666666666667</c:v>
                </c:pt>
                <c:pt idx="591">
                  <c:v>23.186666666666667</c:v>
                </c:pt>
                <c:pt idx="592">
                  <c:v>23.186666666666667</c:v>
                </c:pt>
                <c:pt idx="593">
                  <c:v>23.186666666666667</c:v>
                </c:pt>
                <c:pt idx="594">
                  <c:v>23.186666666666667</c:v>
                </c:pt>
                <c:pt idx="595">
                  <c:v>23.186666666666667</c:v>
                </c:pt>
                <c:pt idx="596">
                  <c:v>23.186666666666667</c:v>
                </c:pt>
                <c:pt idx="597">
                  <c:v>23.186666666666667</c:v>
                </c:pt>
                <c:pt idx="598">
                  <c:v>23.186666666666667</c:v>
                </c:pt>
                <c:pt idx="599">
                  <c:v>23.186666666666667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13-4FD0-B637-6ACDADD27C2B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AOI_u_Laney!$G$11:$G$610</c:f>
              <c:numCache>
                <c:formatCode>0.0000</c:formatCode>
                <c:ptCount val="600"/>
                <c:pt idx="0">
                  <c:v>8.7409060428711882</c:v>
                </c:pt>
                <c:pt idx="1">
                  <c:v>8.7409060428711882</c:v>
                </c:pt>
                <c:pt idx="2">
                  <c:v>8.7409060428711882</c:v>
                </c:pt>
                <c:pt idx="3">
                  <c:v>8.7409060428711882</c:v>
                </c:pt>
                <c:pt idx="4">
                  <c:v>8.7409060428711882</c:v>
                </c:pt>
                <c:pt idx="5">
                  <c:v>8.7409060428711882</c:v>
                </c:pt>
                <c:pt idx="6">
                  <c:v>8.7409060428711882</c:v>
                </c:pt>
                <c:pt idx="7">
                  <c:v>8.7409060428711882</c:v>
                </c:pt>
                <c:pt idx="8">
                  <c:v>8.7409060428711882</c:v>
                </c:pt>
                <c:pt idx="9">
                  <c:v>8.7409060428711882</c:v>
                </c:pt>
                <c:pt idx="10">
                  <c:v>8.7409060428711882</c:v>
                </c:pt>
                <c:pt idx="11">
                  <c:v>8.7409060428711882</c:v>
                </c:pt>
                <c:pt idx="12">
                  <c:v>8.7409060428711882</c:v>
                </c:pt>
                <c:pt idx="13">
                  <c:v>8.7409060428711882</c:v>
                </c:pt>
                <c:pt idx="14">
                  <c:v>8.7409060428711882</c:v>
                </c:pt>
                <c:pt idx="15">
                  <c:v>8.7409060428711882</c:v>
                </c:pt>
                <c:pt idx="16">
                  <c:v>8.7409060428711882</c:v>
                </c:pt>
                <c:pt idx="17">
                  <c:v>8.7409060428711882</c:v>
                </c:pt>
                <c:pt idx="18">
                  <c:v>8.7409060428711882</c:v>
                </c:pt>
                <c:pt idx="19">
                  <c:v>8.7409060428711882</c:v>
                </c:pt>
                <c:pt idx="20">
                  <c:v>8.7409060428711882</c:v>
                </c:pt>
                <c:pt idx="21">
                  <c:v>8.7409060428711882</c:v>
                </c:pt>
                <c:pt idx="22">
                  <c:v>8.7409060428711882</c:v>
                </c:pt>
                <c:pt idx="23">
                  <c:v>8.7409060428711882</c:v>
                </c:pt>
                <c:pt idx="24">
                  <c:v>8.7409060428711882</c:v>
                </c:pt>
                <c:pt idx="25">
                  <c:v>8.7409060428711882</c:v>
                </c:pt>
                <c:pt idx="26">
                  <c:v>8.7409060428711882</c:v>
                </c:pt>
                <c:pt idx="27">
                  <c:v>8.7409060428711882</c:v>
                </c:pt>
                <c:pt idx="28">
                  <c:v>8.7409060428711882</c:v>
                </c:pt>
                <c:pt idx="29">
                  <c:v>8.7409060428711882</c:v>
                </c:pt>
                <c:pt idx="30">
                  <c:v>8.7409060428711882</c:v>
                </c:pt>
                <c:pt idx="31">
                  <c:v>8.7409060428711882</c:v>
                </c:pt>
                <c:pt idx="32">
                  <c:v>8.7409060428711882</c:v>
                </c:pt>
                <c:pt idx="33">
                  <c:v>8.7409060428711882</c:v>
                </c:pt>
                <c:pt idx="34">
                  <c:v>8.7409060428711882</c:v>
                </c:pt>
                <c:pt idx="35">
                  <c:v>8.7409060428711882</c:v>
                </c:pt>
                <c:pt idx="36">
                  <c:v>8.7409060428711882</c:v>
                </c:pt>
                <c:pt idx="37">
                  <c:v>8.7409060428711882</c:v>
                </c:pt>
                <c:pt idx="38">
                  <c:v>8.7409060428711882</c:v>
                </c:pt>
                <c:pt idx="39">
                  <c:v>8.7409060428711882</c:v>
                </c:pt>
                <c:pt idx="40">
                  <c:v>8.7409060428711882</c:v>
                </c:pt>
                <c:pt idx="41">
                  <c:v>8.7409060428711882</c:v>
                </c:pt>
                <c:pt idx="42">
                  <c:v>8.7409060428711882</c:v>
                </c:pt>
                <c:pt idx="43">
                  <c:v>8.7409060428711882</c:v>
                </c:pt>
                <c:pt idx="44">
                  <c:v>8.7409060428711882</c:v>
                </c:pt>
                <c:pt idx="45">
                  <c:v>8.7409060428711882</c:v>
                </c:pt>
                <c:pt idx="46">
                  <c:v>8.7409060428711882</c:v>
                </c:pt>
                <c:pt idx="47">
                  <c:v>8.7409060428711882</c:v>
                </c:pt>
                <c:pt idx="48">
                  <c:v>8.7409060428711882</c:v>
                </c:pt>
                <c:pt idx="49">
                  <c:v>8.7409060428711882</c:v>
                </c:pt>
                <c:pt idx="50">
                  <c:v>8.7409060428711882</c:v>
                </c:pt>
                <c:pt idx="51">
                  <c:v>8.7409060428711882</c:v>
                </c:pt>
                <c:pt idx="52">
                  <c:v>8.7409060428711882</c:v>
                </c:pt>
                <c:pt idx="53">
                  <c:v>8.7409060428711882</c:v>
                </c:pt>
                <c:pt idx="54">
                  <c:v>8.7409060428711882</c:v>
                </c:pt>
                <c:pt idx="55">
                  <c:v>8.7409060428711882</c:v>
                </c:pt>
                <c:pt idx="56">
                  <c:v>8.7409060428711882</c:v>
                </c:pt>
                <c:pt idx="57">
                  <c:v>8.7409060428711882</c:v>
                </c:pt>
                <c:pt idx="58">
                  <c:v>8.7409060428711882</c:v>
                </c:pt>
                <c:pt idx="59">
                  <c:v>8.7409060428711882</c:v>
                </c:pt>
                <c:pt idx="60">
                  <c:v>8.7409060428711882</c:v>
                </c:pt>
                <c:pt idx="61">
                  <c:v>8.7409060428711882</c:v>
                </c:pt>
                <c:pt idx="62">
                  <c:v>8.7409060428711882</c:v>
                </c:pt>
                <c:pt idx="63">
                  <c:v>8.7409060428711882</c:v>
                </c:pt>
                <c:pt idx="64">
                  <c:v>8.7409060428711882</c:v>
                </c:pt>
                <c:pt idx="65">
                  <c:v>8.7409060428711882</c:v>
                </c:pt>
                <c:pt idx="66">
                  <c:v>8.7409060428711882</c:v>
                </c:pt>
                <c:pt idx="67">
                  <c:v>8.7409060428711882</c:v>
                </c:pt>
                <c:pt idx="68">
                  <c:v>8.7409060428711882</c:v>
                </c:pt>
                <c:pt idx="69">
                  <c:v>8.7409060428711882</c:v>
                </c:pt>
                <c:pt idx="70">
                  <c:v>8.7409060428711882</c:v>
                </c:pt>
                <c:pt idx="71">
                  <c:v>8.7409060428711882</c:v>
                </c:pt>
                <c:pt idx="72">
                  <c:v>8.7409060428711882</c:v>
                </c:pt>
                <c:pt idx="73">
                  <c:v>8.7409060428711882</c:v>
                </c:pt>
                <c:pt idx="74">
                  <c:v>8.7409060428711882</c:v>
                </c:pt>
                <c:pt idx="75">
                  <c:v>8.7409060428711882</c:v>
                </c:pt>
                <c:pt idx="76">
                  <c:v>8.7409060428711882</c:v>
                </c:pt>
                <c:pt idx="77">
                  <c:v>8.7409060428711882</c:v>
                </c:pt>
                <c:pt idx="78">
                  <c:v>8.7409060428711882</c:v>
                </c:pt>
                <c:pt idx="79">
                  <c:v>8.7409060428711882</c:v>
                </c:pt>
                <c:pt idx="80">
                  <c:v>8.7409060428711882</c:v>
                </c:pt>
                <c:pt idx="81">
                  <c:v>8.7409060428711882</c:v>
                </c:pt>
                <c:pt idx="82">
                  <c:v>8.7409060428711882</c:v>
                </c:pt>
                <c:pt idx="83">
                  <c:v>8.7409060428711882</c:v>
                </c:pt>
                <c:pt idx="84">
                  <c:v>8.7409060428711882</c:v>
                </c:pt>
                <c:pt idx="85">
                  <c:v>8.7409060428711882</c:v>
                </c:pt>
                <c:pt idx="86">
                  <c:v>8.7409060428711882</c:v>
                </c:pt>
                <c:pt idx="87">
                  <c:v>8.7409060428711882</c:v>
                </c:pt>
                <c:pt idx="88">
                  <c:v>8.7409060428711882</c:v>
                </c:pt>
                <c:pt idx="89">
                  <c:v>8.7409060428711882</c:v>
                </c:pt>
                <c:pt idx="90">
                  <c:v>8.7409060428711882</c:v>
                </c:pt>
                <c:pt idx="91">
                  <c:v>8.7409060428711882</c:v>
                </c:pt>
                <c:pt idx="92">
                  <c:v>8.7409060428711882</c:v>
                </c:pt>
                <c:pt idx="93">
                  <c:v>8.7409060428711882</c:v>
                </c:pt>
                <c:pt idx="94">
                  <c:v>8.7409060428711882</c:v>
                </c:pt>
                <c:pt idx="95">
                  <c:v>8.7409060428711882</c:v>
                </c:pt>
                <c:pt idx="96">
                  <c:v>8.7409060428711882</c:v>
                </c:pt>
                <c:pt idx="97">
                  <c:v>8.7409060428711882</c:v>
                </c:pt>
                <c:pt idx="98">
                  <c:v>8.7409060428711882</c:v>
                </c:pt>
                <c:pt idx="99">
                  <c:v>8.7409060428711882</c:v>
                </c:pt>
                <c:pt idx="100">
                  <c:v>8.7409060428711882</c:v>
                </c:pt>
                <c:pt idx="101">
                  <c:v>8.7409060428711882</c:v>
                </c:pt>
                <c:pt idx="102">
                  <c:v>8.7409060428711882</c:v>
                </c:pt>
                <c:pt idx="103">
                  <c:v>8.7409060428711882</c:v>
                </c:pt>
                <c:pt idx="104">
                  <c:v>8.7409060428711882</c:v>
                </c:pt>
                <c:pt idx="105">
                  <c:v>8.7409060428711882</c:v>
                </c:pt>
                <c:pt idx="106">
                  <c:v>8.7409060428711882</c:v>
                </c:pt>
                <c:pt idx="107">
                  <c:v>8.7409060428711882</c:v>
                </c:pt>
                <c:pt idx="108">
                  <c:v>8.7409060428711882</c:v>
                </c:pt>
                <c:pt idx="109">
                  <c:v>8.7409060428711882</c:v>
                </c:pt>
                <c:pt idx="110">
                  <c:v>8.7409060428711882</c:v>
                </c:pt>
                <c:pt idx="111">
                  <c:v>8.7409060428711882</c:v>
                </c:pt>
                <c:pt idx="112">
                  <c:v>8.7409060428711882</c:v>
                </c:pt>
                <c:pt idx="113">
                  <c:v>8.7409060428711882</c:v>
                </c:pt>
                <c:pt idx="114">
                  <c:v>8.7409060428711882</c:v>
                </c:pt>
                <c:pt idx="115">
                  <c:v>8.7409060428711882</c:v>
                </c:pt>
                <c:pt idx="116">
                  <c:v>8.7409060428711882</c:v>
                </c:pt>
                <c:pt idx="117">
                  <c:v>8.7409060428711882</c:v>
                </c:pt>
                <c:pt idx="118">
                  <c:v>8.7409060428711882</c:v>
                </c:pt>
                <c:pt idx="119">
                  <c:v>8.7409060428711882</c:v>
                </c:pt>
                <c:pt idx="120">
                  <c:v>8.7409060428711882</c:v>
                </c:pt>
                <c:pt idx="121">
                  <c:v>8.7409060428711882</c:v>
                </c:pt>
                <c:pt idx="122">
                  <c:v>8.7409060428711882</c:v>
                </c:pt>
                <c:pt idx="123">
                  <c:v>8.7409060428711882</c:v>
                </c:pt>
                <c:pt idx="124">
                  <c:v>8.7409060428711882</c:v>
                </c:pt>
                <c:pt idx="125">
                  <c:v>8.7409060428711882</c:v>
                </c:pt>
                <c:pt idx="126">
                  <c:v>8.7409060428711882</c:v>
                </c:pt>
                <c:pt idx="127">
                  <c:v>8.7409060428711882</c:v>
                </c:pt>
                <c:pt idx="128">
                  <c:v>8.7409060428711882</c:v>
                </c:pt>
                <c:pt idx="129">
                  <c:v>8.7409060428711882</c:v>
                </c:pt>
                <c:pt idx="130">
                  <c:v>8.7409060428711882</c:v>
                </c:pt>
                <c:pt idx="131">
                  <c:v>8.7409060428711882</c:v>
                </c:pt>
                <c:pt idx="132">
                  <c:v>8.7409060428711882</c:v>
                </c:pt>
                <c:pt idx="133">
                  <c:v>8.7409060428711882</c:v>
                </c:pt>
                <c:pt idx="134">
                  <c:v>8.7409060428711882</c:v>
                </c:pt>
                <c:pt idx="135">
                  <c:v>8.7409060428711882</c:v>
                </c:pt>
                <c:pt idx="136">
                  <c:v>8.7409060428711882</c:v>
                </c:pt>
                <c:pt idx="137">
                  <c:v>8.7409060428711882</c:v>
                </c:pt>
                <c:pt idx="138">
                  <c:v>8.7409060428711882</c:v>
                </c:pt>
                <c:pt idx="139">
                  <c:v>8.7409060428711882</c:v>
                </c:pt>
                <c:pt idx="140">
                  <c:v>8.7409060428711882</c:v>
                </c:pt>
                <c:pt idx="141">
                  <c:v>8.7409060428711882</c:v>
                </c:pt>
                <c:pt idx="142">
                  <c:v>8.7409060428711882</c:v>
                </c:pt>
                <c:pt idx="143">
                  <c:v>8.7409060428711882</c:v>
                </c:pt>
                <c:pt idx="144">
                  <c:v>8.7409060428711882</c:v>
                </c:pt>
                <c:pt idx="145">
                  <c:v>8.7409060428711882</c:v>
                </c:pt>
                <c:pt idx="146">
                  <c:v>8.7409060428711882</c:v>
                </c:pt>
                <c:pt idx="147">
                  <c:v>8.7409060428711882</c:v>
                </c:pt>
                <c:pt idx="148">
                  <c:v>8.7409060428711882</c:v>
                </c:pt>
                <c:pt idx="149">
                  <c:v>8.7409060428711882</c:v>
                </c:pt>
                <c:pt idx="150">
                  <c:v>8.7409060428711882</c:v>
                </c:pt>
                <c:pt idx="151">
                  <c:v>8.7409060428711882</c:v>
                </c:pt>
                <c:pt idx="152">
                  <c:v>8.7409060428711882</c:v>
                </c:pt>
                <c:pt idx="153">
                  <c:v>8.7409060428711882</c:v>
                </c:pt>
                <c:pt idx="154">
                  <c:v>8.7409060428711882</c:v>
                </c:pt>
                <c:pt idx="155">
                  <c:v>8.7409060428711882</c:v>
                </c:pt>
                <c:pt idx="156">
                  <c:v>8.7409060428711882</c:v>
                </c:pt>
                <c:pt idx="157">
                  <c:v>8.7409060428711882</c:v>
                </c:pt>
                <c:pt idx="158">
                  <c:v>8.7409060428711882</c:v>
                </c:pt>
                <c:pt idx="159">
                  <c:v>8.7409060428711882</c:v>
                </c:pt>
                <c:pt idx="160">
                  <c:v>8.7409060428711882</c:v>
                </c:pt>
                <c:pt idx="161">
                  <c:v>8.7409060428711882</c:v>
                </c:pt>
                <c:pt idx="162">
                  <c:v>8.7409060428711882</c:v>
                </c:pt>
                <c:pt idx="163">
                  <c:v>8.7409060428711882</c:v>
                </c:pt>
                <c:pt idx="164">
                  <c:v>8.7409060428711882</c:v>
                </c:pt>
                <c:pt idx="165">
                  <c:v>8.7409060428711882</c:v>
                </c:pt>
                <c:pt idx="166">
                  <c:v>8.7409060428711882</c:v>
                </c:pt>
                <c:pt idx="167">
                  <c:v>8.7409060428711882</c:v>
                </c:pt>
                <c:pt idx="168">
                  <c:v>8.7409060428711882</c:v>
                </c:pt>
                <c:pt idx="169">
                  <c:v>8.7409060428711882</c:v>
                </c:pt>
                <c:pt idx="170">
                  <c:v>8.7409060428711882</c:v>
                </c:pt>
                <c:pt idx="171">
                  <c:v>8.7409060428711882</c:v>
                </c:pt>
                <c:pt idx="172">
                  <c:v>8.7409060428711882</c:v>
                </c:pt>
                <c:pt idx="173">
                  <c:v>8.7409060428711882</c:v>
                </c:pt>
                <c:pt idx="174">
                  <c:v>8.7409060428711882</c:v>
                </c:pt>
                <c:pt idx="175">
                  <c:v>8.7409060428711882</c:v>
                </c:pt>
                <c:pt idx="176">
                  <c:v>8.7409060428711882</c:v>
                </c:pt>
                <c:pt idx="177">
                  <c:v>8.7409060428711882</c:v>
                </c:pt>
                <c:pt idx="178">
                  <c:v>8.7409060428711882</c:v>
                </c:pt>
                <c:pt idx="179">
                  <c:v>8.7409060428711882</c:v>
                </c:pt>
                <c:pt idx="180">
                  <c:v>8.7409060428711882</c:v>
                </c:pt>
                <c:pt idx="181">
                  <c:v>8.7409060428711882</c:v>
                </c:pt>
                <c:pt idx="182">
                  <c:v>8.7409060428711882</c:v>
                </c:pt>
                <c:pt idx="183">
                  <c:v>8.7409060428711882</c:v>
                </c:pt>
                <c:pt idx="184">
                  <c:v>8.7409060428711882</c:v>
                </c:pt>
                <c:pt idx="185">
                  <c:v>8.7409060428711882</c:v>
                </c:pt>
                <c:pt idx="186">
                  <c:v>8.7409060428711882</c:v>
                </c:pt>
                <c:pt idx="187">
                  <c:v>8.7409060428711882</c:v>
                </c:pt>
                <c:pt idx="188">
                  <c:v>8.7409060428711882</c:v>
                </c:pt>
                <c:pt idx="189">
                  <c:v>8.7409060428711882</c:v>
                </c:pt>
                <c:pt idx="190">
                  <c:v>8.7409060428711882</c:v>
                </c:pt>
                <c:pt idx="191">
                  <c:v>8.7409060428711882</c:v>
                </c:pt>
                <c:pt idx="192">
                  <c:v>8.7409060428711882</c:v>
                </c:pt>
                <c:pt idx="193">
                  <c:v>8.7409060428711882</c:v>
                </c:pt>
                <c:pt idx="194">
                  <c:v>8.7409060428711882</c:v>
                </c:pt>
                <c:pt idx="195">
                  <c:v>8.7409060428711882</c:v>
                </c:pt>
                <c:pt idx="196">
                  <c:v>8.7409060428711882</c:v>
                </c:pt>
                <c:pt idx="197">
                  <c:v>8.7409060428711882</c:v>
                </c:pt>
                <c:pt idx="198">
                  <c:v>8.7409060428711882</c:v>
                </c:pt>
                <c:pt idx="199">
                  <c:v>8.7409060428711882</c:v>
                </c:pt>
                <c:pt idx="200">
                  <c:v>8.7409060428711882</c:v>
                </c:pt>
                <c:pt idx="201">
                  <c:v>8.7409060428711882</c:v>
                </c:pt>
                <c:pt idx="202">
                  <c:v>8.7409060428711882</c:v>
                </c:pt>
                <c:pt idx="203">
                  <c:v>8.7409060428711882</c:v>
                </c:pt>
                <c:pt idx="204">
                  <c:v>8.7409060428711882</c:v>
                </c:pt>
                <c:pt idx="205">
                  <c:v>8.7409060428711882</c:v>
                </c:pt>
                <c:pt idx="206">
                  <c:v>8.7409060428711882</c:v>
                </c:pt>
                <c:pt idx="207">
                  <c:v>8.7409060428711882</c:v>
                </c:pt>
                <c:pt idx="208">
                  <c:v>8.7409060428711882</c:v>
                </c:pt>
                <c:pt idx="209">
                  <c:v>8.7409060428711882</c:v>
                </c:pt>
                <c:pt idx="210">
                  <c:v>8.7409060428711882</c:v>
                </c:pt>
                <c:pt idx="211">
                  <c:v>8.7409060428711882</c:v>
                </c:pt>
                <c:pt idx="212">
                  <c:v>8.7409060428711882</c:v>
                </c:pt>
                <c:pt idx="213">
                  <c:v>8.7409060428711882</c:v>
                </c:pt>
                <c:pt idx="214">
                  <c:v>8.7409060428711882</c:v>
                </c:pt>
                <c:pt idx="215">
                  <c:v>8.7409060428711882</c:v>
                </c:pt>
                <c:pt idx="216">
                  <c:v>8.7409060428711882</c:v>
                </c:pt>
                <c:pt idx="217">
                  <c:v>8.7409060428711882</c:v>
                </c:pt>
                <c:pt idx="218">
                  <c:v>8.7409060428711882</c:v>
                </c:pt>
                <c:pt idx="219">
                  <c:v>8.7409060428711882</c:v>
                </c:pt>
                <c:pt idx="220">
                  <c:v>8.7409060428711882</c:v>
                </c:pt>
                <c:pt idx="221">
                  <c:v>8.7409060428711882</c:v>
                </c:pt>
                <c:pt idx="222">
                  <c:v>8.7409060428711882</c:v>
                </c:pt>
                <c:pt idx="223">
                  <c:v>8.7409060428711882</c:v>
                </c:pt>
                <c:pt idx="224">
                  <c:v>8.7409060428711882</c:v>
                </c:pt>
                <c:pt idx="225">
                  <c:v>8.7409060428711882</c:v>
                </c:pt>
                <c:pt idx="226">
                  <c:v>8.7409060428711882</c:v>
                </c:pt>
                <c:pt idx="227">
                  <c:v>8.7409060428711882</c:v>
                </c:pt>
                <c:pt idx="228">
                  <c:v>8.7409060428711882</c:v>
                </c:pt>
                <c:pt idx="229">
                  <c:v>8.7409060428711882</c:v>
                </c:pt>
                <c:pt idx="230">
                  <c:v>8.7409060428711882</c:v>
                </c:pt>
                <c:pt idx="231">
                  <c:v>8.7409060428711882</c:v>
                </c:pt>
                <c:pt idx="232">
                  <c:v>8.7409060428711882</c:v>
                </c:pt>
                <c:pt idx="233">
                  <c:v>8.7409060428711882</c:v>
                </c:pt>
                <c:pt idx="234">
                  <c:v>8.7409060428711882</c:v>
                </c:pt>
                <c:pt idx="235">
                  <c:v>8.7409060428711882</c:v>
                </c:pt>
                <c:pt idx="236">
                  <c:v>8.7409060428711882</c:v>
                </c:pt>
                <c:pt idx="237">
                  <c:v>8.7409060428711882</c:v>
                </c:pt>
                <c:pt idx="238">
                  <c:v>8.7409060428711882</c:v>
                </c:pt>
                <c:pt idx="239">
                  <c:v>8.7409060428711882</c:v>
                </c:pt>
                <c:pt idx="240">
                  <c:v>8.7409060428711882</c:v>
                </c:pt>
                <c:pt idx="241">
                  <c:v>8.7409060428711882</c:v>
                </c:pt>
                <c:pt idx="242">
                  <c:v>8.7409060428711882</c:v>
                </c:pt>
                <c:pt idx="243">
                  <c:v>8.7409060428711882</c:v>
                </c:pt>
                <c:pt idx="244">
                  <c:v>8.7409060428711882</c:v>
                </c:pt>
                <c:pt idx="245">
                  <c:v>8.7409060428711882</c:v>
                </c:pt>
                <c:pt idx="246">
                  <c:v>8.7409060428711882</c:v>
                </c:pt>
                <c:pt idx="247">
                  <c:v>8.7409060428711882</c:v>
                </c:pt>
                <c:pt idx="248">
                  <c:v>8.7409060428711882</c:v>
                </c:pt>
                <c:pt idx="249">
                  <c:v>8.7409060428711882</c:v>
                </c:pt>
                <c:pt idx="250">
                  <c:v>8.7409060428711882</c:v>
                </c:pt>
                <c:pt idx="251">
                  <c:v>8.7409060428711882</c:v>
                </c:pt>
                <c:pt idx="252">
                  <c:v>8.7409060428711882</c:v>
                </c:pt>
                <c:pt idx="253">
                  <c:v>8.7409060428711882</c:v>
                </c:pt>
                <c:pt idx="254">
                  <c:v>8.7409060428711882</c:v>
                </c:pt>
                <c:pt idx="255">
                  <c:v>8.7409060428711882</c:v>
                </c:pt>
                <c:pt idx="256">
                  <c:v>8.7409060428711882</c:v>
                </c:pt>
                <c:pt idx="257">
                  <c:v>8.7409060428711882</c:v>
                </c:pt>
                <c:pt idx="258">
                  <c:v>8.7409060428711882</c:v>
                </c:pt>
                <c:pt idx="259">
                  <c:v>8.7409060428711882</c:v>
                </c:pt>
                <c:pt idx="260">
                  <c:v>8.7409060428711882</c:v>
                </c:pt>
                <c:pt idx="261">
                  <c:v>8.7409060428711882</c:v>
                </c:pt>
                <c:pt idx="262">
                  <c:v>8.7409060428711882</c:v>
                </c:pt>
                <c:pt idx="263">
                  <c:v>8.7409060428711882</c:v>
                </c:pt>
                <c:pt idx="264">
                  <c:v>8.7409060428711882</c:v>
                </c:pt>
                <c:pt idx="265">
                  <c:v>8.7409060428711882</c:v>
                </c:pt>
                <c:pt idx="266">
                  <c:v>8.7409060428711882</c:v>
                </c:pt>
                <c:pt idx="267">
                  <c:v>8.7409060428711882</c:v>
                </c:pt>
                <c:pt idx="268">
                  <c:v>8.7409060428711882</c:v>
                </c:pt>
                <c:pt idx="269">
                  <c:v>8.7409060428711882</c:v>
                </c:pt>
                <c:pt idx="270">
                  <c:v>8.7409060428711882</c:v>
                </c:pt>
                <c:pt idx="271">
                  <c:v>8.7409060428711882</c:v>
                </c:pt>
                <c:pt idx="272">
                  <c:v>8.7409060428711882</c:v>
                </c:pt>
                <c:pt idx="273">
                  <c:v>8.7409060428711882</c:v>
                </c:pt>
                <c:pt idx="274">
                  <c:v>8.7409060428711882</c:v>
                </c:pt>
                <c:pt idx="275">
                  <c:v>8.7409060428711882</c:v>
                </c:pt>
                <c:pt idx="276">
                  <c:v>8.7409060428711882</c:v>
                </c:pt>
                <c:pt idx="277">
                  <c:v>8.7409060428711882</c:v>
                </c:pt>
                <c:pt idx="278">
                  <c:v>8.7409060428711882</c:v>
                </c:pt>
                <c:pt idx="279">
                  <c:v>8.7409060428711882</c:v>
                </c:pt>
                <c:pt idx="280">
                  <c:v>8.7409060428711882</c:v>
                </c:pt>
                <c:pt idx="281">
                  <c:v>8.7409060428711882</c:v>
                </c:pt>
                <c:pt idx="282">
                  <c:v>8.7409060428711882</c:v>
                </c:pt>
                <c:pt idx="283">
                  <c:v>8.7409060428711882</c:v>
                </c:pt>
                <c:pt idx="284">
                  <c:v>8.7409060428711882</c:v>
                </c:pt>
                <c:pt idx="285">
                  <c:v>8.7409060428711882</c:v>
                </c:pt>
                <c:pt idx="286">
                  <c:v>8.7409060428711882</c:v>
                </c:pt>
                <c:pt idx="287">
                  <c:v>8.7409060428711882</c:v>
                </c:pt>
                <c:pt idx="288">
                  <c:v>8.7409060428711882</c:v>
                </c:pt>
                <c:pt idx="289">
                  <c:v>8.7409060428711882</c:v>
                </c:pt>
                <c:pt idx="290">
                  <c:v>8.7409060428711882</c:v>
                </c:pt>
                <c:pt idx="291">
                  <c:v>8.7409060428711882</c:v>
                </c:pt>
                <c:pt idx="292">
                  <c:v>8.7409060428711882</c:v>
                </c:pt>
                <c:pt idx="293">
                  <c:v>8.7409060428711882</c:v>
                </c:pt>
                <c:pt idx="294">
                  <c:v>8.7409060428711882</c:v>
                </c:pt>
                <c:pt idx="295">
                  <c:v>8.7409060428711882</c:v>
                </c:pt>
                <c:pt idx="296">
                  <c:v>8.7409060428711882</c:v>
                </c:pt>
                <c:pt idx="297">
                  <c:v>8.7409060428711882</c:v>
                </c:pt>
                <c:pt idx="298">
                  <c:v>8.7409060428711882</c:v>
                </c:pt>
                <c:pt idx="299">
                  <c:v>8.7409060428711882</c:v>
                </c:pt>
                <c:pt idx="300">
                  <c:v>8.7409060428711882</c:v>
                </c:pt>
                <c:pt idx="301">
                  <c:v>8.7409060428711882</c:v>
                </c:pt>
                <c:pt idx="302">
                  <c:v>8.7409060428711882</c:v>
                </c:pt>
                <c:pt idx="303">
                  <c:v>8.7409060428711882</c:v>
                </c:pt>
                <c:pt idx="304">
                  <c:v>8.7409060428711882</c:v>
                </c:pt>
                <c:pt idx="305">
                  <c:v>8.7409060428711882</c:v>
                </c:pt>
                <c:pt idx="306">
                  <c:v>8.7409060428711882</c:v>
                </c:pt>
                <c:pt idx="307">
                  <c:v>8.7409060428711882</c:v>
                </c:pt>
                <c:pt idx="308">
                  <c:v>8.7409060428711882</c:v>
                </c:pt>
                <c:pt idx="309">
                  <c:v>8.7409060428711882</c:v>
                </c:pt>
                <c:pt idx="310">
                  <c:v>8.7409060428711882</c:v>
                </c:pt>
                <c:pt idx="311">
                  <c:v>8.7409060428711882</c:v>
                </c:pt>
                <c:pt idx="312">
                  <c:v>8.7409060428711882</c:v>
                </c:pt>
                <c:pt idx="313">
                  <c:v>8.7409060428711882</c:v>
                </c:pt>
                <c:pt idx="314">
                  <c:v>8.7409060428711882</c:v>
                </c:pt>
                <c:pt idx="315">
                  <c:v>8.7409060428711882</c:v>
                </c:pt>
                <c:pt idx="316">
                  <c:v>8.7409060428711882</c:v>
                </c:pt>
                <c:pt idx="317">
                  <c:v>8.7409060428711882</c:v>
                </c:pt>
                <c:pt idx="318">
                  <c:v>8.7409060428711882</c:v>
                </c:pt>
                <c:pt idx="319">
                  <c:v>8.7409060428711882</c:v>
                </c:pt>
                <c:pt idx="320">
                  <c:v>8.7409060428711882</c:v>
                </c:pt>
                <c:pt idx="321">
                  <c:v>8.7409060428711882</c:v>
                </c:pt>
                <c:pt idx="322">
                  <c:v>8.7409060428711882</c:v>
                </c:pt>
                <c:pt idx="323">
                  <c:v>8.7409060428711882</c:v>
                </c:pt>
                <c:pt idx="324">
                  <c:v>8.7409060428711882</c:v>
                </c:pt>
                <c:pt idx="325">
                  <c:v>8.7409060428711882</c:v>
                </c:pt>
                <c:pt idx="326">
                  <c:v>8.7409060428711882</c:v>
                </c:pt>
                <c:pt idx="327">
                  <c:v>8.7409060428711882</c:v>
                </c:pt>
                <c:pt idx="328">
                  <c:v>8.7409060428711882</c:v>
                </c:pt>
                <c:pt idx="329">
                  <c:v>8.7409060428711882</c:v>
                </c:pt>
                <c:pt idx="330">
                  <c:v>8.7409060428711882</c:v>
                </c:pt>
                <c:pt idx="331">
                  <c:v>8.7409060428711882</c:v>
                </c:pt>
                <c:pt idx="332">
                  <c:v>8.7409060428711882</c:v>
                </c:pt>
                <c:pt idx="333">
                  <c:v>8.7409060428711882</c:v>
                </c:pt>
                <c:pt idx="334">
                  <c:v>8.7409060428711882</c:v>
                </c:pt>
                <c:pt idx="335">
                  <c:v>8.7409060428711882</c:v>
                </c:pt>
                <c:pt idx="336">
                  <c:v>8.7409060428711882</c:v>
                </c:pt>
                <c:pt idx="337">
                  <c:v>8.7409060428711882</c:v>
                </c:pt>
                <c:pt idx="338">
                  <c:v>8.7409060428711882</c:v>
                </c:pt>
                <c:pt idx="339">
                  <c:v>8.7409060428711882</c:v>
                </c:pt>
                <c:pt idx="340">
                  <c:v>8.7409060428711882</c:v>
                </c:pt>
                <c:pt idx="341">
                  <c:v>8.7409060428711882</c:v>
                </c:pt>
                <c:pt idx="342">
                  <c:v>8.7409060428711882</c:v>
                </c:pt>
                <c:pt idx="343">
                  <c:v>8.7409060428711882</c:v>
                </c:pt>
                <c:pt idx="344">
                  <c:v>8.7409060428711882</c:v>
                </c:pt>
                <c:pt idx="345">
                  <c:v>8.7409060428711882</c:v>
                </c:pt>
                <c:pt idx="346">
                  <c:v>8.7409060428711882</c:v>
                </c:pt>
                <c:pt idx="347">
                  <c:v>8.7409060428711882</c:v>
                </c:pt>
                <c:pt idx="348">
                  <c:v>8.7409060428711882</c:v>
                </c:pt>
                <c:pt idx="349">
                  <c:v>8.7409060428711882</c:v>
                </c:pt>
                <c:pt idx="350">
                  <c:v>8.7409060428711882</c:v>
                </c:pt>
                <c:pt idx="351">
                  <c:v>8.7409060428711882</c:v>
                </c:pt>
                <c:pt idx="352">
                  <c:v>8.7409060428711882</c:v>
                </c:pt>
                <c:pt idx="353">
                  <c:v>8.7409060428711882</c:v>
                </c:pt>
                <c:pt idx="354">
                  <c:v>8.7409060428711882</c:v>
                </c:pt>
                <c:pt idx="355">
                  <c:v>8.7409060428711882</c:v>
                </c:pt>
                <c:pt idx="356">
                  <c:v>8.7409060428711882</c:v>
                </c:pt>
                <c:pt idx="357">
                  <c:v>8.7409060428711882</c:v>
                </c:pt>
                <c:pt idx="358">
                  <c:v>8.7409060428711882</c:v>
                </c:pt>
                <c:pt idx="359">
                  <c:v>8.7409060428711882</c:v>
                </c:pt>
                <c:pt idx="360">
                  <c:v>8.7409060428711882</c:v>
                </c:pt>
                <c:pt idx="361">
                  <c:v>8.7409060428711882</c:v>
                </c:pt>
                <c:pt idx="362">
                  <c:v>8.7409060428711882</c:v>
                </c:pt>
                <c:pt idx="363">
                  <c:v>8.7409060428711882</c:v>
                </c:pt>
                <c:pt idx="364">
                  <c:v>8.7409060428711882</c:v>
                </c:pt>
                <c:pt idx="365">
                  <c:v>8.7409060428711882</c:v>
                </c:pt>
                <c:pt idx="366">
                  <c:v>8.7409060428711882</c:v>
                </c:pt>
                <c:pt idx="367">
                  <c:v>8.7409060428711882</c:v>
                </c:pt>
                <c:pt idx="368">
                  <c:v>8.7409060428711882</c:v>
                </c:pt>
                <c:pt idx="369">
                  <c:v>8.7409060428711882</c:v>
                </c:pt>
                <c:pt idx="370">
                  <c:v>8.7409060428711882</c:v>
                </c:pt>
                <c:pt idx="371">
                  <c:v>8.7409060428711882</c:v>
                </c:pt>
                <c:pt idx="372">
                  <c:v>8.7409060428711882</c:v>
                </c:pt>
                <c:pt idx="373">
                  <c:v>8.7409060428711882</c:v>
                </c:pt>
                <c:pt idx="374">
                  <c:v>8.7409060428711882</c:v>
                </c:pt>
                <c:pt idx="375">
                  <c:v>8.7409060428711882</c:v>
                </c:pt>
                <c:pt idx="376">
                  <c:v>8.7409060428711882</c:v>
                </c:pt>
                <c:pt idx="377">
                  <c:v>8.7409060428711882</c:v>
                </c:pt>
                <c:pt idx="378">
                  <c:v>8.7409060428711882</c:v>
                </c:pt>
                <c:pt idx="379">
                  <c:v>8.7409060428711882</c:v>
                </c:pt>
                <c:pt idx="380">
                  <c:v>8.7409060428711882</c:v>
                </c:pt>
                <c:pt idx="381">
                  <c:v>8.7409060428711882</c:v>
                </c:pt>
                <c:pt idx="382">
                  <c:v>8.7409060428711882</c:v>
                </c:pt>
                <c:pt idx="383">
                  <c:v>8.7409060428711882</c:v>
                </c:pt>
                <c:pt idx="384">
                  <c:v>8.7409060428711882</c:v>
                </c:pt>
                <c:pt idx="385">
                  <c:v>8.7409060428711882</c:v>
                </c:pt>
                <c:pt idx="386">
                  <c:v>8.7409060428711882</c:v>
                </c:pt>
                <c:pt idx="387">
                  <c:v>8.7409060428711882</c:v>
                </c:pt>
                <c:pt idx="388">
                  <c:v>8.7409060428711882</c:v>
                </c:pt>
                <c:pt idx="389">
                  <c:v>8.7409060428711882</c:v>
                </c:pt>
                <c:pt idx="390">
                  <c:v>8.7409060428711882</c:v>
                </c:pt>
                <c:pt idx="391">
                  <c:v>8.7409060428711882</c:v>
                </c:pt>
                <c:pt idx="392">
                  <c:v>8.7409060428711882</c:v>
                </c:pt>
                <c:pt idx="393">
                  <c:v>8.7409060428711882</c:v>
                </c:pt>
                <c:pt idx="394">
                  <c:v>8.7409060428711882</c:v>
                </c:pt>
                <c:pt idx="395">
                  <c:v>8.7409060428711882</c:v>
                </c:pt>
                <c:pt idx="396">
                  <c:v>8.7409060428711882</c:v>
                </c:pt>
                <c:pt idx="397">
                  <c:v>8.7409060428711882</c:v>
                </c:pt>
                <c:pt idx="398">
                  <c:v>8.7409060428711882</c:v>
                </c:pt>
                <c:pt idx="399">
                  <c:v>8.7409060428711882</c:v>
                </c:pt>
                <c:pt idx="400">
                  <c:v>8.7409060428711882</c:v>
                </c:pt>
                <c:pt idx="401">
                  <c:v>8.7409060428711882</c:v>
                </c:pt>
                <c:pt idx="402">
                  <c:v>8.7409060428711882</c:v>
                </c:pt>
                <c:pt idx="403">
                  <c:v>8.7409060428711882</c:v>
                </c:pt>
                <c:pt idx="404">
                  <c:v>8.7409060428711882</c:v>
                </c:pt>
                <c:pt idx="405">
                  <c:v>8.7409060428711882</c:v>
                </c:pt>
                <c:pt idx="406">
                  <c:v>8.7409060428711882</c:v>
                </c:pt>
                <c:pt idx="407">
                  <c:v>8.7409060428711882</c:v>
                </c:pt>
                <c:pt idx="408">
                  <c:v>8.7409060428711882</c:v>
                </c:pt>
                <c:pt idx="409">
                  <c:v>8.7409060428711882</c:v>
                </c:pt>
                <c:pt idx="410">
                  <c:v>8.7409060428711882</c:v>
                </c:pt>
                <c:pt idx="411">
                  <c:v>8.7409060428711882</c:v>
                </c:pt>
                <c:pt idx="412">
                  <c:v>8.7409060428711882</c:v>
                </c:pt>
                <c:pt idx="413">
                  <c:v>8.7409060428711882</c:v>
                </c:pt>
                <c:pt idx="414">
                  <c:v>8.7409060428711882</c:v>
                </c:pt>
                <c:pt idx="415">
                  <c:v>8.7409060428711882</c:v>
                </c:pt>
                <c:pt idx="416">
                  <c:v>8.7409060428711882</c:v>
                </c:pt>
                <c:pt idx="417">
                  <c:v>8.7409060428711882</c:v>
                </c:pt>
                <c:pt idx="418">
                  <c:v>8.7409060428711882</c:v>
                </c:pt>
                <c:pt idx="419">
                  <c:v>8.7409060428711882</c:v>
                </c:pt>
                <c:pt idx="420">
                  <c:v>8.7409060428711882</c:v>
                </c:pt>
                <c:pt idx="421">
                  <c:v>8.7409060428711882</c:v>
                </c:pt>
                <c:pt idx="422">
                  <c:v>8.7409060428711882</c:v>
                </c:pt>
                <c:pt idx="423">
                  <c:v>8.7409060428711882</c:v>
                </c:pt>
                <c:pt idx="424">
                  <c:v>8.7409060428711882</c:v>
                </c:pt>
                <c:pt idx="425">
                  <c:v>8.7409060428711882</c:v>
                </c:pt>
                <c:pt idx="426">
                  <c:v>8.7409060428711882</c:v>
                </c:pt>
                <c:pt idx="427">
                  <c:v>8.7409060428711882</c:v>
                </c:pt>
                <c:pt idx="428">
                  <c:v>8.7409060428711882</c:v>
                </c:pt>
                <c:pt idx="429">
                  <c:v>8.7409060428711882</c:v>
                </c:pt>
                <c:pt idx="430">
                  <c:v>8.7409060428711882</c:v>
                </c:pt>
                <c:pt idx="431">
                  <c:v>8.7409060428711882</c:v>
                </c:pt>
                <c:pt idx="432">
                  <c:v>8.7409060428711882</c:v>
                </c:pt>
                <c:pt idx="433">
                  <c:v>8.7409060428711882</c:v>
                </c:pt>
                <c:pt idx="434">
                  <c:v>8.7409060428711882</c:v>
                </c:pt>
                <c:pt idx="435">
                  <c:v>8.7409060428711882</c:v>
                </c:pt>
                <c:pt idx="436">
                  <c:v>8.7409060428711882</c:v>
                </c:pt>
                <c:pt idx="437">
                  <c:v>8.7409060428711882</c:v>
                </c:pt>
                <c:pt idx="438">
                  <c:v>8.7409060428711882</c:v>
                </c:pt>
                <c:pt idx="439">
                  <c:v>8.7409060428711882</c:v>
                </c:pt>
                <c:pt idx="440">
                  <c:v>8.7409060428711882</c:v>
                </c:pt>
                <c:pt idx="441">
                  <c:v>8.7409060428711882</c:v>
                </c:pt>
                <c:pt idx="442">
                  <c:v>8.7409060428711882</c:v>
                </c:pt>
                <c:pt idx="443">
                  <c:v>8.7409060428711882</c:v>
                </c:pt>
                <c:pt idx="444">
                  <c:v>8.7409060428711882</c:v>
                </c:pt>
                <c:pt idx="445">
                  <c:v>8.7409060428711882</c:v>
                </c:pt>
                <c:pt idx="446">
                  <c:v>8.7409060428711882</c:v>
                </c:pt>
                <c:pt idx="447">
                  <c:v>8.7409060428711882</c:v>
                </c:pt>
                <c:pt idx="448">
                  <c:v>8.7409060428711882</c:v>
                </c:pt>
                <c:pt idx="449">
                  <c:v>8.7409060428711882</c:v>
                </c:pt>
                <c:pt idx="450">
                  <c:v>8.7409060428711882</c:v>
                </c:pt>
                <c:pt idx="451">
                  <c:v>8.7409060428711882</c:v>
                </c:pt>
                <c:pt idx="452">
                  <c:v>8.7409060428711882</c:v>
                </c:pt>
                <c:pt idx="453">
                  <c:v>8.7409060428711882</c:v>
                </c:pt>
                <c:pt idx="454">
                  <c:v>8.7409060428711882</c:v>
                </c:pt>
                <c:pt idx="455">
                  <c:v>8.7409060428711882</c:v>
                </c:pt>
                <c:pt idx="456">
                  <c:v>8.7409060428711882</c:v>
                </c:pt>
                <c:pt idx="457">
                  <c:v>8.7409060428711882</c:v>
                </c:pt>
                <c:pt idx="458">
                  <c:v>8.7409060428711882</c:v>
                </c:pt>
                <c:pt idx="459">
                  <c:v>8.7409060428711882</c:v>
                </c:pt>
                <c:pt idx="460">
                  <c:v>8.7409060428711882</c:v>
                </c:pt>
                <c:pt idx="461">
                  <c:v>8.7409060428711882</c:v>
                </c:pt>
                <c:pt idx="462">
                  <c:v>8.7409060428711882</c:v>
                </c:pt>
                <c:pt idx="463">
                  <c:v>8.7409060428711882</c:v>
                </c:pt>
                <c:pt idx="464">
                  <c:v>8.7409060428711882</c:v>
                </c:pt>
                <c:pt idx="465">
                  <c:v>8.7409060428711882</c:v>
                </c:pt>
                <c:pt idx="466">
                  <c:v>8.7409060428711882</c:v>
                </c:pt>
                <c:pt idx="467">
                  <c:v>8.7409060428711882</c:v>
                </c:pt>
                <c:pt idx="468">
                  <c:v>8.7409060428711882</c:v>
                </c:pt>
                <c:pt idx="469">
                  <c:v>8.7409060428711882</c:v>
                </c:pt>
                <c:pt idx="470">
                  <c:v>8.7409060428711882</c:v>
                </c:pt>
                <c:pt idx="471">
                  <c:v>8.7409060428711882</c:v>
                </c:pt>
                <c:pt idx="472">
                  <c:v>8.7409060428711882</c:v>
                </c:pt>
                <c:pt idx="473">
                  <c:v>8.7409060428711882</c:v>
                </c:pt>
                <c:pt idx="474">
                  <c:v>8.7409060428711882</c:v>
                </c:pt>
                <c:pt idx="475">
                  <c:v>8.7409060428711882</c:v>
                </c:pt>
                <c:pt idx="476">
                  <c:v>8.7409060428711882</c:v>
                </c:pt>
                <c:pt idx="477">
                  <c:v>8.7409060428711882</c:v>
                </c:pt>
                <c:pt idx="478">
                  <c:v>8.7409060428711882</c:v>
                </c:pt>
                <c:pt idx="479">
                  <c:v>8.7409060428711882</c:v>
                </c:pt>
                <c:pt idx="480">
                  <c:v>8.7409060428711882</c:v>
                </c:pt>
                <c:pt idx="481">
                  <c:v>8.7409060428711882</c:v>
                </c:pt>
                <c:pt idx="482">
                  <c:v>8.7409060428711882</c:v>
                </c:pt>
                <c:pt idx="483">
                  <c:v>8.7409060428711882</c:v>
                </c:pt>
                <c:pt idx="484">
                  <c:v>8.7409060428711882</c:v>
                </c:pt>
                <c:pt idx="485">
                  <c:v>8.7409060428711882</c:v>
                </c:pt>
                <c:pt idx="486">
                  <c:v>8.7409060428711882</c:v>
                </c:pt>
                <c:pt idx="487">
                  <c:v>8.7409060428711882</c:v>
                </c:pt>
                <c:pt idx="488">
                  <c:v>8.7409060428711882</c:v>
                </c:pt>
                <c:pt idx="489">
                  <c:v>8.7409060428711882</c:v>
                </c:pt>
                <c:pt idx="490">
                  <c:v>8.7409060428711882</c:v>
                </c:pt>
                <c:pt idx="491">
                  <c:v>8.7409060428711882</c:v>
                </c:pt>
                <c:pt idx="492">
                  <c:v>8.7409060428711882</c:v>
                </c:pt>
                <c:pt idx="493">
                  <c:v>8.7409060428711882</c:v>
                </c:pt>
                <c:pt idx="494">
                  <c:v>8.7409060428711882</c:v>
                </c:pt>
                <c:pt idx="495">
                  <c:v>8.7409060428711882</c:v>
                </c:pt>
                <c:pt idx="496">
                  <c:v>8.7409060428711882</c:v>
                </c:pt>
                <c:pt idx="497">
                  <c:v>8.7409060428711882</c:v>
                </c:pt>
                <c:pt idx="498">
                  <c:v>8.7409060428711882</c:v>
                </c:pt>
                <c:pt idx="499">
                  <c:v>8.7409060428711882</c:v>
                </c:pt>
                <c:pt idx="500">
                  <c:v>8.7409060428711882</c:v>
                </c:pt>
                <c:pt idx="501">
                  <c:v>8.7409060428711882</c:v>
                </c:pt>
                <c:pt idx="502">
                  <c:v>8.7409060428711882</c:v>
                </c:pt>
                <c:pt idx="503">
                  <c:v>8.7409060428711882</c:v>
                </c:pt>
                <c:pt idx="504">
                  <c:v>8.7409060428711882</c:v>
                </c:pt>
                <c:pt idx="505">
                  <c:v>8.7409060428711882</c:v>
                </c:pt>
                <c:pt idx="506">
                  <c:v>8.7409060428711882</c:v>
                </c:pt>
                <c:pt idx="507">
                  <c:v>8.7409060428711882</c:v>
                </c:pt>
                <c:pt idx="508">
                  <c:v>8.7409060428711882</c:v>
                </c:pt>
                <c:pt idx="509">
                  <c:v>8.7409060428711882</c:v>
                </c:pt>
                <c:pt idx="510">
                  <c:v>8.7409060428711882</c:v>
                </c:pt>
                <c:pt idx="511">
                  <c:v>8.7409060428711882</c:v>
                </c:pt>
                <c:pt idx="512">
                  <c:v>8.7409060428711882</c:v>
                </c:pt>
                <c:pt idx="513">
                  <c:v>8.7409060428711882</c:v>
                </c:pt>
                <c:pt idx="514">
                  <c:v>8.7409060428711882</c:v>
                </c:pt>
                <c:pt idx="515">
                  <c:v>8.7409060428711882</c:v>
                </c:pt>
                <c:pt idx="516">
                  <c:v>8.7409060428711882</c:v>
                </c:pt>
                <c:pt idx="517">
                  <c:v>8.7409060428711882</c:v>
                </c:pt>
                <c:pt idx="518">
                  <c:v>8.7409060428711882</c:v>
                </c:pt>
                <c:pt idx="519">
                  <c:v>8.7409060428711882</c:v>
                </c:pt>
                <c:pt idx="520">
                  <c:v>8.7409060428711882</c:v>
                </c:pt>
                <c:pt idx="521">
                  <c:v>8.7409060428711882</c:v>
                </c:pt>
                <c:pt idx="522">
                  <c:v>8.7409060428711882</c:v>
                </c:pt>
                <c:pt idx="523">
                  <c:v>8.7409060428711882</c:v>
                </c:pt>
                <c:pt idx="524">
                  <c:v>8.7409060428711882</c:v>
                </c:pt>
                <c:pt idx="525">
                  <c:v>8.7409060428711882</c:v>
                </c:pt>
                <c:pt idx="526">
                  <c:v>8.7409060428711882</c:v>
                </c:pt>
                <c:pt idx="527">
                  <c:v>8.7409060428711882</c:v>
                </c:pt>
                <c:pt idx="528">
                  <c:v>8.7409060428711882</c:v>
                </c:pt>
                <c:pt idx="529">
                  <c:v>8.7409060428711882</c:v>
                </c:pt>
                <c:pt idx="530">
                  <c:v>8.7409060428711882</c:v>
                </c:pt>
                <c:pt idx="531">
                  <c:v>8.7409060428711882</c:v>
                </c:pt>
                <c:pt idx="532">
                  <c:v>8.7409060428711882</c:v>
                </c:pt>
                <c:pt idx="533">
                  <c:v>8.7409060428711882</c:v>
                </c:pt>
                <c:pt idx="534">
                  <c:v>8.7409060428711882</c:v>
                </c:pt>
                <c:pt idx="535">
                  <c:v>8.7409060428711882</c:v>
                </c:pt>
                <c:pt idx="536">
                  <c:v>8.7409060428711882</c:v>
                </c:pt>
                <c:pt idx="537">
                  <c:v>8.7409060428711882</c:v>
                </c:pt>
                <c:pt idx="538">
                  <c:v>8.7409060428711882</c:v>
                </c:pt>
                <c:pt idx="539">
                  <c:v>8.7409060428711882</c:v>
                </c:pt>
                <c:pt idx="540">
                  <c:v>8.7409060428711882</c:v>
                </c:pt>
                <c:pt idx="541">
                  <c:v>8.7409060428711882</c:v>
                </c:pt>
                <c:pt idx="542">
                  <c:v>8.7409060428711882</c:v>
                </c:pt>
                <c:pt idx="543">
                  <c:v>8.7409060428711882</c:v>
                </c:pt>
                <c:pt idx="544">
                  <c:v>8.7409060428711882</c:v>
                </c:pt>
                <c:pt idx="545">
                  <c:v>8.7409060428711882</c:v>
                </c:pt>
                <c:pt idx="546">
                  <c:v>8.7409060428711882</c:v>
                </c:pt>
                <c:pt idx="547">
                  <c:v>8.7409060428711882</c:v>
                </c:pt>
                <c:pt idx="548">
                  <c:v>8.7409060428711882</c:v>
                </c:pt>
                <c:pt idx="549">
                  <c:v>8.7409060428711882</c:v>
                </c:pt>
                <c:pt idx="550">
                  <c:v>8.7409060428711882</c:v>
                </c:pt>
                <c:pt idx="551">
                  <c:v>8.7409060428711882</c:v>
                </c:pt>
                <c:pt idx="552">
                  <c:v>8.7409060428711882</c:v>
                </c:pt>
                <c:pt idx="553">
                  <c:v>8.7409060428711882</c:v>
                </c:pt>
                <c:pt idx="554">
                  <c:v>8.7409060428711882</c:v>
                </c:pt>
                <c:pt idx="555">
                  <c:v>8.7409060428711882</c:v>
                </c:pt>
                <c:pt idx="556">
                  <c:v>8.7409060428711882</c:v>
                </c:pt>
                <c:pt idx="557">
                  <c:v>8.7409060428711882</c:v>
                </c:pt>
                <c:pt idx="558">
                  <c:v>8.7409060428711882</c:v>
                </c:pt>
                <c:pt idx="559">
                  <c:v>8.7409060428711882</c:v>
                </c:pt>
                <c:pt idx="560">
                  <c:v>8.7409060428711882</c:v>
                </c:pt>
                <c:pt idx="561">
                  <c:v>8.7409060428711882</c:v>
                </c:pt>
                <c:pt idx="562">
                  <c:v>8.7409060428711882</c:v>
                </c:pt>
                <c:pt idx="563">
                  <c:v>8.7409060428711882</c:v>
                </c:pt>
                <c:pt idx="564">
                  <c:v>8.7409060428711882</c:v>
                </c:pt>
                <c:pt idx="565">
                  <c:v>8.7409060428711882</c:v>
                </c:pt>
                <c:pt idx="566">
                  <c:v>8.7409060428711882</c:v>
                </c:pt>
                <c:pt idx="567">
                  <c:v>8.7409060428711882</c:v>
                </c:pt>
                <c:pt idx="568">
                  <c:v>8.7409060428711882</c:v>
                </c:pt>
                <c:pt idx="569">
                  <c:v>8.7409060428711882</c:v>
                </c:pt>
                <c:pt idx="570">
                  <c:v>8.7409060428711882</c:v>
                </c:pt>
                <c:pt idx="571">
                  <c:v>8.7409060428711882</c:v>
                </c:pt>
                <c:pt idx="572">
                  <c:v>8.7409060428711882</c:v>
                </c:pt>
                <c:pt idx="573">
                  <c:v>8.7409060428711882</c:v>
                </c:pt>
                <c:pt idx="574">
                  <c:v>8.7409060428711882</c:v>
                </c:pt>
                <c:pt idx="575">
                  <c:v>8.7409060428711882</c:v>
                </c:pt>
                <c:pt idx="576">
                  <c:v>8.7409060428711882</c:v>
                </c:pt>
                <c:pt idx="577">
                  <c:v>8.7409060428711882</c:v>
                </c:pt>
                <c:pt idx="578">
                  <c:v>8.7409060428711882</c:v>
                </c:pt>
                <c:pt idx="579">
                  <c:v>8.7409060428711882</c:v>
                </c:pt>
                <c:pt idx="580">
                  <c:v>8.7409060428711882</c:v>
                </c:pt>
                <c:pt idx="581">
                  <c:v>8.7409060428711882</c:v>
                </c:pt>
                <c:pt idx="582">
                  <c:v>8.7409060428711882</c:v>
                </c:pt>
                <c:pt idx="583">
                  <c:v>8.7409060428711882</c:v>
                </c:pt>
                <c:pt idx="584">
                  <c:v>8.7409060428711882</c:v>
                </c:pt>
                <c:pt idx="585">
                  <c:v>8.7409060428711882</c:v>
                </c:pt>
                <c:pt idx="586">
                  <c:v>8.7409060428711882</c:v>
                </c:pt>
                <c:pt idx="587">
                  <c:v>8.7409060428711882</c:v>
                </c:pt>
                <c:pt idx="588">
                  <c:v>8.7409060428711882</c:v>
                </c:pt>
                <c:pt idx="589">
                  <c:v>8.7409060428711882</c:v>
                </c:pt>
                <c:pt idx="590">
                  <c:v>8.7409060428711882</c:v>
                </c:pt>
                <c:pt idx="591">
                  <c:v>8.7409060428711882</c:v>
                </c:pt>
                <c:pt idx="592">
                  <c:v>8.7409060428711882</c:v>
                </c:pt>
                <c:pt idx="593">
                  <c:v>8.7409060428711882</c:v>
                </c:pt>
                <c:pt idx="594">
                  <c:v>8.7409060428711882</c:v>
                </c:pt>
                <c:pt idx="595">
                  <c:v>8.7409060428711882</c:v>
                </c:pt>
                <c:pt idx="596">
                  <c:v>8.7409060428711882</c:v>
                </c:pt>
                <c:pt idx="597">
                  <c:v>8.7409060428711882</c:v>
                </c:pt>
                <c:pt idx="598">
                  <c:v>8.7409060428711882</c:v>
                </c:pt>
                <c:pt idx="599">
                  <c:v>8.7409060428711882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B13-4FD0-B637-6ACDADD27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Laney u′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AOI_u_Laney!$D$11:$D$610</c:f>
              <c:numCache>
                <c:formatCode>0.0000</c:formatCode>
                <c:ptCount val="600"/>
                <c:pt idx="0">
                  <c:v>9</c:v>
                </c:pt>
                <c:pt idx="1">
                  <c:v>29</c:v>
                </c:pt>
                <c:pt idx="2">
                  <c:v>29</c:v>
                </c:pt>
                <c:pt idx="3">
                  <c:v>21</c:v>
                </c:pt>
                <c:pt idx="4">
                  <c:v>38</c:v>
                </c:pt>
                <c:pt idx="5">
                  <c:v>15</c:v>
                </c:pt>
                <c:pt idx="6">
                  <c:v>15</c:v>
                </c:pt>
                <c:pt idx="7">
                  <c:v>8</c:v>
                </c:pt>
                <c:pt idx="8">
                  <c:v>18</c:v>
                </c:pt>
                <c:pt idx="9">
                  <c:v>19</c:v>
                </c:pt>
                <c:pt idx="10">
                  <c:v>14</c:v>
                </c:pt>
                <c:pt idx="11">
                  <c:v>13</c:v>
                </c:pt>
                <c:pt idx="12">
                  <c:v>8</c:v>
                </c:pt>
                <c:pt idx="13">
                  <c:v>6</c:v>
                </c:pt>
                <c:pt idx="14">
                  <c:v>16</c:v>
                </c:pt>
                <c:pt idx="15">
                  <c:v>27</c:v>
                </c:pt>
                <c:pt idx="16">
                  <c:v>13</c:v>
                </c:pt>
                <c:pt idx="17">
                  <c:v>11</c:v>
                </c:pt>
                <c:pt idx="18">
                  <c:v>40</c:v>
                </c:pt>
                <c:pt idx="19">
                  <c:v>18</c:v>
                </c:pt>
                <c:pt idx="20">
                  <c:v>21</c:v>
                </c:pt>
                <c:pt idx="21">
                  <c:v>33</c:v>
                </c:pt>
                <c:pt idx="22">
                  <c:v>13</c:v>
                </c:pt>
                <c:pt idx="23">
                  <c:v>15</c:v>
                </c:pt>
                <c:pt idx="24">
                  <c:v>9</c:v>
                </c:pt>
                <c:pt idx="25">
                  <c:v>13</c:v>
                </c:pt>
                <c:pt idx="26">
                  <c:v>6</c:v>
                </c:pt>
                <c:pt idx="27">
                  <c:v>9</c:v>
                </c:pt>
                <c:pt idx="28">
                  <c:v>8</c:v>
                </c:pt>
                <c:pt idx="29">
                  <c:v>15</c:v>
                </c:pt>
                <c:pt idx="30">
                  <c:v>10</c:v>
                </c:pt>
                <c:pt idx="31">
                  <c:v>14</c:v>
                </c:pt>
                <c:pt idx="32">
                  <c:v>24</c:v>
                </c:pt>
                <c:pt idx="33">
                  <c:v>23</c:v>
                </c:pt>
                <c:pt idx="34">
                  <c:v>31</c:v>
                </c:pt>
                <c:pt idx="35">
                  <c:v>34</c:v>
                </c:pt>
                <c:pt idx="36">
                  <c:v>20</c:v>
                </c:pt>
                <c:pt idx="37">
                  <c:v>10</c:v>
                </c:pt>
                <c:pt idx="38">
                  <c:v>19</c:v>
                </c:pt>
                <c:pt idx="39">
                  <c:v>22</c:v>
                </c:pt>
                <c:pt idx="40">
                  <c:v>14</c:v>
                </c:pt>
                <c:pt idx="41">
                  <c:v>34</c:v>
                </c:pt>
                <c:pt idx="42">
                  <c:v>41</c:v>
                </c:pt>
                <c:pt idx="43">
                  <c:v>41</c:v>
                </c:pt>
                <c:pt idx="44">
                  <c:v>13</c:v>
                </c:pt>
                <c:pt idx="45">
                  <c:v>9</c:v>
                </c:pt>
                <c:pt idx="46">
                  <c:v>20</c:v>
                </c:pt>
                <c:pt idx="47">
                  <c:v>6</c:v>
                </c:pt>
                <c:pt idx="48">
                  <c:v>21</c:v>
                </c:pt>
                <c:pt idx="49">
                  <c:v>14</c:v>
                </c:pt>
                <c:pt idx="50">
                  <c:v>8</c:v>
                </c:pt>
                <c:pt idx="51">
                  <c:v>9</c:v>
                </c:pt>
                <c:pt idx="52">
                  <c:v>11</c:v>
                </c:pt>
                <c:pt idx="53">
                  <c:v>12</c:v>
                </c:pt>
                <c:pt idx="54">
                  <c:v>15</c:v>
                </c:pt>
                <c:pt idx="55">
                  <c:v>21</c:v>
                </c:pt>
                <c:pt idx="56">
                  <c:v>25</c:v>
                </c:pt>
                <c:pt idx="57">
                  <c:v>10</c:v>
                </c:pt>
                <c:pt idx="58">
                  <c:v>19</c:v>
                </c:pt>
                <c:pt idx="59">
                  <c:v>16</c:v>
                </c:pt>
                <c:pt idx="60">
                  <c:v>10</c:v>
                </c:pt>
                <c:pt idx="61">
                  <c:v>9</c:v>
                </c:pt>
                <c:pt idx="62">
                  <c:v>10</c:v>
                </c:pt>
                <c:pt idx="63">
                  <c:v>16</c:v>
                </c:pt>
                <c:pt idx="64">
                  <c:v>14</c:v>
                </c:pt>
                <c:pt idx="65">
                  <c:v>15</c:v>
                </c:pt>
                <c:pt idx="66">
                  <c:v>11</c:v>
                </c:pt>
                <c:pt idx="67">
                  <c:v>15</c:v>
                </c:pt>
                <c:pt idx="68">
                  <c:v>16</c:v>
                </c:pt>
                <c:pt idx="69">
                  <c:v>13</c:v>
                </c:pt>
                <c:pt idx="70">
                  <c:v>9</c:v>
                </c:pt>
                <c:pt idx="71">
                  <c:v>23</c:v>
                </c:pt>
                <c:pt idx="72">
                  <c:v>10</c:v>
                </c:pt>
                <c:pt idx="73">
                  <c:v>10</c:v>
                </c:pt>
                <c:pt idx="74">
                  <c:v>12</c:v>
                </c:pt>
                <c:pt idx="75">
                  <c:v>17</c:v>
                </c:pt>
                <c:pt idx="76">
                  <c:v>11</c:v>
                </c:pt>
                <c:pt idx="77">
                  <c:v>20</c:v>
                </c:pt>
                <c:pt idx="78">
                  <c:v>22</c:v>
                </c:pt>
                <c:pt idx="79">
                  <c:v>23</c:v>
                </c:pt>
                <c:pt idx="80">
                  <c:v>38</c:v>
                </c:pt>
                <c:pt idx="81">
                  <c:v>40</c:v>
                </c:pt>
                <c:pt idx="82">
                  <c:v>7</c:v>
                </c:pt>
                <c:pt idx="83">
                  <c:v>14</c:v>
                </c:pt>
                <c:pt idx="84">
                  <c:v>14</c:v>
                </c:pt>
                <c:pt idx="85">
                  <c:v>24</c:v>
                </c:pt>
                <c:pt idx="86">
                  <c:v>10</c:v>
                </c:pt>
                <c:pt idx="87">
                  <c:v>7</c:v>
                </c:pt>
                <c:pt idx="88">
                  <c:v>6</c:v>
                </c:pt>
                <c:pt idx="89">
                  <c:v>12</c:v>
                </c:pt>
                <c:pt idx="90">
                  <c:v>11</c:v>
                </c:pt>
                <c:pt idx="91">
                  <c:v>15</c:v>
                </c:pt>
                <c:pt idx="92">
                  <c:v>9</c:v>
                </c:pt>
                <c:pt idx="93">
                  <c:v>8</c:v>
                </c:pt>
                <c:pt idx="94">
                  <c:v>13</c:v>
                </c:pt>
                <c:pt idx="95">
                  <c:v>11</c:v>
                </c:pt>
                <c:pt idx="96">
                  <c:v>10</c:v>
                </c:pt>
                <c:pt idx="97">
                  <c:v>7</c:v>
                </c:pt>
                <c:pt idx="98">
                  <c:v>10</c:v>
                </c:pt>
                <c:pt idx="99">
                  <c:v>13</c:v>
                </c:pt>
                <c:pt idx="100">
                  <c:v>32</c:v>
                </c:pt>
                <c:pt idx="101">
                  <c:v>33</c:v>
                </c:pt>
                <c:pt idx="102">
                  <c:v>41</c:v>
                </c:pt>
                <c:pt idx="103">
                  <c:v>29</c:v>
                </c:pt>
                <c:pt idx="104">
                  <c:v>27</c:v>
                </c:pt>
                <c:pt idx="105">
                  <c:v>44</c:v>
                </c:pt>
                <c:pt idx="106">
                  <c:v>47</c:v>
                </c:pt>
                <c:pt idx="107">
                  <c:v>30</c:v>
                </c:pt>
                <c:pt idx="108">
                  <c:v>36</c:v>
                </c:pt>
                <c:pt idx="109">
                  <c:v>16</c:v>
                </c:pt>
                <c:pt idx="110">
                  <c:v>28</c:v>
                </c:pt>
                <c:pt idx="111">
                  <c:v>12</c:v>
                </c:pt>
                <c:pt idx="112">
                  <c:v>16</c:v>
                </c:pt>
                <c:pt idx="113">
                  <c:v>8</c:v>
                </c:pt>
                <c:pt idx="114">
                  <c:v>27</c:v>
                </c:pt>
                <c:pt idx="115">
                  <c:v>17</c:v>
                </c:pt>
                <c:pt idx="116">
                  <c:v>16</c:v>
                </c:pt>
                <c:pt idx="117">
                  <c:v>11</c:v>
                </c:pt>
                <c:pt idx="118">
                  <c:v>11</c:v>
                </c:pt>
                <c:pt idx="119">
                  <c:v>10</c:v>
                </c:pt>
                <c:pt idx="120">
                  <c:v>21</c:v>
                </c:pt>
                <c:pt idx="121">
                  <c:v>13</c:v>
                </c:pt>
                <c:pt idx="122">
                  <c:v>17</c:v>
                </c:pt>
                <c:pt idx="123">
                  <c:v>24</c:v>
                </c:pt>
                <c:pt idx="124">
                  <c:v>21</c:v>
                </c:pt>
                <c:pt idx="125">
                  <c:v>5</c:v>
                </c:pt>
                <c:pt idx="126">
                  <c:v>24</c:v>
                </c:pt>
                <c:pt idx="127">
                  <c:v>31</c:v>
                </c:pt>
                <c:pt idx="128">
                  <c:v>43</c:v>
                </c:pt>
                <c:pt idx="129">
                  <c:v>27</c:v>
                </c:pt>
                <c:pt idx="130">
                  <c:v>25</c:v>
                </c:pt>
                <c:pt idx="131">
                  <c:v>38</c:v>
                </c:pt>
                <c:pt idx="132">
                  <c:v>42</c:v>
                </c:pt>
                <c:pt idx="133">
                  <c:v>31</c:v>
                </c:pt>
                <c:pt idx="134">
                  <c:v>20</c:v>
                </c:pt>
                <c:pt idx="135">
                  <c:v>11</c:v>
                </c:pt>
                <c:pt idx="136">
                  <c:v>16</c:v>
                </c:pt>
                <c:pt idx="137">
                  <c:v>18</c:v>
                </c:pt>
                <c:pt idx="138">
                  <c:v>22</c:v>
                </c:pt>
                <c:pt idx="139">
                  <c:v>18</c:v>
                </c:pt>
                <c:pt idx="140">
                  <c:v>13</c:v>
                </c:pt>
                <c:pt idx="141">
                  <c:v>12</c:v>
                </c:pt>
                <c:pt idx="142">
                  <c:v>15</c:v>
                </c:pt>
                <c:pt idx="143">
                  <c:v>16</c:v>
                </c:pt>
                <c:pt idx="144">
                  <c:v>28</c:v>
                </c:pt>
                <c:pt idx="145">
                  <c:v>12</c:v>
                </c:pt>
                <c:pt idx="146">
                  <c:v>34</c:v>
                </c:pt>
                <c:pt idx="147">
                  <c:v>32</c:v>
                </c:pt>
                <c:pt idx="148">
                  <c:v>62</c:v>
                </c:pt>
                <c:pt idx="149">
                  <c:v>4</c:v>
                </c:pt>
                <c:pt idx="150">
                  <c:v>36</c:v>
                </c:pt>
                <c:pt idx="151">
                  <c:v>25</c:v>
                </c:pt>
                <c:pt idx="152">
                  <c:v>23</c:v>
                </c:pt>
                <c:pt idx="153">
                  <c:v>19</c:v>
                </c:pt>
                <c:pt idx="154">
                  <c:v>8</c:v>
                </c:pt>
                <c:pt idx="155">
                  <c:v>10</c:v>
                </c:pt>
                <c:pt idx="156">
                  <c:v>12</c:v>
                </c:pt>
                <c:pt idx="157">
                  <c:v>15</c:v>
                </c:pt>
                <c:pt idx="158">
                  <c:v>11</c:v>
                </c:pt>
                <c:pt idx="159">
                  <c:v>3</c:v>
                </c:pt>
                <c:pt idx="160">
                  <c:v>13</c:v>
                </c:pt>
                <c:pt idx="161">
                  <c:v>13</c:v>
                </c:pt>
                <c:pt idx="162">
                  <c:v>21</c:v>
                </c:pt>
                <c:pt idx="163">
                  <c:v>18</c:v>
                </c:pt>
                <c:pt idx="164">
                  <c:v>11</c:v>
                </c:pt>
                <c:pt idx="165">
                  <c:v>19</c:v>
                </c:pt>
                <c:pt idx="166">
                  <c:v>17</c:v>
                </c:pt>
                <c:pt idx="167">
                  <c:v>20</c:v>
                </c:pt>
                <c:pt idx="168">
                  <c:v>17</c:v>
                </c:pt>
                <c:pt idx="169">
                  <c:v>15</c:v>
                </c:pt>
                <c:pt idx="170">
                  <c:v>11</c:v>
                </c:pt>
                <c:pt idx="171">
                  <c:v>15</c:v>
                </c:pt>
                <c:pt idx="172">
                  <c:v>8</c:v>
                </c:pt>
                <c:pt idx="173">
                  <c:v>14</c:v>
                </c:pt>
                <c:pt idx="174">
                  <c:v>12</c:v>
                </c:pt>
                <c:pt idx="175">
                  <c:v>33</c:v>
                </c:pt>
                <c:pt idx="176">
                  <c:v>29</c:v>
                </c:pt>
                <c:pt idx="177">
                  <c:v>35</c:v>
                </c:pt>
                <c:pt idx="178">
                  <c:v>26</c:v>
                </c:pt>
                <c:pt idx="179">
                  <c:v>14</c:v>
                </c:pt>
                <c:pt idx="180">
                  <c:v>10</c:v>
                </c:pt>
                <c:pt idx="181">
                  <c:v>23</c:v>
                </c:pt>
                <c:pt idx="182">
                  <c:v>9</c:v>
                </c:pt>
                <c:pt idx="183">
                  <c:v>15</c:v>
                </c:pt>
                <c:pt idx="184">
                  <c:v>13</c:v>
                </c:pt>
                <c:pt idx="185">
                  <c:v>21</c:v>
                </c:pt>
                <c:pt idx="186">
                  <c:v>8</c:v>
                </c:pt>
                <c:pt idx="187">
                  <c:v>22</c:v>
                </c:pt>
                <c:pt idx="188">
                  <c:v>30</c:v>
                </c:pt>
                <c:pt idx="189">
                  <c:v>23</c:v>
                </c:pt>
                <c:pt idx="190">
                  <c:v>14</c:v>
                </c:pt>
                <c:pt idx="191">
                  <c:v>14</c:v>
                </c:pt>
                <c:pt idx="192">
                  <c:v>16</c:v>
                </c:pt>
                <c:pt idx="193">
                  <c:v>11</c:v>
                </c:pt>
                <c:pt idx="194">
                  <c:v>20</c:v>
                </c:pt>
                <c:pt idx="195">
                  <c:v>19</c:v>
                </c:pt>
                <c:pt idx="196">
                  <c:v>18</c:v>
                </c:pt>
                <c:pt idx="197">
                  <c:v>19</c:v>
                </c:pt>
                <c:pt idx="198">
                  <c:v>15</c:v>
                </c:pt>
                <c:pt idx="199">
                  <c:v>25</c:v>
                </c:pt>
                <c:pt idx="200">
                  <c:v>18</c:v>
                </c:pt>
                <c:pt idx="201">
                  <c:v>30</c:v>
                </c:pt>
                <c:pt idx="202">
                  <c:v>15</c:v>
                </c:pt>
                <c:pt idx="203">
                  <c:v>28</c:v>
                </c:pt>
                <c:pt idx="204">
                  <c:v>25</c:v>
                </c:pt>
                <c:pt idx="205">
                  <c:v>15</c:v>
                </c:pt>
                <c:pt idx="206">
                  <c:v>26</c:v>
                </c:pt>
                <c:pt idx="207">
                  <c:v>45</c:v>
                </c:pt>
                <c:pt idx="208">
                  <c:v>16</c:v>
                </c:pt>
                <c:pt idx="209">
                  <c:v>19</c:v>
                </c:pt>
                <c:pt idx="210">
                  <c:v>22</c:v>
                </c:pt>
                <c:pt idx="211">
                  <c:v>14</c:v>
                </c:pt>
                <c:pt idx="212">
                  <c:v>27</c:v>
                </c:pt>
                <c:pt idx="213">
                  <c:v>32</c:v>
                </c:pt>
                <c:pt idx="214">
                  <c:v>22</c:v>
                </c:pt>
                <c:pt idx="215">
                  <c:v>20</c:v>
                </c:pt>
                <c:pt idx="216">
                  <c:v>15</c:v>
                </c:pt>
                <c:pt idx="217">
                  <c:v>20</c:v>
                </c:pt>
                <c:pt idx="218">
                  <c:v>19</c:v>
                </c:pt>
                <c:pt idx="219">
                  <c:v>20</c:v>
                </c:pt>
                <c:pt idx="220">
                  <c:v>19</c:v>
                </c:pt>
                <c:pt idx="221">
                  <c:v>15</c:v>
                </c:pt>
                <c:pt idx="222">
                  <c:v>7</c:v>
                </c:pt>
                <c:pt idx="223">
                  <c:v>18</c:v>
                </c:pt>
                <c:pt idx="224">
                  <c:v>31</c:v>
                </c:pt>
                <c:pt idx="225">
                  <c:v>25</c:v>
                </c:pt>
                <c:pt idx="226">
                  <c:v>24</c:v>
                </c:pt>
                <c:pt idx="227">
                  <c:v>16</c:v>
                </c:pt>
                <c:pt idx="228">
                  <c:v>37</c:v>
                </c:pt>
                <c:pt idx="229">
                  <c:v>23</c:v>
                </c:pt>
                <c:pt idx="230">
                  <c:v>58</c:v>
                </c:pt>
                <c:pt idx="231">
                  <c:v>14</c:v>
                </c:pt>
                <c:pt idx="232">
                  <c:v>20</c:v>
                </c:pt>
                <c:pt idx="233">
                  <c:v>11</c:v>
                </c:pt>
                <c:pt idx="234">
                  <c:v>14</c:v>
                </c:pt>
                <c:pt idx="235">
                  <c:v>19</c:v>
                </c:pt>
                <c:pt idx="236">
                  <c:v>24</c:v>
                </c:pt>
                <c:pt idx="237">
                  <c:v>23</c:v>
                </c:pt>
                <c:pt idx="238">
                  <c:v>27</c:v>
                </c:pt>
                <c:pt idx="239">
                  <c:v>18</c:v>
                </c:pt>
                <c:pt idx="240">
                  <c:v>30</c:v>
                </c:pt>
                <c:pt idx="241">
                  <c:v>20</c:v>
                </c:pt>
                <c:pt idx="242">
                  <c:v>16</c:v>
                </c:pt>
                <c:pt idx="243">
                  <c:v>56</c:v>
                </c:pt>
                <c:pt idx="244">
                  <c:v>48</c:v>
                </c:pt>
                <c:pt idx="245">
                  <c:v>33</c:v>
                </c:pt>
                <c:pt idx="246">
                  <c:v>63</c:v>
                </c:pt>
                <c:pt idx="247">
                  <c:v>54</c:v>
                </c:pt>
                <c:pt idx="248">
                  <c:v>44</c:v>
                </c:pt>
                <c:pt idx="249">
                  <c:v>25</c:v>
                </c:pt>
                <c:pt idx="250">
                  <c:v>11</c:v>
                </c:pt>
                <c:pt idx="251">
                  <c:v>25</c:v>
                </c:pt>
                <c:pt idx="252">
                  <c:v>13</c:v>
                </c:pt>
                <c:pt idx="253">
                  <c:v>10</c:v>
                </c:pt>
                <c:pt idx="254">
                  <c:v>20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44</c:v>
                </c:pt>
                <c:pt idx="259">
                  <c:v>37</c:v>
                </c:pt>
                <c:pt idx="260">
                  <c:v>17</c:v>
                </c:pt>
                <c:pt idx="261">
                  <c:v>44</c:v>
                </c:pt>
                <c:pt idx="262">
                  <c:v>27</c:v>
                </c:pt>
                <c:pt idx="263">
                  <c:v>40</c:v>
                </c:pt>
                <c:pt idx="264">
                  <c:v>28</c:v>
                </c:pt>
                <c:pt idx="265">
                  <c:v>20</c:v>
                </c:pt>
                <c:pt idx="266">
                  <c:v>16</c:v>
                </c:pt>
                <c:pt idx="267">
                  <c:v>21</c:v>
                </c:pt>
                <c:pt idx="268">
                  <c:v>22</c:v>
                </c:pt>
                <c:pt idx="269">
                  <c:v>26</c:v>
                </c:pt>
                <c:pt idx="270">
                  <c:v>28</c:v>
                </c:pt>
                <c:pt idx="271">
                  <c:v>24</c:v>
                </c:pt>
                <c:pt idx="272">
                  <c:v>17</c:v>
                </c:pt>
                <c:pt idx="273">
                  <c:v>21</c:v>
                </c:pt>
                <c:pt idx="274">
                  <c:v>14</c:v>
                </c:pt>
                <c:pt idx="275">
                  <c:v>28</c:v>
                </c:pt>
                <c:pt idx="276">
                  <c:v>23</c:v>
                </c:pt>
                <c:pt idx="277">
                  <c:v>12</c:v>
                </c:pt>
                <c:pt idx="278">
                  <c:v>28</c:v>
                </c:pt>
                <c:pt idx="279">
                  <c:v>13</c:v>
                </c:pt>
                <c:pt idx="280">
                  <c:v>18</c:v>
                </c:pt>
                <c:pt idx="281">
                  <c:v>24</c:v>
                </c:pt>
                <c:pt idx="282">
                  <c:v>45</c:v>
                </c:pt>
                <c:pt idx="283">
                  <c:v>17</c:v>
                </c:pt>
                <c:pt idx="284">
                  <c:v>13</c:v>
                </c:pt>
                <c:pt idx="285">
                  <c:v>12</c:v>
                </c:pt>
                <c:pt idx="286">
                  <c:v>22</c:v>
                </c:pt>
                <c:pt idx="287">
                  <c:v>31</c:v>
                </c:pt>
                <c:pt idx="288">
                  <c:v>13</c:v>
                </c:pt>
                <c:pt idx="289">
                  <c:v>18</c:v>
                </c:pt>
                <c:pt idx="290">
                  <c:v>28</c:v>
                </c:pt>
                <c:pt idx="291">
                  <c:v>22</c:v>
                </c:pt>
                <c:pt idx="292">
                  <c:v>20</c:v>
                </c:pt>
                <c:pt idx="293">
                  <c:v>19</c:v>
                </c:pt>
                <c:pt idx="294">
                  <c:v>20</c:v>
                </c:pt>
                <c:pt idx="295">
                  <c:v>5</c:v>
                </c:pt>
                <c:pt idx="296">
                  <c:v>16</c:v>
                </c:pt>
                <c:pt idx="297">
                  <c:v>12</c:v>
                </c:pt>
                <c:pt idx="298">
                  <c:v>18</c:v>
                </c:pt>
                <c:pt idx="299">
                  <c:v>21</c:v>
                </c:pt>
                <c:pt idx="300">
                  <c:v>41</c:v>
                </c:pt>
                <c:pt idx="301">
                  <c:v>16</c:v>
                </c:pt>
                <c:pt idx="302">
                  <c:v>24</c:v>
                </c:pt>
                <c:pt idx="303">
                  <c:v>20</c:v>
                </c:pt>
                <c:pt idx="304">
                  <c:v>14</c:v>
                </c:pt>
                <c:pt idx="305">
                  <c:v>20</c:v>
                </c:pt>
                <c:pt idx="306">
                  <c:v>15</c:v>
                </c:pt>
                <c:pt idx="307">
                  <c:v>23</c:v>
                </c:pt>
                <c:pt idx="308">
                  <c:v>30</c:v>
                </c:pt>
                <c:pt idx="309">
                  <c:v>22</c:v>
                </c:pt>
                <c:pt idx="310">
                  <c:v>26</c:v>
                </c:pt>
                <c:pt idx="311">
                  <c:v>16</c:v>
                </c:pt>
                <c:pt idx="312">
                  <c:v>18</c:v>
                </c:pt>
                <c:pt idx="313">
                  <c:v>26</c:v>
                </c:pt>
                <c:pt idx="314">
                  <c:v>18</c:v>
                </c:pt>
                <c:pt idx="315">
                  <c:v>17</c:v>
                </c:pt>
                <c:pt idx="316">
                  <c:v>24</c:v>
                </c:pt>
                <c:pt idx="317">
                  <c:v>22</c:v>
                </c:pt>
                <c:pt idx="318">
                  <c:v>43</c:v>
                </c:pt>
                <c:pt idx="319">
                  <c:v>23</c:v>
                </c:pt>
                <c:pt idx="320">
                  <c:v>31</c:v>
                </c:pt>
                <c:pt idx="321">
                  <c:v>15</c:v>
                </c:pt>
                <c:pt idx="322">
                  <c:v>46</c:v>
                </c:pt>
                <c:pt idx="323">
                  <c:v>32</c:v>
                </c:pt>
                <c:pt idx="324">
                  <c:v>44</c:v>
                </c:pt>
                <c:pt idx="325">
                  <c:v>21</c:v>
                </c:pt>
                <c:pt idx="326">
                  <c:v>18</c:v>
                </c:pt>
                <c:pt idx="327">
                  <c:v>16</c:v>
                </c:pt>
                <c:pt idx="328">
                  <c:v>23</c:v>
                </c:pt>
                <c:pt idx="329">
                  <c:v>23</c:v>
                </c:pt>
                <c:pt idx="330">
                  <c:v>9</c:v>
                </c:pt>
                <c:pt idx="331">
                  <c:v>14</c:v>
                </c:pt>
                <c:pt idx="332">
                  <c:v>25</c:v>
                </c:pt>
                <c:pt idx="333">
                  <c:v>23</c:v>
                </c:pt>
                <c:pt idx="334">
                  <c:v>15</c:v>
                </c:pt>
                <c:pt idx="335">
                  <c:v>11</c:v>
                </c:pt>
                <c:pt idx="336">
                  <c:v>14</c:v>
                </c:pt>
                <c:pt idx="337">
                  <c:v>15</c:v>
                </c:pt>
                <c:pt idx="338">
                  <c:v>16</c:v>
                </c:pt>
                <c:pt idx="339">
                  <c:v>12</c:v>
                </c:pt>
                <c:pt idx="340">
                  <c:v>11</c:v>
                </c:pt>
                <c:pt idx="341">
                  <c:v>8</c:v>
                </c:pt>
                <c:pt idx="342">
                  <c:v>12</c:v>
                </c:pt>
                <c:pt idx="343">
                  <c:v>22</c:v>
                </c:pt>
                <c:pt idx="344">
                  <c:v>23</c:v>
                </c:pt>
                <c:pt idx="345">
                  <c:v>31</c:v>
                </c:pt>
                <c:pt idx="346">
                  <c:v>30</c:v>
                </c:pt>
                <c:pt idx="347">
                  <c:v>18</c:v>
                </c:pt>
                <c:pt idx="348">
                  <c:v>11</c:v>
                </c:pt>
                <c:pt idx="349">
                  <c:v>24</c:v>
                </c:pt>
                <c:pt idx="350">
                  <c:v>38</c:v>
                </c:pt>
                <c:pt idx="351">
                  <c:v>26</c:v>
                </c:pt>
                <c:pt idx="352">
                  <c:v>16</c:v>
                </c:pt>
                <c:pt idx="353">
                  <c:v>17</c:v>
                </c:pt>
                <c:pt idx="354">
                  <c:v>23</c:v>
                </c:pt>
                <c:pt idx="355">
                  <c:v>29</c:v>
                </c:pt>
                <c:pt idx="356">
                  <c:v>34</c:v>
                </c:pt>
                <c:pt idx="357">
                  <c:v>26</c:v>
                </c:pt>
                <c:pt idx="358">
                  <c:v>15</c:v>
                </c:pt>
                <c:pt idx="359">
                  <c:v>14</c:v>
                </c:pt>
                <c:pt idx="360">
                  <c:v>30</c:v>
                </c:pt>
                <c:pt idx="361">
                  <c:v>13</c:v>
                </c:pt>
                <c:pt idx="362">
                  <c:v>24</c:v>
                </c:pt>
                <c:pt idx="363">
                  <c:v>13</c:v>
                </c:pt>
                <c:pt idx="364">
                  <c:v>67</c:v>
                </c:pt>
                <c:pt idx="365">
                  <c:v>27</c:v>
                </c:pt>
                <c:pt idx="366">
                  <c:v>21</c:v>
                </c:pt>
                <c:pt idx="367">
                  <c:v>41</c:v>
                </c:pt>
                <c:pt idx="368">
                  <c:v>44</c:v>
                </c:pt>
                <c:pt idx="369">
                  <c:v>54</c:v>
                </c:pt>
                <c:pt idx="370">
                  <c:v>22</c:v>
                </c:pt>
                <c:pt idx="371">
                  <c:v>38</c:v>
                </c:pt>
                <c:pt idx="372">
                  <c:v>29</c:v>
                </c:pt>
                <c:pt idx="373">
                  <c:v>21</c:v>
                </c:pt>
                <c:pt idx="374">
                  <c:v>16</c:v>
                </c:pt>
                <c:pt idx="375">
                  <c:v>14</c:v>
                </c:pt>
                <c:pt idx="376">
                  <c:v>26</c:v>
                </c:pt>
                <c:pt idx="377">
                  <c:v>21</c:v>
                </c:pt>
                <c:pt idx="378">
                  <c:v>17</c:v>
                </c:pt>
                <c:pt idx="379">
                  <c:v>15</c:v>
                </c:pt>
                <c:pt idx="380">
                  <c:v>20</c:v>
                </c:pt>
                <c:pt idx="381">
                  <c:v>18</c:v>
                </c:pt>
                <c:pt idx="382">
                  <c:v>11</c:v>
                </c:pt>
                <c:pt idx="383">
                  <c:v>14</c:v>
                </c:pt>
                <c:pt idx="384">
                  <c:v>28</c:v>
                </c:pt>
                <c:pt idx="385">
                  <c:v>10</c:v>
                </c:pt>
                <c:pt idx="386">
                  <c:v>16</c:v>
                </c:pt>
                <c:pt idx="387">
                  <c:v>20</c:v>
                </c:pt>
                <c:pt idx="388">
                  <c:v>8</c:v>
                </c:pt>
                <c:pt idx="389">
                  <c:v>35</c:v>
                </c:pt>
                <c:pt idx="390">
                  <c:v>25</c:v>
                </c:pt>
                <c:pt idx="391">
                  <c:v>40</c:v>
                </c:pt>
                <c:pt idx="392">
                  <c:v>12</c:v>
                </c:pt>
                <c:pt idx="393">
                  <c:v>29</c:v>
                </c:pt>
                <c:pt idx="394">
                  <c:v>18</c:v>
                </c:pt>
                <c:pt idx="395">
                  <c:v>17</c:v>
                </c:pt>
                <c:pt idx="396">
                  <c:v>46</c:v>
                </c:pt>
                <c:pt idx="397">
                  <c:v>14</c:v>
                </c:pt>
                <c:pt idx="398">
                  <c:v>21</c:v>
                </c:pt>
                <c:pt idx="399">
                  <c:v>19</c:v>
                </c:pt>
                <c:pt idx="400">
                  <c:v>27</c:v>
                </c:pt>
                <c:pt idx="401">
                  <c:v>16</c:v>
                </c:pt>
                <c:pt idx="402">
                  <c:v>14</c:v>
                </c:pt>
                <c:pt idx="403">
                  <c:v>20</c:v>
                </c:pt>
                <c:pt idx="404">
                  <c:v>7</c:v>
                </c:pt>
                <c:pt idx="405">
                  <c:v>17</c:v>
                </c:pt>
                <c:pt idx="406">
                  <c:v>18</c:v>
                </c:pt>
                <c:pt idx="407">
                  <c:v>9</c:v>
                </c:pt>
                <c:pt idx="408">
                  <c:v>10</c:v>
                </c:pt>
                <c:pt idx="409">
                  <c:v>14</c:v>
                </c:pt>
                <c:pt idx="410">
                  <c:v>15</c:v>
                </c:pt>
                <c:pt idx="411">
                  <c:v>14</c:v>
                </c:pt>
                <c:pt idx="412">
                  <c:v>27</c:v>
                </c:pt>
                <c:pt idx="413">
                  <c:v>59</c:v>
                </c:pt>
                <c:pt idx="414">
                  <c:v>18</c:v>
                </c:pt>
                <c:pt idx="415">
                  <c:v>24</c:v>
                </c:pt>
                <c:pt idx="416">
                  <c:v>17</c:v>
                </c:pt>
                <c:pt idx="417">
                  <c:v>18</c:v>
                </c:pt>
                <c:pt idx="418">
                  <c:v>10</c:v>
                </c:pt>
                <c:pt idx="419">
                  <c:v>10</c:v>
                </c:pt>
                <c:pt idx="420">
                  <c:v>14</c:v>
                </c:pt>
                <c:pt idx="421">
                  <c:v>15</c:v>
                </c:pt>
                <c:pt idx="422">
                  <c:v>14</c:v>
                </c:pt>
                <c:pt idx="423">
                  <c:v>21</c:v>
                </c:pt>
                <c:pt idx="424">
                  <c:v>25</c:v>
                </c:pt>
                <c:pt idx="425">
                  <c:v>28</c:v>
                </c:pt>
                <c:pt idx="426">
                  <c:v>26</c:v>
                </c:pt>
                <c:pt idx="427">
                  <c:v>12</c:v>
                </c:pt>
                <c:pt idx="428">
                  <c:v>11</c:v>
                </c:pt>
                <c:pt idx="429">
                  <c:v>25</c:v>
                </c:pt>
                <c:pt idx="430">
                  <c:v>8</c:v>
                </c:pt>
                <c:pt idx="431">
                  <c:v>11</c:v>
                </c:pt>
                <c:pt idx="432">
                  <c:v>14</c:v>
                </c:pt>
                <c:pt idx="433">
                  <c:v>14</c:v>
                </c:pt>
                <c:pt idx="434">
                  <c:v>13</c:v>
                </c:pt>
                <c:pt idx="435">
                  <c:v>32</c:v>
                </c:pt>
                <c:pt idx="436">
                  <c:v>23</c:v>
                </c:pt>
                <c:pt idx="437">
                  <c:v>35</c:v>
                </c:pt>
                <c:pt idx="438">
                  <c:v>30</c:v>
                </c:pt>
                <c:pt idx="439">
                  <c:v>36</c:v>
                </c:pt>
                <c:pt idx="440">
                  <c:v>41</c:v>
                </c:pt>
                <c:pt idx="441">
                  <c:v>55</c:v>
                </c:pt>
                <c:pt idx="442">
                  <c:v>54</c:v>
                </c:pt>
                <c:pt idx="443">
                  <c:v>27</c:v>
                </c:pt>
                <c:pt idx="444">
                  <c:v>25</c:v>
                </c:pt>
                <c:pt idx="445">
                  <c:v>21</c:v>
                </c:pt>
                <c:pt idx="446">
                  <c:v>37</c:v>
                </c:pt>
                <c:pt idx="447">
                  <c:v>32</c:v>
                </c:pt>
                <c:pt idx="448">
                  <c:v>74</c:v>
                </c:pt>
                <c:pt idx="449">
                  <c:v>19</c:v>
                </c:pt>
                <c:pt idx="450">
                  <c:v>29</c:v>
                </c:pt>
                <c:pt idx="451">
                  <c:v>15</c:v>
                </c:pt>
                <c:pt idx="452">
                  <c:v>12</c:v>
                </c:pt>
                <c:pt idx="453">
                  <c:v>8</c:v>
                </c:pt>
                <c:pt idx="454">
                  <c:v>20</c:v>
                </c:pt>
                <c:pt idx="455">
                  <c:v>17</c:v>
                </c:pt>
                <c:pt idx="456">
                  <c:v>18</c:v>
                </c:pt>
                <c:pt idx="457">
                  <c:v>13</c:v>
                </c:pt>
                <c:pt idx="458">
                  <c:v>12</c:v>
                </c:pt>
                <c:pt idx="459">
                  <c:v>10</c:v>
                </c:pt>
                <c:pt idx="460">
                  <c:v>24</c:v>
                </c:pt>
                <c:pt idx="461">
                  <c:v>17</c:v>
                </c:pt>
                <c:pt idx="462">
                  <c:v>8</c:v>
                </c:pt>
                <c:pt idx="463">
                  <c:v>17</c:v>
                </c:pt>
                <c:pt idx="464">
                  <c:v>10</c:v>
                </c:pt>
                <c:pt idx="465">
                  <c:v>37</c:v>
                </c:pt>
                <c:pt idx="466">
                  <c:v>25</c:v>
                </c:pt>
                <c:pt idx="467">
                  <c:v>105</c:v>
                </c:pt>
                <c:pt idx="468">
                  <c:v>122</c:v>
                </c:pt>
                <c:pt idx="469">
                  <c:v>128</c:v>
                </c:pt>
                <c:pt idx="470">
                  <c:v>90</c:v>
                </c:pt>
                <c:pt idx="471">
                  <c:v>93</c:v>
                </c:pt>
                <c:pt idx="472">
                  <c:v>36</c:v>
                </c:pt>
                <c:pt idx="473">
                  <c:v>39</c:v>
                </c:pt>
                <c:pt idx="474">
                  <c:v>25</c:v>
                </c:pt>
                <c:pt idx="475">
                  <c:v>18</c:v>
                </c:pt>
                <c:pt idx="476">
                  <c:v>46</c:v>
                </c:pt>
                <c:pt idx="477">
                  <c:v>20</c:v>
                </c:pt>
                <c:pt idx="478">
                  <c:v>21</c:v>
                </c:pt>
                <c:pt idx="479">
                  <c:v>23</c:v>
                </c:pt>
                <c:pt idx="480">
                  <c:v>49</c:v>
                </c:pt>
                <c:pt idx="481">
                  <c:v>32</c:v>
                </c:pt>
                <c:pt idx="482">
                  <c:v>33</c:v>
                </c:pt>
                <c:pt idx="483">
                  <c:v>27</c:v>
                </c:pt>
                <c:pt idx="484">
                  <c:v>29</c:v>
                </c:pt>
                <c:pt idx="485">
                  <c:v>15</c:v>
                </c:pt>
                <c:pt idx="486">
                  <c:v>19</c:v>
                </c:pt>
                <c:pt idx="487">
                  <c:v>46</c:v>
                </c:pt>
                <c:pt idx="488">
                  <c:v>23</c:v>
                </c:pt>
                <c:pt idx="489">
                  <c:v>17</c:v>
                </c:pt>
                <c:pt idx="490">
                  <c:v>36</c:v>
                </c:pt>
                <c:pt idx="491">
                  <c:v>30</c:v>
                </c:pt>
                <c:pt idx="492">
                  <c:v>18</c:v>
                </c:pt>
                <c:pt idx="493">
                  <c:v>37</c:v>
                </c:pt>
                <c:pt idx="494">
                  <c:v>27</c:v>
                </c:pt>
                <c:pt idx="495">
                  <c:v>16</c:v>
                </c:pt>
                <c:pt idx="496">
                  <c:v>16</c:v>
                </c:pt>
                <c:pt idx="497">
                  <c:v>33</c:v>
                </c:pt>
                <c:pt idx="498">
                  <c:v>40</c:v>
                </c:pt>
                <c:pt idx="499">
                  <c:v>49</c:v>
                </c:pt>
                <c:pt idx="500">
                  <c:v>20</c:v>
                </c:pt>
                <c:pt idx="501">
                  <c:v>29</c:v>
                </c:pt>
                <c:pt idx="502">
                  <c:v>42</c:v>
                </c:pt>
                <c:pt idx="503">
                  <c:v>7</c:v>
                </c:pt>
                <c:pt idx="504">
                  <c:v>27</c:v>
                </c:pt>
                <c:pt idx="505">
                  <c:v>15</c:v>
                </c:pt>
                <c:pt idx="506">
                  <c:v>25</c:v>
                </c:pt>
                <c:pt idx="507">
                  <c:v>14</c:v>
                </c:pt>
                <c:pt idx="508">
                  <c:v>17</c:v>
                </c:pt>
                <c:pt idx="509">
                  <c:v>12</c:v>
                </c:pt>
                <c:pt idx="510">
                  <c:v>13</c:v>
                </c:pt>
                <c:pt idx="511">
                  <c:v>18</c:v>
                </c:pt>
                <c:pt idx="512">
                  <c:v>16</c:v>
                </c:pt>
                <c:pt idx="513">
                  <c:v>19</c:v>
                </c:pt>
                <c:pt idx="514">
                  <c:v>22</c:v>
                </c:pt>
                <c:pt idx="515">
                  <c:v>16</c:v>
                </c:pt>
                <c:pt idx="516">
                  <c:v>9</c:v>
                </c:pt>
                <c:pt idx="517">
                  <c:v>15</c:v>
                </c:pt>
                <c:pt idx="518">
                  <c:v>17</c:v>
                </c:pt>
                <c:pt idx="519">
                  <c:v>21</c:v>
                </c:pt>
                <c:pt idx="520">
                  <c:v>10</c:v>
                </c:pt>
                <c:pt idx="521">
                  <c:v>26</c:v>
                </c:pt>
                <c:pt idx="522">
                  <c:v>11</c:v>
                </c:pt>
                <c:pt idx="523">
                  <c:v>22</c:v>
                </c:pt>
                <c:pt idx="524">
                  <c:v>25</c:v>
                </c:pt>
                <c:pt idx="525">
                  <c:v>6</c:v>
                </c:pt>
                <c:pt idx="526">
                  <c:v>17</c:v>
                </c:pt>
                <c:pt idx="527">
                  <c:v>13</c:v>
                </c:pt>
                <c:pt idx="528">
                  <c:v>13</c:v>
                </c:pt>
                <c:pt idx="529">
                  <c:v>11</c:v>
                </c:pt>
                <c:pt idx="530">
                  <c:v>16</c:v>
                </c:pt>
                <c:pt idx="531">
                  <c:v>21</c:v>
                </c:pt>
                <c:pt idx="532">
                  <c:v>20</c:v>
                </c:pt>
                <c:pt idx="533">
                  <c:v>11</c:v>
                </c:pt>
                <c:pt idx="534">
                  <c:v>14</c:v>
                </c:pt>
                <c:pt idx="535">
                  <c:v>12</c:v>
                </c:pt>
                <c:pt idx="536">
                  <c:v>21</c:v>
                </c:pt>
                <c:pt idx="537">
                  <c:v>21</c:v>
                </c:pt>
                <c:pt idx="538">
                  <c:v>27</c:v>
                </c:pt>
                <c:pt idx="539">
                  <c:v>40</c:v>
                </c:pt>
                <c:pt idx="540">
                  <c:v>41</c:v>
                </c:pt>
                <c:pt idx="541">
                  <c:v>84</c:v>
                </c:pt>
                <c:pt idx="542">
                  <c:v>39</c:v>
                </c:pt>
                <c:pt idx="543">
                  <c:v>29</c:v>
                </c:pt>
                <c:pt idx="544">
                  <c:v>27</c:v>
                </c:pt>
                <c:pt idx="545">
                  <c:v>9</c:v>
                </c:pt>
                <c:pt idx="546">
                  <c:v>16</c:v>
                </c:pt>
                <c:pt idx="547">
                  <c:v>45</c:v>
                </c:pt>
                <c:pt idx="548">
                  <c:v>56</c:v>
                </c:pt>
                <c:pt idx="549">
                  <c:v>85</c:v>
                </c:pt>
                <c:pt idx="550">
                  <c:v>14</c:v>
                </c:pt>
                <c:pt idx="551">
                  <c:v>13</c:v>
                </c:pt>
                <c:pt idx="552">
                  <c:v>58</c:v>
                </c:pt>
                <c:pt idx="553">
                  <c:v>93</c:v>
                </c:pt>
                <c:pt idx="554">
                  <c:v>51</c:v>
                </c:pt>
                <c:pt idx="555">
                  <c:v>11</c:v>
                </c:pt>
                <c:pt idx="556">
                  <c:v>49</c:v>
                </c:pt>
                <c:pt idx="557">
                  <c:v>36</c:v>
                </c:pt>
                <c:pt idx="558">
                  <c:v>11</c:v>
                </c:pt>
                <c:pt idx="559">
                  <c:v>44</c:v>
                </c:pt>
                <c:pt idx="560">
                  <c:v>36</c:v>
                </c:pt>
                <c:pt idx="561">
                  <c:v>41</c:v>
                </c:pt>
                <c:pt idx="562">
                  <c:v>53</c:v>
                </c:pt>
                <c:pt idx="563">
                  <c:v>20</c:v>
                </c:pt>
                <c:pt idx="564">
                  <c:v>55</c:v>
                </c:pt>
                <c:pt idx="565">
                  <c:v>40</c:v>
                </c:pt>
                <c:pt idx="566">
                  <c:v>71</c:v>
                </c:pt>
                <c:pt idx="567">
                  <c:v>20</c:v>
                </c:pt>
                <c:pt idx="568">
                  <c:v>14</c:v>
                </c:pt>
                <c:pt idx="569">
                  <c:v>25</c:v>
                </c:pt>
                <c:pt idx="570">
                  <c:v>16</c:v>
                </c:pt>
                <c:pt idx="571">
                  <c:v>53</c:v>
                </c:pt>
                <c:pt idx="572">
                  <c:v>43</c:v>
                </c:pt>
                <c:pt idx="573">
                  <c:v>77</c:v>
                </c:pt>
                <c:pt idx="574">
                  <c:v>9</c:v>
                </c:pt>
                <c:pt idx="575">
                  <c:v>50</c:v>
                </c:pt>
                <c:pt idx="576">
                  <c:v>41</c:v>
                </c:pt>
                <c:pt idx="577">
                  <c:v>20</c:v>
                </c:pt>
                <c:pt idx="578">
                  <c:v>17</c:v>
                </c:pt>
                <c:pt idx="579">
                  <c:v>39</c:v>
                </c:pt>
                <c:pt idx="580">
                  <c:v>55</c:v>
                </c:pt>
                <c:pt idx="581">
                  <c:v>9</c:v>
                </c:pt>
                <c:pt idx="582">
                  <c:v>9</c:v>
                </c:pt>
                <c:pt idx="583">
                  <c:v>14</c:v>
                </c:pt>
                <c:pt idx="584">
                  <c:v>9</c:v>
                </c:pt>
                <c:pt idx="585">
                  <c:v>25</c:v>
                </c:pt>
                <c:pt idx="586">
                  <c:v>19</c:v>
                </c:pt>
                <c:pt idx="587">
                  <c:v>15</c:v>
                </c:pt>
                <c:pt idx="588">
                  <c:v>27</c:v>
                </c:pt>
                <c:pt idx="589">
                  <c:v>31</c:v>
                </c:pt>
                <c:pt idx="590">
                  <c:v>38</c:v>
                </c:pt>
                <c:pt idx="591">
                  <c:v>24</c:v>
                </c:pt>
                <c:pt idx="592">
                  <c:v>45</c:v>
                </c:pt>
                <c:pt idx="593">
                  <c:v>9</c:v>
                </c:pt>
                <c:pt idx="594">
                  <c:v>28</c:v>
                </c:pt>
                <c:pt idx="595">
                  <c:v>25</c:v>
                </c:pt>
                <c:pt idx="596">
                  <c:v>33</c:v>
                </c:pt>
                <c:pt idx="597">
                  <c:v>36</c:v>
                </c:pt>
                <c:pt idx="598">
                  <c:v>33</c:v>
                </c:pt>
                <c:pt idx="59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B3-4D18-A64A-69B25CA800BD}"/>
            </c:ext>
          </c:extLst>
        </c:ser>
        <c:ser>
          <c:idx val="1"/>
          <c:order val="1"/>
          <c:tx>
            <c:v>UCL(u′)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AOI_u_Laney!$J$11:$J$610</c:f>
              <c:numCache>
                <c:formatCode>0.0000</c:formatCode>
                <c:ptCount val="600"/>
                <c:pt idx="0">
                  <c:v>68.252743918461903</c:v>
                </c:pt>
                <c:pt idx="1">
                  <c:v>68.252743918461903</c:v>
                </c:pt>
                <c:pt idx="2">
                  <c:v>68.252743918461903</c:v>
                </c:pt>
                <c:pt idx="3">
                  <c:v>68.252743918461903</c:v>
                </c:pt>
                <c:pt idx="4">
                  <c:v>68.252743918461903</c:v>
                </c:pt>
                <c:pt idx="5">
                  <c:v>68.252743918461903</c:v>
                </c:pt>
                <c:pt idx="6">
                  <c:v>68.252743918461903</c:v>
                </c:pt>
                <c:pt idx="7">
                  <c:v>68.252743918461903</c:v>
                </c:pt>
                <c:pt idx="8">
                  <c:v>68.252743918461903</c:v>
                </c:pt>
                <c:pt idx="9">
                  <c:v>68.252743918461903</c:v>
                </c:pt>
                <c:pt idx="10">
                  <c:v>68.252743918461903</c:v>
                </c:pt>
                <c:pt idx="11">
                  <c:v>68.252743918461903</c:v>
                </c:pt>
                <c:pt idx="12">
                  <c:v>68.252743918461903</c:v>
                </c:pt>
                <c:pt idx="13">
                  <c:v>68.252743918461903</c:v>
                </c:pt>
                <c:pt idx="14">
                  <c:v>68.252743918461903</c:v>
                </c:pt>
                <c:pt idx="15">
                  <c:v>68.252743918461903</c:v>
                </c:pt>
                <c:pt idx="16">
                  <c:v>68.252743918461903</c:v>
                </c:pt>
                <c:pt idx="17">
                  <c:v>68.252743918461903</c:v>
                </c:pt>
                <c:pt idx="18">
                  <c:v>68.252743918461903</c:v>
                </c:pt>
                <c:pt idx="19">
                  <c:v>68.252743918461903</c:v>
                </c:pt>
                <c:pt idx="20">
                  <c:v>68.252743918461903</c:v>
                </c:pt>
                <c:pt idx="21">
                  <c:v>68.252743918461903</c:v>
                </c:pt>
                <c:pt idx="22">
                  <c:v>68.252743918461903</c:v>
                </c:pt>
                <c:pt idx="23">
                  <c:v>68.252743918461903</c:v>
                </c:pt>
                <c:pt idx="24">
                  <c:v>68.252743918461903</c:v>
                </c:pt>
                <c:pt idx="25">
                  <c:v>68.252743918461903</c:v>
                </c:pt>
                <c:pt idx="26">
                  <c:v>68.252743918461903</c:v>
                </c:pt>
                <c:pt idx="27">
                  <c:v>68.252743918461903</c:v>
                </c:pt>
                <c:pt idx="28">
                  <c:v>68.252743918461903</c:v>
                </c:pt>
                <c:pt idx="29">
                  <c:v>68.252743918461903</c:v>
                </c:pt>
                <c:pt idx="30">
                  <c:v>68.252743918461903</c:v>
                </c:pt>
                <c:pt idx="31">
                  <c:v>68.252743918461903</c:v>
                </c:pt>
                <c:pt idx="32">
                  <c:v>68.252743918461903</c:v>
                </c:pt>
                <c:pt idx="33">
                  <c:v>68.252743918461903</c:v>
                </c:pt>
                <c:pt idx="34">
                  <c:v>68.252743918461903</c:v>
                </c:pt>
                <c:pt idx="35">
                  <c:v>68.252743918461903</c:v>
                </c:pt>
                <c:pt idx="36">
                  <c:v>68.252743918461903</c:v>
                </c:pt>
                <c:pt idx="37">
                  <c:v>68.252743918461903</c:v>
                </c:pt>
                <c:pt idx="38">
                  <c:v>68.252743918461903</c:v>
                </c:pt>
                <c:pt idx="39">
                  <c:v>68.252743918461903</c:v>
                </c:pt>
                <c:pt idx="40">
                  <c:v>68.252743918461903</c:v>
                </c:pt>
                <c:pt idx="41">
                  <c:v>68.252743918461903</c:v>
                </c:pt>
                <c:pt idx="42">
                  <c:v>68.252743918461903</c:v>
                </c:pt>
                <c:pt idx="43">
                  <c:v>68.252743918461903</c:v>
                </c:pt>
                <c:pt idx="44">
                  <c:v>68.252743918461903</c:v>
                </c:pt>
                <c:pt idx="45">
                  <c:v>68.252743918461903</c:v>
                </c:pt>
                <c:pt idx="46">
                  <c:v>68.252743918461903</c:v>
                </c:pt>
                <c:pt idx="47">
                  <c:v>68.252743918461903</c:v>
                </c:pt>
                <c:pt idx="48">
                  <c:v>68.252743918461903</c:v>
                </c:pt>
                <c:pt idx="49">
                  <c:v>68.252743918461903</c:v>
                </c:pt>
                <c:pt idx="50">
                  <c:v>68.252743918461903</c:v>
                </c:pt>
                <c:pt idx="51">
                  <c:v>68.252743918461903</c:v>
                </c:pt>
                <c:pt idx="52">
                  <c:v>68.252743918461903</c:v>
                </c:pt>
                <c:pt idx="53">
                  <c:v>68.252743918461903</c:v>
                </c:pt>
                <c:pt idx="54">
                  <c:v>68.252743918461903</c:v>
                </c:pt>
                <c:pt idx="55">
                  <c:v>68.252743918461903</c:v>
                </c:pt>
                <c:pt idx="56">
                  <c:v>68.252743918461903</c:v>
                </c:pt>
                <c:pt idx="57">
                  <c:v>68.252743918461903</c:v>
                </c:pt>
                <c:pt idx="58">
                  <c:v>68.252743918461903</c:v>
                </c:pt>
                <c:pt idx="59">
                  <c:v>68.252743918461903</c:v>
                </c:pt>
                <c:pt idx="60">
                  <c:v>68.252743918461903</c:v>
                </c:pt>
                <c:pt idx="61">
                  <c:v>68.252743918461903</c:v>
                </c:pt>
                <c:pt idx="62">
                  <c:v>68.252743918461903</c:v>
                </c:pt>
                <c:pt idx="63">
                  <c:v>68.252743918461903</c:v>
                </c:pt>
                <c:pt idx="64">
                  <c:v>68.252743918461903</c:v>
                </c:pt>
                <c:pt idx="65">
                  <c:v>68.252743918461903</c:v>
                </c:pt>
                <c:pt idx="66">
                  <c:v>68.252743918461903</c:v>
                </c:pt>
                <c:pt idx="67">
                  <c:v>68.252743918461903</c:v>
                </c:pt>
                <c:pt idx="68">
                  <c:v>68.252743918461903</c:v>
                </c:pt>
                <c:pt idx="69">
                  <c:v>68.252743918461903</c:v>
                </c:pt>
                <c:pt idx="70">
                  <c:v>68.252743918461903</c:v>
                </c:pt>
                <c:pt idx="71">
                  <c:v>68.252743918461903</c:v>
                </c:pt>
                <c:pt idx="72">
                  <c:v>68.252743918461903</c:v>
                </c:pt>
                <c:pt idx="73">
                  <c:v>68.252743918461903</c:v>
                </c:pt>
                <c:pt idx="74">
                  <c:v>68.252743918461903</c:v>
                </c:pt>
                <c:pt idx="75">
                  <c:v>68.252743918461903</c:v>
                </c:pt>
                <c:pt idx="76">
                  <c:v>68.252743918461903</c:v>
                </c:pt>
                <c:pt idx="77">
                  <c:v>68.252743918461903</c:v>
                </c:pt>
                <c:pt idx="78">
                  <c:v>68.252743918461903</c:v>
                </c:pt>
                <c:pt idx="79">
                  <c:v>68.252743918461903</c:v>
                </c:pt>
                <c:pt idx="80">
                  <c:v>68.252743918461903</c:v>
                </c:pt>
                <c:pt idx="81">
                  <c:v>68.252743918461903</c:v>
                </c:pt>
                <c:pt idx="82">
                  <c:v>68.252743918461903</c:v>
                </c:pt>
                <c:pt idx="83">
                  <c:v>68.252743918461903</c:v>
                </c:pt>
                <c:pt idx="84">
                  <c:v>68.252743918461903</c:v>
                </c:pt>
                <c:pt idx="85">
                  <c:v>68.252743918461903</c:v>
                </c:pt>
                <c:pt idx="86">
                  <c:v>68.252743918461903</c:v>
                </c:pt>
                <c:pt idx="87">
                  <c:v>68.252743918461903</c:v>
                </c:pt>
                <c:pt idx="88">
                  <c:v>68.252743918461903</c:v>
                </c:pt>
                <c:pt idx="89">
                  <c:v>68.252743918461903</c:v>
                </c:pt>
                <c:pt idx="90">
                  <c:v>68.252743918461903</c:v>
                </c:pt>
                <c:pt idx="91">
                  <c:v>68.252743918461903</c:v>
                </c:pt>
                <c:pt idx="92">
                  <c:v>68.252743918461903</c:v>
                </c:pt>
                <c:pt idx="93">
                  <c:v>68.252743918461903</c:v>
                </c:pt>
                <c:pt idx="94">
                  <c:v>68.252743918461903</c:v>
                </c:pt>
                <c:pt idx="95">
                  <c:v>68.252743918461903</c:v>
                </c:pt>
                <c:pt idx="96">
                  <c:v>68.252743918461903</c:v>
                </c:pt>
                <c:pt idx="97">
                  <c:v>68.252743918461903</c:v>
                </c:pt>
                <c:pt idx="98">
                  <c:v>68.252743918461903</c:v>
                </c:pt>
                <c:pt idx="99">
                  <c:v>68.252743918461903</c:v>
                </c:pt>
                <c:pt idx="100">
                  <c:v>68.252743918461903</c:v>
                </c:pt>
                <c:pt idx="101">
                  <c:v>68.252743918461903</c:v>
                </c:pt>
                <c:pt idx="102">
                  <c:v>68.252743918461903</c:v>
                </c:pt>
                <c:pt idx="103">
                  <c:v>68.252743918461903</c:v>
                </c:pt>
                <c:pt idx="104">
                  <c:v>68.252743918461903</c:v>
                </c:pt>
                <c:pt idx="105">
                  <c:v>68.252743918461903</c:v>
                </c:pt>
                <c:pt idx="106">
                  <c:v>68.252743918461903</c:v>
                </c:pt>
                <c:pt idx="107">
                  <c:v>68.252743918461903</c:v>
                </c:pt>
                <c:pt idx="108">
                  <c:v>68.252743918461903</c:v>
                </c:pt>
                <c:pt idx="109">
                  <c:v>68.252743918461903</c:v>
                </c:pt>
                <c:pt idx="110">
                  <c:v>68.252743918461903</c:v>
                </c:pt>
                <c:pt idx="111">
                  <c:v>68.252743918461903</c:v>
                </c:pt>
                <c:pt idx="112">
                  <c:v>68.252743918461903</c:v>
                </c:pt>
                <c:pt idx="113">
                  <c:v>68.252743918461903</c:v>
                </c:pt>
                <c:pt idx="114">
                  <c:v>68.252743918461903</c:v>
                </c:pt>
                <c:pt idx="115">
                  <c:v>68.252743918461903</c:v>
                </c:pt>
                <c:pt idx="116">
                  <c:v>68.252743918461903</c:v>
                </c:pt>
                <c:pt idx="117">
                  <c:v>68.252743918461903</c:v>
                </c:pt>
                <c:pt idx="118">
                  <c:v>68.252743918461903</c:v>
                </c:pt>
                <c:pt idx="119">
                  <c:v>68.252743918461903</c:v>
                </c:pt>
                <c:pt idx="120">
                  <c:v>68.252743918461903</c:v>
                </c:pt>
                <c:pt idx="121">
                  <c:v>68.252743918461903</c:v>
                </c:pt>
                <c:pt idx="122">
                  <c:v>68.252743918461903</c:v>
                </c:pt>
                <c:pt idx="123">
                  <c:v>68.252743918461903</c:v>
                </c:pt>
                <c:pt idx="124">
                  <c:v>68.252743918461903</c:v>
                </c:pt>
                <c:pt idx="125">
                  <c:v>68.252743918461903</c:v>
                </c:pt>
                <c:pt idx="126">
                  <c:v>68.252743918461903</c:v>
                </c:pt>
                <c:pt idx="127">
                  <c:v>68.252743918461903</c:v>
                </c:pt>
                <c:pt idx="128">
                  <c:v>68.252743918461903</c:v>
                </c:pt>
                <c:pt idx="129">
                  <c:v>68.252743918461903</c:v>
                </c:pt>
                <c:pt idx="130">
                  <c:v>68.252743918461903</c:v>
                </c:pt>
                <c:pt idx="131">
                  <c:v>68.252743918461903</c:v>
                </c:pt>
                <c:pt idx="132">
                  <c:v>68.252743918461903</c:v>
                </c:pt>
                <c:pt idx="133">
                  <c:v>68.252743918461903</c:v>
                </c:pt>
                <c:pt idx="134">
                  <c:v>68.252743918461903</c:v>
                </c:pt>
                <c:pt idx="135">
                  <c:v>68.252743918461903</c:v>
                </c:pt>
                <c:pt idx="136">
                  <c:v>68.252743918461903</c:v>
                </c:pt>
                <c:pt idx="137">
                  <c:v>68.252743918461903</c:v>
                </c:pt>
                <c:pt idx="138">
                  <c:v>68.252743918461903</c:v>
                </c:pt>
                <c:pt idx="139">
                  <c:v>68.252743918461903</c:v>
                </c:pt>
                <c:pt idx="140">
                  <c:v>68.252743918461903</c:v>
                </c:pt>
                <c:pt idx="141">
                  <c:v>68.252743918461903</c:v>
                </c:pt>
                <c:pt idx="142">
                  <c:v>68.252743918461903</c:v>
                </c:pt>
                <c:pt idx="143">
                  <c:v>68.252743918461903</c:v>
                </c:pt>
                <c:pt idx="144">
                  <c:v>68.252743918461903</c:v>
                </c:pt>
                <c:pt idx="145">
                  <c:v>68.252743918461903</c:v>
                </c:pt>
                <c:pt idx="146">
                  <c:v>68.252743918461903</c:v>
                </c:pt>
                <c:pt idx="147">
                  <c:v>68.252743918461903</c:v>
                </c:pt>
                <c:pt idx="148">
                  <c:v>68.252743918461903</c:v>
                </c:pt>
                <c:pt idx="149">
                  <c:v>68.252743918461903</c:v>
                </c:pt>
                <c:pt idx="150">
                  <c:v>68.252743918461903</c:v>
                </c:pt>
                <c:pt idx="151">
                  <c:v>68.252743918461903</c:v>
                </c:pt>
                <c:pt idx="152">
                  <c:v>68.252743918461903</c:v>
                </c:pt>
                <c:pt idx="153">
                  <c:v>68.252743918461903</c:v>
                </c:pt>
                <c:pt idx="154">
                  <c:v>68.252743918461903</c:v>
                </c:pt>
                <c:pt idx="155">
                  <c:v>68.252743918461903</c:v>
                </c:pt>
                <c:pt idx="156">
                  <c:v>68.252743918461903</c:v>
                </c:pt>
                <c:pt idx="157">
                  <c:v>68.252743918461903</c:v>
                </c:pt>
                <c:pt idx="158">
                  <c:v>68.252743918461903</c:v>
                </c:pt>
                <c:pt idx="159">
                  <c:v>68.252743918461903</c:v>
                </c:pt>
                <c:pt idx="160">
                  <c:v>68.252743918461903</c:v>
                </c:pt>
                <c:pt idx="161">
                  <c:v>68.252743918461903</c:v>
                </c:pt>
                <c:pt idx="162">
                  <c:v>68.252743918461903</c:v>
                </c:pt>
                <c:pt idx="163">
                  <c:v>68.252743918461903</c:v>
                </c:pt>
                <c:pt idx="164">
                  <c:v>68.252743918461903</c:v>
                </c:pt>
                <c:pt idx="165">
                  <c:v>68.252743918461903</c:v>
                </c:pt>
                <c:pt idx="166">
                  <c:v>68.252743918461903</c:v>
                </c:pt>
                <c:pt idx="167">
                  <c:v>68.252743918461903</c:v>
                </c:pt>
                <c:pt idx="168">
                  <c:v>68.252743918461903</c:v>
                </c:pt>
                <c:pt idx="169">
                  <c:v>68.252743918461903</c:v>
                </c:pt>
                <c:pt idx="170">
                  <c:v>68.252743918461903</c:v>
                </c:pt>
                <c:pt idx="171">
                  <c:v>68.252743918461903</c:v>
                </c:pt>
                <c:pt idx="172">
                  <c:v>68.252743918461903</c:v>
                </c:pt>
                <c:pt idx="173">
                  <c:v>68.252743918461903</c:v>
                </c:pt>
                <c:pt idx="174">
                  <c:v>68.252743918461903</c:v>
                </c:pt>
                <c:pt idx="175">
                  <c:v>68.252743918461903</c:v>
                </c:pt>
                <c:pt idx="176">
                  <c:v>68.252743918461903</c:v>
                </c:pt>
                <c:pt idx="177">
                  <c:v>68.252743918461903</c:v>
                </c:pt>
                <c:pt idx="178">
                  <c:v>68.252743918461903</c:v>
                </c:pt>
                <c:pt idx="179">
                  <c:v>68.252743918461903</c:v>
                </c:pt>
                <c:pt idx="180">
                  <c:v>68.252743918461903</c:v>
                </c:pt>
                <c:pt idx="181">
                  <c:v>68.252743918461903</c:v>
                </c:pt>
                <c:pt idx="182">
                  <c:v>68.252743918461903</c:v>
                </c:pt>
                <c:pt idx="183">
                  <c:v>68.252743918461903</c:v>
                </c:pt>
                <c:pt idx="184">
                  <c:v>68.252743918461903</c:v>
                </c:pt>
                <c:pt idx="185">
                  <c:v>68.252743918461903</c:v>
                </c:pt>
                <c:pt idx="186">
                  <c:v>68.252743918461903</c:v>
                </c:pt>
                <c:pt idx="187">
                  <c:v>68.252743918461903</c:v>
                </c:pt>
                <c:pt idx="188">
                  <c:v>68.252743918461903</c:v>
                </c:pt>
                <c:pt idx="189">
                  <c:v>68.252743918461903</c:v>
                </c:pt>
                <c:pt idx="190">
                  <c:v>68.252743918461903</c:v>
                </c:pt>
                <c:pt idx="191">
                  <c:v>68.252743918461903</c:v>
                </c:pt>
                <c:pt idx="192">
                  <c:v>68.252743918461903</c:v>
                </c:pt>
                <c:pt idx="193">
                  <c:v>68.252743918461903</c:v>
                </c:pt>
                <c:pt idx="194">
                  <c:v>68.252743918461903</c:v>
                </c:pt>
                <c:pt idx="195">
                  <c:v>68.252743918461903</c:v>
                </c:pt>
                <c:pt idx="196">
                  <c:v>68.252743918461903</c:v>
                </c:pt>
                <c:pt idx="197">
                  <c:v>68.252743918461903</c:v>
                </c:pt>
                <c:pt idx="198">
                  <c:v>68.252743918461903</c:v>
                </c:pt>
                <c:pt idx="199">
                  <c:v>68.252743918461903</c:v>
                </c:pt>
                <c:pt idx="200">
                  <c:v>68.252743918461903</c:v>
                </c:pt>
                <c:pt idx="201">
                  <c:v>68.252743918461903</c:v>
                </c:pt>
                <c:pt idx="202">
                  <c:v>68.252743918461903</c:v>
                </c:pt>
                <c:pt idx="203">
                  <c:v>68.252743918461903</c:v>
                </c:pt>
                <c:pt idx="204">
                  <c:v>68.252743918461903</c:v>
                </c:pt>
                <c:pt idx="205">
                  <c:v>68.252743918461903</c:v>
                </c:pt>
                <c:pt idx="206">
                  <c:v>68.252743918461903</c:v>
                </c:pt>
                <c:pt idx="207">
                  <c:v>68.252743918461903</c:v>
                </c:pt>
                <c:pt idx="208">
                  <c:v>68.252743918461903</c:v>
                </c:pt>
                <c:pt idx="209">
                  <c:v>68.252743918461903</c:v>
                </c:pt>
                <c:pt idx="210">
                  <c:v>68.252743918461903</c:v>
                </c:pt>
                <c:pt idx="211">
                  <c:v>68.252743918461903</c:v>
                </c:pt>
                <c:pt idx="212">
                  <c:v>68.252743918461903</c:v>
                </c:pt>
                <c:pt idx="213">
                  <c:v>68.252743918461903</c:v>
                </c:pt>
                <c:pt idx="214">
                  <c:v>68.252743918461903</c:v>
                </c:pt>
                <c:pt idx="215">
                  <c:v>68.252743918461903</c:v>
                </c:pt>
                <c:pt idx="216">
                  <c:v>68.252743918461903</c:v>
                </c:pt>
                <c:pt idx="217">
                  <c:v>68.252743918461903</c:v>
                </c:pt>
                <c:pt idx="218">
                  <c:v>68.252743918461903</c:v>
                </c:pt>
                <c:pt idx="219">
                  <c:v>68.252743918461903</c:v>
                </c:pt>
                <c:pt idx="220">
                  <c:v>68.252743918461903</c:v>
                </c:pt>
                <c:pt idx="221">
                  <c:v>68.252743918461903</c:v>
                </c:pt>
                <c:pt idx="222">
                  <c:v>68.252743918461903</c:v>
                </c:pt>
                <c:pt idx="223">
                  <c:v>68.252743918461903</c:v>
                </c:pt>
                <c:pt idx="224">
                  <c:v>68.252743918461903</c:v>
                </c:pt>
                <c:pt idx="225">
                  <c:v>68.252743918461903</c:v>
                </c:pt>
                <c:pt idx="226">
                  <c:v>68.252743918461903</c:v>
                </c:pt>
                <c:pt idx="227">
                  <c:v>68.252743918461903</c:v>
                </c:pt>
                <c:pt idx="228">
                  <c:v>68.252743918461903</c:v>
                </c:pt>
                <c:pt idx="229">
                  <c:v>68.252743918461903</c:v>
                </c:pt>
                <c:pt idx="230">
                  <c:v>68.252743918461903</c:v>
                </c:pt>
                <c:pt idx="231">
                  <c:v>68.252743918461903</c:v>
                </c:pt>
                <c:pt idx="232">
                  <c:v>68.252743918461903</c:v>
                </c:pt>
                <c:pt idx="233">
                  <c:v>68.252743918461903</c:v>
                </c:pt>
                <c:pt idx="234">
                  <c:v>68.252743918461903</c:v>
                </c:pt>
                <c:pt idx="235">
                  <c:v>68.252743918461903</c:v>
                </c:pt>
                <c:pt idx="236">
                  <c:v>68.252743918461903</c:v>
                </c:pt>
                <c:pt idx="237">
                  <c:v>68.252743918461903</c:v>
                </c:pt>
                <c:pt idx="238">
                  <c:v>68.252743918461903</c:v>
                </c:pt>
                <c:pt idx="239">
                  <c:v>68.252743918461903</c:v>
                </c:pt>
                <c:pt idx="240">
                  <c:v>68.252743918461903</c:v>
                </c:pt>
                <c:pt idx="241">
                  <c:v>68.252743918461903</c:v>
                </c:pt>
                <c:pt idx="242">
                  <c:v>68.252743918461903</c:v>
                </c:pt>
                <c:pt idx="243">
                  <c:v>68.252743918461903</c:v>
                </c:pt>
                <c:pt idx="244">
                  <c:v>68.252743918461903</c:v>
                </c:pt>
                <c:pt idx="245">
                  <c:v>68.252743918461903</c:v>
                </c:pt>
                <c:pt idx="246">
                  <c:v>68.252743918461903</c:v>
                </c:pt>
                <c:pt idx="247">
                  <c:v>68.252743918461903</c:v>
                </c:pt>
                <c:pt idx="248">
                  <c:v>68.252743918461903</c:v>
                </c:pt>
                <c:pt idx="249">
                  <c:v>68.252743918461903</c:v>
                </c:pt>
                <c:pt idx="250">
                  <c:v>68.252743918461903</c:v>
                </c:pt>
                <c:pt idx="251">
                  <c:v>68.252743918461903</c:v>
                </c:pt>
                <c:pt idx="252">
                  <c:v>68.252743918461903</c:v>
                </c:pt>
                <c:pt idx="253">
                  <c:v>68.252743918461903</c:v>
                </c:pt>
                <c:pt idx="254">
                  <c:v>68.252743918461903</c:v>
                </c:pt>
                <c:pt idx="255">
                  <c:v>68.252743918461903</c:v>
                </c:pt>
                <c:pt idx="256">
                  <c:v>68.252743918461903</c:v>
                </c:pt>
                <c:pt idx="257">
                  <c:v>68.252743918461903</c:v>
                </c:pt>
                <c:pt idx="258">
                  <c:v>68.252743918461903</c:v>
                </c:pt>
                <c:pt idx="259">
                  <c:v>68.252743918461903</c:v>
                </c:pt>
                <c:pt idx="260">
                  <c:v>68.252743918461903</c:v>
                </c:pt>
                <c:pt idx="261">
                  <c:v>68.252743918461903</c:v>
                </c:pt>
                <c:pt idx="262">
                  <c:v>68.252743918461903</c:v>
                </c:pt>
                <c:pt idx="263">
                  <c:v>68.252743918461903</c:v>
                </c:pt>
                <c:pt idx="264">
                  <c:v>68.252743918461903</c:v>
                </c:pt>
                <c:pt idx="265">
                  <c:v>68.252743918461903</c:v>
                </c:pt>
                <c:pt idx="266">
                  <c:v>68.252743918461903</c:v>
                </c:pt>
                <c:pt idx="267">
                  <c:v>68.252743918461903</c:v>
                </c:pt>
                <c:pt idx="268">
                  <c:v>68.252743918461903</c:v>
                </c:pt>
                <c:pt idx="269">
                  <c:v>68.252743918461903</c:v>
                </c:pt>
                <c:pt idx="270">
                  <c:v>68.252743918461903</c:v>
                </c:pt>
                <c:pt idx="271">
                  <c:v>68.252743918461903</c:v>
                </c:pt>
                <c:pt idx="272">
                  <c:v>68.252743918461903</c:v>
                </c:pt>
                <c:pt idx="273">
                  <c:v>68.252743918461903</c:v>
                </c:pt>
                <c:pt idx="274">
                  <c:v>68.252743918461903</c:v>
                </c:pt>
                <c:pt idx="275">
                  <c:v>68.252743918461903</c:v>
                </c:pt>
                <c:pt idx="276">
                  <c:v>68.252743918461903</c:v>
                </c:pt>
                <c:pt idx="277">
                  <c:v>68.252743918461903</c:v>
                </c:pt>
                <c:pt idx="278">
                  <c:v>68.252743918461903</c:v>
                </c:pt>
                <c:pt idx="279">
                  <c:v>68.252743918461903</c:v>
                </c:pt>
                <c:pt idx="280">
                  <c:v>68.252743918461903</c:v>
                </c:pt>
                <c:pt idx="281">
                  <c:v>68.252743918461903</c:v>
                </c:pt>
                <c:pt idx="282">
                  <c:v>68.252743918461903</c:v>
                </c:pt>
                <c:pt idx="283">
                  <c:v>68.252743918461903</c:v>
                </c:pt>
                <c:pt idx="284">
                  <c:v>68.252743918461903</c:v>
                </c:pt>
                <c:pt idx="285">
                  <c:v>68.252743918461903</c:v>
                </c:pt>
                <c:pt idx="286">
                  <c:v>68.252743918461903</c:v>
                </c:pt>
                <c:pt idx="287">
                  <c:v>68.252743918461903</c:v>
                </c:pt>
                <c:pt idx="288">
                  <c:v>68.252743918461903</c:v>
                </c:pt>
                <c:pt idx="289">
                  <c:v>68.252743918461903</c:v>
                </c:pt>
                <c:pt idx="290">
                  <c:v>68.252743918461903</c:v>
                </c:pt>
                <c:pt idx="291">
                  <c:v>68.252743918461903</c:v>
                </c:pt>
                <c:pt idx="292">
                  <c:v>68.252743918461903</c:v>
                </c:pt>
                <c:pt idx="293">
                  <c:v>68.252743918461903</c:v>
                </c:pt>
                <c:pt idx="294">
                  <c:v>68.252743918461903</c:v>
                </c:pt>
                <c:pt idx="295">
                  <c:v>68.252743918461903</c:v>
                </c:pt>
                <c:pt idx="296">
                  <c:v>68.252743918461903</c:v>
                </c:pt>
                <c:pt idx="297">
                  <c:v>68.252743918461903</c:v>
                </c:pt>
                <c:pt idx="298">
                  <c:v>68.252743918461903</c:v>
                </c:pt>
                <c:pt idx="299">
                  <c:v>68.252743918461903</c:v>
                </c:pt>
                <c:pt idx="300">
                  <c:v>68.252743918461903</c:v>
                </c:pt>
                <c:pt idx="301">
                  <c:v>68.252743918461903</c:v>
                </c:pt>
                <c:pt idx="302">
                  <c:v>68.252743918461903</c:v>
                </c:pt>
                <c:pt idx="303">
                  <c:v>68.252743918461903</c:v>
                </c:pt>
                <c:pt idx="304">
                  <c:v>68.252743918461903</c:v>
                </c:pt>
                <c:pt idx="305">
                  <c:v>68.252743918461903</c:v>
                </c:pt>
                <c:pt idx="306">
                  <c:v>68.252743918461903</c:v>
                </c:pt>
                <c:pt idx="307">
                  <c:v>68.252743918461903</c:v>
                </c:pt>
                <c:pt idx="308">
                  <c:v>68.252743918461903</c:v>
                </c:pt>
                <c:pt idx="309">
                  <c:v>68.252743918461903</c:v>
                </c:pt>
                <c:pt idx="310">
                  <c:v>68.252743918461903</c:v>
                </c:pt>
                <c:pt idx="311">
                  <c:v>68.252743918461903</c:v>
                </c:pt>
                <c:pt idx="312">
                  <c:v>68.252743918461903</c:v>
                </c:pt>
                <c:pt idx="313">
                  <c:v>68.252743918461903</c:v>
                </c:pt>
                <c:pt idx="314">
                  <c:v>68.252743918461903</c:v>
                </c:pt>
                <c:pt idx="315">
                  <c:v>68.252743918461903</c:v>
                </c:pt>
                <c:pt idx="316">
                  <c:v>68.252743918461903</c:v>
                </c:pt>
                <c:pt idx="317">
                  <c:v>68.252743918461903</c:v>
                </c:pt>
                <c:pt idx="318">
                  <c:v>68.252743918461903</c:v>
                </c:pt>
                <c:pt idx="319">
                  <c:v>68.252743918461903</c:v>
                </c:pt>
                <c:pt idx="320">
                  <c:v>68.252743918461903</c:v>
                </c:pt>
                <c:pt idx="321">
                  <c:v>68.252743918461903</c:v>
                </c:pt>
                <c:pt idx="322">
                  <c:v>68.252743918461903</c:v>
                </c:pt>
                <c:pt idx="323">
                  <c:v>68.252743918461903</c:v>
                </c:pt>
                <c:pt idx="324">
                  <c:v>68.252743918461903</c:v>
                </c:pt>
                <c:pt idx="325">
                  <c:v>68.252743918461903</c:v>
                </c:pt>
                <c:pt idx="326">
                  <c:v>68.252743918461903</c:v>
                </c:pt>
                <c:pt idx="327">
                  <c:v>68.252743918461903</c:v>
                </c:pt>
                <c:pt idx="328">
                  <c:v>68.252743918461903</c:v>
                </c:pt>
                <c:pt idx="329">
                  <c:v>68.252743918461903</c:v>
                </c:pt>
                <c:pt idx="330">
                  <c:v>68.252743918461903</c:v>
                </c:pt>
                <c:pt idx="331">
                  <c:v>68.252743918461903</c:v>
                </c:pt>
                <c:pt idx="332">
                  <c:v>68.252743918461903</c:v>
                </c:pt>
                <c:pt idx="333">
                  <c:v>68.252743918461903</c:v>
                </c:pt>
                <c:pt idx="334">
                  <c:v>68.252743918461903</c:v>
                </c:pt>
                <c:pt idx="335">
                  <c:v>68.252743918461903</c:v>
                </c:pt>
                <c:pt idx="336">
                  <c:v>68.252743918461903</c:v>
                </c:pt>
                <c:pt idx="337">
                  <c:v>68.252743918461903</c:v>
                </c:pt>
                <c:pt idx="338">
                  <c:v>68.252743918461903</c:v>
                </c:pt>
                <c:pt idx="339">
                  <c:v>68.252743918461903</c:v>
                </c:pt>
                <c:pt idx="340">
                  <c:v>68.252743918461903</c:v>
                </c:pt>
                <c:pt idx="341">
                  <c:v>68.252743918461903</c:v>
                </c:pt>
                <c:pt idx="342">
                  <c:v>68.252743918461903</c:v>
                </c:pt>
                <c:pt idx="343">
                  <c:v>68.252743918461903</c:v>
                </c:pt>
                <c:pt idx="344">
                  <c:v>68.252743918461903</c:v>
                </c:pt>
                <c:pt idx="345">
                  <c:v>68.252743918461903</c:v>
                </c:pt>
                <c:pt idx="346">
                  <c:v>68.252743918461903</c:v>
                </c:pt>
                <c:pt idx="347">
                  <c:v>68.252743918461903</c:v>
                </c:pt>
                <c:pt idx="348">
                  <c:v>68.252743918461903</c:v>
                </c:pt>
                <c:pt idx="349">
                  <c:v>68.252743918461903</c:v>
                </c:pt>
                <c:pt idx="350">
                  <c:v>68.252743918461903</c:v>
                </c:pt>
                <c:pt idx="351">
                  <c:v>68.252743918461903</c:v>
                </c:pt>
                <c:pt idx="352">
                  <c:v>68.252743918461903</c:v>
                </c:pt>
                <c:pt idx="353">
                  <c:v>68.252743918461903</c:v>
                </c:pt>
                <c:pt idx="354">
                  <c:v>68.252743918461903</c:v>
                </c:pt>
                <c:pt idx="355">
                  <c:v>68.252743918461903</c:v>
                </c:pt>
                <c:pt idx="356">
                  <c:v>68.252743918461903</c:v>
                </c:pt>
                <c:pt idx="357">
                  <c:v>68.252743918461903</c:v>
                </c:pt>
                <c:pt idx="358">
                  <c:v>68.252743918461903</c:v>
                </c:pt>
                <c:pt idx="359">
                  <c:v>68.252743918461903</c:v>
                </c:pt>
                <c:pt idx="360">
                  <c:v>68.252743918461903</c:v>
                </c:pt>
                <c:pt idx="361">
                  <c:v>68.252743918461903</c:v>
                </c:pt>
                <c:pt idx="362">
                  <c:v>68.252743918461903</c:v>
                </c:pt>
                <c:pt idx="363">
                  <c:v>68.252743918461903</c:v>
                </c:pt>
                <c:pt idx="364">
                  <c:v>68.252743918461903</c:v>
                </c:pt>
                <c:pt idx="365">
                  <c:v>68.252743918461903</c:v>
                </c:pt>
                <c:pt idx="366">
                  <c:v>68.252743918461903</c:v>
                </c:pt>
                <c:pt idx="367">
                  <c:v>68.252743918461903</c:v>
                </c:pt>
                <c:pt idx="368">
                  <c:v>68.252743918461903</c:v>
                </c:pt>
                <c:pt idx="369">
                  <c:v>68.252743918461903</c:v>
                </c:pt>
                <c:pt idx="370">
                  <c:v>68.252743918461903</c:v>
                </c:pt>
                <c:pt idx="371">
                  <c:v>68.252743918461903</c:v>
                </c:pt>
                <c:pt idx="372">
                  <c:v>68.252743918461903</c:v>
                </c:pt>
                <c:pt idx="373">
                  <c:v>68.252743918461903</c:v>
                </c:pt>
                <c:pt idx="374">
                  <c:v>68.252743918461903</c:v>
                </c:pt>
                <c:pt idx="375">
                  <c:v>68.252743918461903</c:v>
                </c:pt>
                <c:pt idx="376">
                  <c:v>68.252743918461903</c:v>
                </c:pt>
                <c:pt idx="377">
                  <c:v>68.252743918461903</c:v>
                </c:pt>
                <c:pt idx="378">
                  <c:v>68.252743918461903</c:v>
                </c:pt>
                <c:pt idx="379">
                  <c:v>68.252743918461903</c:v>
                </c:pt>
                <c:pt idx="380">
                  <c:v>68.252743918461903</c:v>
                </c:pt>
                <c:pt idx="381">
                  <c:v>68.252743918461903</c:v>
                </c:pt>
                <c:pt idx="382">
                  <c:v>68.252743918461903</c:v>
                </c:pt>
                <c:pt idx="383">
                  <c:v>68.252743918461903</c:v>
                </c:pt>
                <c:pt idx="384">
                  <c:v>68.252743918461903</c:v>
                </c:pt>
                <c:pt idx="385">
                  <c:v>68.252743918461903</c:v>
                </c:pt>
                <c:pt idx="386">
                  <c:v>68.252743918461903</c:v>
                </c:pt>
                <c:pt idx="387">
                  <c:v>68.252743918461903</c:v>
                </c:pt>
                <c:pt idx="388">
                  <c:v>68.252743918461903</c:v>
                </c:pt>
                <c:pt idx="389">
                  <c:v>68.252743918461903</c:v>
                </c:pt>
                <c:pt idx="390">
                  <c:v>68.252743918461903</c:v>
                </c:pt>
                <c:pt idx="391">
                  <c:v>68.252743918461903</c:v>
                </c:pt>
                <c:pt idx="392">
                  <c:v>68.252743918461903</c:v>
                </c:pt>
                <c:pt idx="393">
                  <c:v>68.252743918461903</c:v>
                </c:pt>
                <c:pt idx="394">
                  <c:v>68.252743918461903</c:v>
                </c:pt>
                <c:pt idx="395">
                  <c:v>68.252743918461903</c:v>
                </c:pt>
                <c:pt idx="396">
                  <c:v>68.252743918461903</c:v>
                </c:pt>
                <c:pt idx="397">
                  <c:v>68.252743918461903</c:v>
                </c:pt>
                <c:pt idx="398">
                  <c:v>68.252743918461903</c:v>
                </c:pt>
                <c:pt idx="399">
                  <c:v>68.252743918461903</c:v>
                </c:pt>
                <c:pt idx="400">
                  <c:v>68.252743918461903</c:v>
                </c:pt>
                <c:pt idx="401">
                  <c:v>68.252743918461903</c:v>
                </c:pt>
                <c:pt idx="402">
                  <c:v>68.252743918461903</c:v>
                </c:pt>
                <c:pt idx="403">
                  <c:v>68.252743918461903</c:v>
                </c:pt>
                <c:pt idx="404">
                  <c:v>68.252743918461903</c:v>
                </c:pt>
                <c:pt idx="405">
                  <c:v>68.252743918461903</c:v>
                </c:pt>
                <c:pt idx="406">
                  <c:v>68.252743918461903</c:v>
                </c:pt>
                <c:pt idx="407">
                  <c:v>68.252743918461903</c:v>
                </c:pt>
                <c:pt idx="408">
                  <c:v>68.252743918461903</c:v>
                </c:pt>
                <c:pt idx="409">
                  <c:v>68.252743918461903</c:v>
                </c:pt>
                <c:pt idx="410">
                  <c:v>68.252743918461903</c:v>
                </c:pt>
                <c:pt idx="411">
                  <c:v>68.252743918461903</c:v>
                </c:pt>
                <c:pt idx="412">
                  <c:v>68.252743918461903</c:v>
                </c:pt>
                <c:pt idx="413">
                  <c:v>68.252743918461903</c:v>
                </c:pt>
                <c:pt idx="414">
                  <c:v>68.252743918461903</c:v>
                </c:pt>
                <c:pt idx="415">
                  <c:v>68.252743918461903</c:v>
                </c:pt>
                <c:pt idx="416">
                  <c:v>68.252743918461903</c:v>
                </c:pt>
                <c:pt idx="417">
                  <c:v>68.252743918461903</c:v>
                </c:pt>
                <c:pt idx="418">
                  <c:v>68.252743918461903</c:v>
                </c:pt>
                <c:pt idx="419">
                  <c:v>68.252743918461903</c:v>
                </c:pt>
                <c:pt idx="420">
                  <c:v>68.252743918461903</c:v>
                </c:pt>
                <c:pt idx="421">
                  <c:v>68.252743918461903</c:v>
                </c:pt>
                <c:pt idx="422">
                  <c:v>68.252743918461903</c:v>
                </c:pt>
                <c:pt idx="423">
                  <c:v>68.252743918461903</c:v>
                </c:pt>
                <c:pt idx="424">
                  <c:v>68.252743918461903</c:v>
                </c:pt>
                <c:pt idx="425">
                  <c:v>68.252743918461903</c:v>
                </c:pt>
                <c:pt idx="426">
                  <c:v>68.252743918461903</c:v>
                </c:pt>
                <c:pt idx="427">
                  <c:v>68.252743918461903</c:v>
                </c:pt>
                <c:pt idx="428">
                  <c:v>68.252743918461903</c:v>
                </c:pt>
                <c:pt idx="429">
                  <c:v>68.252743918461903</c:v>
                </c:pt>
                <c:pt idx="430">
                  <c:v>68.252743918461903</c:v>
                </c:pt>
                <c:pt idx="431">
                  <c:v>68.252743918461903</c:v>
                </c:pt>
                <c:pt idx="432">
                  <c:v>68.252743918461903</c:v>
                </c:pt>
                <c:pt idx="433">
                  <c:v>68.252743918461903</c:v>
                </c:pt>
                <c:pt idx="434">
                  <c:v>68.252743918461903</c:v>
                </c:pt>
                <c:pt idx="435">
                  <c:v>68.252743918461903</c:v>
                </c:pt>
                <c:pt idx="436">
                  <c:v>68.252743918461903</c:v>
                </c:pt>
                <c:pt idx="437">
                  <c:v>68.252743918461903</c:v>
                </c:pt>
                <c:pt idx="438">
                  <c:v>68.252743918461903</c:v>
                </c:pt>
                <c:pt idx="439">
                  <c:v>68.252743918461903</c:v>
                </c:pt>
                <c:pt idx="440">
                  <c:v>68.252743918461903</c:v>
                </c:pt>
                <c:pt idx="441">
                  <c:v>68.252743918461903</c:v>
                </c:pt>
                <c:pt idx="442">
                  <c:v>68.252743918461903</c:v>
                </c:pt>
                <c:pt idx="443">
                  <c:v>68.252743918461903</c:v>
                </c:pt>
                <c:pt idx="444">
                  <c:v>68.252743918461903</c:v>
                </c:pt>
                <c:pt idx="445">
                  <c:v>68.252743918461903</c:v>
                </c:pt>
                <c:pt idx="446">
                  <c:v>68.252743918461903</c:v>
                </c:pt>
                <c:pt idx="447">
                  <c:v>68.252743918461903</c:v>
                </c:pt>
                <c:pt idx="448">
                  <c:v>68.252743918461903</c:v>
                </c:pt>
                <c:pt idx="449">
                  <c:v>68.252743918461903</c:v>
                </c:pt>
                <c:pt idx="450">
                  <c:v>68.252743918461903</c:v>
                </c:pt>
                <c:pt idx="451">
                  <c:v>68.252743918461903</c:v>
                </c:pt>
                <c:pt idx="452">
                  <c:v>68.252743918461903</c:v>
                </c:pt>
                <c:pt idx="453">
                  <c:v>68.252743918461903</c:v>
                </c:pt>
                <c:pt idx="454">
                  <c:v>68.252743918461903</c:v>
                </c:pt>
                <c:pt idx="455">
                  <c:v>68.252743918461903</c:v>
                </c:pt>
                <c:pt idx="456">
                  <c:v>68.252743918461903</c:v>
                </c:pt>
                <c:pt idx="457">
                  <c:v>68.252743918461903</c:v>
                </c:pt>
                <c:pt idx="458">
                  <c:v>68.252743918461903</c:v>
                </c:pt>
                <c:pt idx="459">
                  <c:v>68.252743918461903</c:v>
                </c:pt>
                <c:pt idx="460">
                  <c:v>68.252743918461903</c:v>
                </c:pt>
                <c:pt idx="461">
                  <c:v>68.252743918461903</c:v>
                </c:pt>
                <c:pt idx="462">
                  <c:v>68.252743918461903</c:v>
                </c:pt>
                <c:pt idx="463">
                  <c:v>68.252743918461903</c:v>
                </c:pt>
                <c:pt idx="464">
                  <c:v>68.252743918461903</c:v>
                </c:pt>
                <c:pt idx="465">
                  <c:v>68.252743918461903</c:v>
                </c:pt>
                <c:pt idx="466">
                  <c:v>68.252743918461903</c:v>
                </c:pt>
                <c:pt idx="467">
                  <c:v>68.252743918461903</c:v>
                </c:pt>
                <c:pt idx="468">
                  <c:v>68.252743918461903</c:v>
                </c:pt>
                <c:pt idx="469">
                  <c:v>68.252743918461903</c:v>
                </c:pt>
                <c:pt idx="470">
                  <c:v>68.252743918461903</c:v>
                </c:pt>
                <c:pt idx="471">
                  <c:v>68.252743918461903</c:v>
                </c:pt>
                <c:pt idx="472">
                  <c:v>68.252743918461903</c:v>
                </c:pt>
                <c:pt idx="473">
                  <c:v>68.252743918461903</c:v>
                </c:pt>
                <c:pt idx="474">
                  <c:v>68.252743918461903</c:v>
                </c:pt>
                <c:pt idx="475">
                  <c:v>68.252743918461903</c:v>
                </c:pt>
                <c:pt idx="476">
                  <c:v>68.252743918461903</c:v>
                </c:pt>
                <c:pt idx="477">
                  <c:v>68.252743918461903</c:v>
                </c:pt>
                <c:pt idx="478">
                  <c:v>68.252743918461903</c:v>
                </c:pt>
                <c:pt idx="479">
                  <c:v>68.252743918461903</c:v>
                </c:pt>
                <c:pt idx="480">
                  <c:v>68.252743918461903</c:v>
                </c:pt>
                <c:pt idx="481">
                  <c:v>68.252743918461903</c:v>
                </c:pt>
                <c:pt idx="482">
                  <c:v>68.252743918461903</c:v>
                </c:pt>
                <c:pt idx="483">
                  <c:v>68.252743918461903</c:v>
                </c:pt>
                <c:pt idx="484">
                  <c:v>68.252743918461903</c:v>
                </c:pt>
                <c:pt idx="485">
                  <c:v>68.252743918461903</c:v>
                </c:pt>
                <c:pt idx="486">
                  <c:v>68.252743918461903</c:v>
                </c:pt>
                <c:pt idx="487">
                  <c:v>68.252743918461903</c:v>
                </c:pt>
                <c:pt idx="488">
                  <c:v>68.252743918461903</c:v>
                </c:pt>
                <c:pt idx="489">
                  <c:v>68.252743918461903</c:v>
                </c:pt>
                <c:pt idx="490">
                  <c:v>68.252743918461903</c:v>
                </c:pt>
                <c:pt idx="491">
                  <c:v>68.252743918461903</c:v>
                </c:pt>
                <c:pt idx="492">
                  <c:v>68.252743918461903</c:v>
                </c:pt>
                <c:pt idx="493">
                  <c:v>68.252743918461903</c:v>
                </c:pt>
                <c:pt idx="494">
                  <c:v>68.252743918461903</c:v>
                </c:pt>
                <c:pt idx="495">
                  <c:v>68.252743918461903</c:v>
                </c:pt>
                <c:pt idx="496">
                  <c:v>68.252743918461903</c:v>
                </c:pt>
                <c:pt idx="497">
                  <c:v>68.252743918461903</c:v>
                </c:pt>
                <c:pt idx="498">
                  <c:v>68.252743918461903</c:v>
                </c:pt>
                <c:pt idx="499">
                  <c:v>68.252743918461903</c:v>
                </c:pt>
                <c:pt idx="500">
                  <c:v>68.252743918461903</c:v>
                </c:pt>
                <c:pt idx="501">
                  <c:v>68.252743918461903</c:v>
                </c:pt>
                <c:pt idx="502">
                  <c:v>68.252743918461903</c:v>
                </c:pt>
                <c:pt idx="503">
                  <c:v>68.252743918461903</c:v>
                </c:pt>
                <c:pt idx="504">
                  <c:v>68.252743918461903</c:v>
                </c:pt>
                <c:pt idx="505">
                  <c:v>68.252743918461903</c:v>
                </c:pt>
                <c:pt idx="506">
                  <c:v>68.252743918461903</c:v>
                </c:pt>
                <c:pt idx="507">
                  <c:v>68.252743918461903</c:v>
                </c:pt>
                <c:pt idx="508">
                  <c:v>68.252743918461903</c:v>
                </c:pt>
                <c:pt idx="509">
                  <c:v>68.252743918461903</c:v>
                </c:pt>
                <c:pt idx="510">
                  <c:v>68.252743918461903</c:v>
                </c:pt>
                <c:pt idx="511">
                  <c:v>68.252743918461903</c:v>
                </c:pt>
                <c:pt idx="512">
                  <c:v>68.252743918461903</c:v>
                </c:pt>
                <c:pt idx="513">
                  <c:v>68.252743918461903</c:v>
                </c:pt>
                <c:pt idx="514">
                  <c:v>68.252743918461903</c:v>
                </c:pt>
                <c:pt idx="515">
                  <c:v>68.252743918461903</c:v>
                </c:pt>
                <c:pt idx="516">
                  <c:v>68.252743918461903</c:v>
                </c:pt>
                <c:pt idx="517">
                  <c:v>68.252743918461903</c:v>
                </c:pt>
                <c:pt idx="518">
                  <c:v>68.252743918461903</c:v>
                </c:pt>
                <c:pt idx="519">
                  <c:v>68.252743918461903</c:v>
                </c:pt>
                <c:pt idx="520">
                  <c:v>68.252743918461903</c:v>
                </c:pt>
                <c:pt idx="521">
                  <c:v>68.252743918461903</c:v>
                </c:pt>
                <c:pt idx="522">
                  <c:v>68.252743918461903</c:v>
                </c:pt>
                <c:pt idx="523">
                  <c:v>68.252743918461903</c:v>
                </c:pt>
                <c:pt idx="524">
                  <c:v>68.252743918461903</c:v>
                </c:pt>
                <c:pt idx="525">
                  <c:v>68.252743918461903</c:v>
                </c:pt>
                <c:pt idx="526">
                  <c:v>68.252743918461903</c:v>
                </c:pt>
                <c:pt idx="527">
                  <c:v>68.252743918461903</c:v>
                </c:pt>
                <c:pt idx="528">
                  <c:v>68.252743918461903</c:v>
                </c:pt>
                <c:pt idx="529">
                  <c:v>68.252743918461903</c:v>
                </c:pt>
                <c:pt idx="530">
                  <c:v>68.252743918461903</c:v>
                </c:pt>
                <c:pt idx="531">
                  <c:v>68.252743918461903</c:v>
                </c:pt>
                <c:pt idx="532">
                  <c:v>68.252743918461903</c:v>
                </c:pt>
                <c:pt idx="533">
                  <c:v>68.252743918461903</c:v>
                </c:pt>
                <c:pt idx="534">
                  <c:v>68.252743918461903</c:v>
                </c:pt>
                <c:pt idx="535">
                  <c:v>68.252743918461903</c:v>
                </c:pt>
                <c:pt idx="536">
                  <c:v>68.252743918461903</c:v>
                </c:pt>
                <c:pt idx="537">
                  <c:v>68.252743918461903</c:v>
                </c:pt>
                <c:pt idx="538">
                  <c:v>68.252743918461903</c:v>
                </c:pt>
                <c:pt idx="539">
                  <c:v>68.252743918461903</c:v>
                </c:pt>
                <c:pt idx="540">
                  <c:v>68.252743918461903</c:v>
                </c:pt>
                <c:pt idx="541">
                  <c:v>68.252743918461903</c:v>
                </c:pt>
                <c:pt idx="542">
                  <c:v>68.252743918461903</c:v>
                </c:pt>
                <c:pt idx="543">
                  <c:v>68.252743918461903</c:v>
                </c:pt>
                <c:pt idx="544">
                  <c:v>68.252743918461903</c:v>
                </c:pt>
                <c:pt idx="545">
                  <c:v>68.252743918461903</c:v>
                </c:pt>
                <c:pt idx="546">
                  <c:v>68.252743918461903</c:v>
                </c:pt>
                <c:pt idx="547">
                  <c:v>68.252743918461903</c:v>
                </c:pt>
                <c:pt idx="548">
                  <c:v>68.252743918461903</c:v>
                </c:pt>
                <c:pt idx="549">
                  <c:v>68.252743918461903</c:v>
                </c:pt>
                <c:pt idx="550">
                  <c:v>68.252743918461903</c:v>
                </c:pt>
                <c:pt idx="551">
                  <c:v>68.252743918461903</c:v>
                </c:pt>
                <c:pt idx="552">
                  <c:v>68.252743918461903</c:v>
                </c:pt>
                <c:pt idx="553">
                  <c:v>68.252743918461903</c:v>
                </c:pt>
                <c:pt idx="554">
                  <c:v>68.252743918461903</c:v>
                </c:pt>
                <c:pt idx="555">
                  <c:v>68.252743918461903</c:v>
                </c:pt>
                <c:pt idx="556">
                  <c:v>68.252743918461903</c:v>
                </c:pt>
                <c:pt idx="557">
                  <c:v>68.252743918461903</c:v>
                </c:pt>
                <c:pt idx="558">
                  <c:v>68.252743918461903</c:v>
                </c:pt>
                <c:pt idx="559">
                  <c:v>68.252743918461903</c:v>
                </c:pt>
                <c:pt idx="560">
                  <c:v>68.252743918461903</c:v>
                </c:pt>
                <c:pt idx="561">
                  <c:v>68.252743918461903</c:v>
                </c:pt>
                <c:pt idx="562">
                  <c:v>68.252743918461903</c:v>
                </c:pt>
                <c:pt idx="563">
                  <c:v>68.252743918461903</c:v>
                </c:pt>
                <c:pt idx="564">
                  <c:v>68.252743918461903</c:v>
                </c:pt>
                <c:pt idx="565">
                  <c:v>68.252743918461903</c:v>
                </c:pt>
                <c:pt idx="566">
                  <c:v>68.252743918461903</c:v>
                </c:pt>
                <c:pt idx="567">
                  <c:v>68.252743918461903</c:v>
                </c:pt>
                <c:pt idx="568">
                  <c:v>68.252743918461903</c:v>
                </c:pt>
                <c:pt idx="569">
                  <c:v>68.252743918461903</c:v>
                </c:pt>
                <c:pt idx="570">
                  <c:v>68.252743918461903</c:v>
                </c:pt>
                <c:pt idx="571">
                  <c:v>68.252743918461903</c:v>
                </c:pt>
                <c:pt idx="572">
                  <c:v>68.252743918461903</c:v>
                </c:pt>
                <c:pt idx="573">
                  <c:v>68.252743918461903</c:v>
                </c:pt>
                <c:pt idx="574">
                  <c:v>68.252743918461903</c:v>
                </c:pt>
                <c:pt idx="575">
                  <c:v>68.252743918461903</c:v>
                </c:pt>
                <c:pt idx="576">
                  <c:v>68.252743918461903</c:v>
                </c:pt>
                <c:pt idx="577">
                  <c:v>68.252743918461903</c:v>
                </c:pt>
                <c:pt idx="578">
                  <c:v>68.252743918461903</c:v>
                </c:pt>
                <c:pt idx="579">
                  <c:v>68.252743918461903</c:v>
                </c:pt>
                <c:pt idx="580">
                  <c:v>68.252743918461903</c:v>
                </c:pt>
                <c:pt idx="581">
                  <c:v>68.252743918461903</c:v>
                </c:pt>
                <c:pt idx="582">
                  <c:v>68.252743918461903</c:v>
                </c:pt>
                <c:pt idx="583">
                  <c:v>68.252743918461903</c:v>
                </c:pt>
                <c:pt idx="584">
                  <c:v>68.252743918461903</c:v>
                </c:pt>
                <c:pt idx="585">
                  <c:v>68.252743918461903</c:v>
                </c:pt>
                <c:pt idx="586">
                  <c:v>68.252743918461903</c:v>
                </c:pt>
                <c:pt idx="587">
                  <c:v>68.252743918461903</c:v>
                </c:pt>
                <c:pt idx="588">
                  <c:v>68.252743918461903</c:v>
                </c:pt>
                <c:pt idx="589">
                  <c:v>68.252743918461903</c:v>
                </c:pt>
                <c:pt idx="590">
                  <c:v>68.252743918461903</c:v>
                </c:pt>
                <c:pt idx="591">
                  <c:v>68.252743918461903</c:v>
                </c:pt>
                <c:pt idx="592">
                  <c:v>68.252743918461903</c:v>
                </c:pt>
                <c:pt idx="593">
                  <c:v>68.252743918461903</c:v>
                </c:pt>
                <c:pt idx="594">
                  <c:v>68.252743918461903</c:v>
                </c:pt>
                <c:pt idx="595">
                  <c:v>68.252743918461903</c:v>
                </c:pt>
                <c:pt idx="596">
                  <c:v>68.252743918461903</c:v>
                </c:pt>
                <c:pt idx="597">
                  <c:v>68.252743918461903</c:v>
                </c:pt>
                <c:pt idx="598">
                  <c:v>68.252743918461903</c:v>
                </c:pt>
                <c:pt idx="599">
                  <c:v>68.252743918461903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B3-4D18-A64A-69B25CA800BD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AOI_u_Laney!$K$11:$K$610</c:f>
              <c:numCache>
                <c:formatCode>0.0000</c:formatCode>
                <c:ptCount val="600"/>
                <c:pt idx="0">
                  <c:v>23.186666666666667</c:v>
                </c:pt>
                <c:pt idx="1">
                  <c:v>23.186666666666667</c:v>
                </c:pt>
                <c:pt idx="2">
                  <c:v>23.186666666666667</c:v>
                </c:pt>
                <c:pt idx="3">
                  <c:v>23.186666666666667</c:v>
                </c:pt>
                <c:pt idx="4">
                  <c:v>23.186666666666667</c:v>
                </c:pt>
                <c:pt idx="5">
                  <c:v>23.186666666666667</c:v>
                </c:pt>
                <c:pt idx="6">
                  <c:v>23.186666666666667</c:v>
                </c:pt>
                <c:pt idx="7">
                  <c:v>23.186666666666667</c:v>
                </c:pt>
                <c:pt idx="8">
                  <c:v>23.186666666666667</c:v>
                </c:pt>
                <c:pt idx="9">
                  <c:v>23.186666666666667</c:v>
                </c:pt>
                <c:pt idx="10">
                  <c:v>23.186666666666667</c:v>
                </c:pt>
                <c:pt idx="11">
                  <c:v>23.186666666666667</c:v>
                </c:pt>
                <c:pt idx="12">
                  <c:v>23.186666666666667</c:v>
                </c:pt>
                <c:pt idx="13">
                  <c:v>23.186666666666667</c:v>
                </c:pt>
                <c:pt idx="14">
                  <c:v>23.186666666666667</c:v>
                </c:pt>
                <c:pt idx="15">
                  <c:v>23.186666666666667</c:v>
                </c:pt>
                <c:pt idx="16">
                  <c:v>23.186666666666667</c:v>
                </c:pt>
                <c:pt idx="17">
                  <c:v>23.186666666666667</c:v>
                </c:pt>
                <c:pt idx="18">
                  <c:v>23.186666666666667</c:v>
                </c:pt>
                <c:pt idx="19">
                  <c:v>23.186666666666667</c:v>
                </c:pt>
                <c:pt idx="20">
                  <c:v>23.186666666666667</c:v>
                </c:pt>
                <c:pt idx="21">
                  <c:v>23.186666666666667</c:v>
                </c:pt>
                <c:pt idx="22">
                  <c:v>23.186666666666667</c:v>
                </c:pt>
                <c:pt idx="23">
                  <c:v>23.186666666666667</c:v>
                </c:pt>
                <c:pt idx="24">
                  <c:v>23.186666666666667</c:v>
                </c:pt>
                <c:pt idx="25">
                  <c:v>23.186666666666667</c:v>
                </c:pt>
                <c:pt idx="26">
                  <c:v>23.186666666666667</c:v>
                </c:pt>
                <c:pt idx="27">
                  <c:v>23.186666666666667</c:v>
                </c:pt>
                <c:pt idx="28">
                  <c:v>23.186666666666667</c:v>
                </c:pt>
                <c:pt idx="29">
                  <c:v>23.186666666666667</c:v>
                </c:pt>
                <c:pt idx="30">
                  <c:v>23.186666666666667</c:v>
                </c:pt>
                <c:pt idx="31">
                  <c:v>23.186666666666667</c:v>
                </c:pt>
                <c:pt idx="32">
                  <c:v>23.186666666666667</c:v>
                </c:pt>
                <c:pt idx="33">
                  <c:v>23.186666666666667</c:v>
                </c:pt>
                <c:pt idx="34">
                  <c:v>23.186666666666667</c:v>
                </c:pt>
                <c:pt idx="35">
                  <c:v>23.186666666666667</c:v>
                </c:pt>
                <c:pt idx="36">
                  <c:v>23.186666666666667</c:v>
                </c:pt>
                <c:pt idx="37">
                  <c:v>23.186666666666667</c:v>
                </c:pt>
                <c:pt idx="38">
                  <c:v>23.186666666666667</c:v>
                </c:pt>
                <c:pt idx="39">
                  <c:v>23.186666666666667</c:v>
                </c:pt>
                <c:pt idx="40">
                  <c:v>23.186666666666667</c:v>
                </c:pt>
                <c:pt idx="41">
                  <c:v>23.186666666666667</c:v>
                </c:pt>
                <c:pt idx="42">
                  <c:v>23.186666666666667</c:v>
                </c:pt>
                <c:pt idx="43">
                  <c:v>23.186666666666667</c:v>
                </c:pt>
                <c:pt idx="44">
                  <c:v>23.186666666666667</c:v>
                </c:pt>
                <c:pt idx="45">
                  <c:v>23.186666666666667</c:v>
                </c:pt>
                <c:pt idx="46">
                  <c:v>23.186666666666667</c:v>
                </c:pt>
                <c:pt idx="47">
                  <c:v>23.186666666666667</c:v>
                </c:pt>
                <c:pt idx="48">
                  <c:v>23.186666666666667</c:v>
                </c:pt>
                <c:pt idx="49">
                  <c:v>23.186666666666667</c:v>
                </c:pt>
                <c:pt idx="50">
                  <c:v>23.186666666666667</c:v>
                </c:pt>
                <c:pt idx="51">
                  <c:v>23.186666666666667</c:v>
                </c:pt>
                <c:pt idx="52">
                  <c:v>23.186666666666667</c:v>
                </c:pt>
                <c:pt idx="53">
                  <c:v>23.186666666666667</c:v>
                </c:pt>
                <c:pt idx="54">
                  <c:v>23.186666666666667</c:v>
                </c:pt>
                <c:pt idx="55">
                  <c:v>23.186666666666667</c:v>
                </c:pt>
                <c:pt idx="56">
                  <c:v>23.186666666666667</c:v>
                </c:pt>
                <c:pt idx="57">
                  <c:v>23.186666666666667</c:v>
                </c:pt>
                <c:pt idx="58">
                  <c:v>23.186666666666667</c:v>
                </c:pt>
                <c:pt idx="59">
                  <c:v>23.186666666666667</c:v>
                </c:pt>
                <c:pt idx="60">
                  <c:v>23.186666666666667</c:v>
                </c:pt>
                <c:pt idx="61">
                  <c:v>23.186666666666667</c:v>
                </c:pt>
                <c:pt idx="62">
                  <c:v>23.186666666666667</c:v>
                </c:pt>
                <c:pt idx="63">
                  <c:v>23.186666666666667</c:v>
                </c:pt>
                <c:pt idx="64">
                  <c:v>23.186666666666667</c:v>
                </c:pt>
                <c:pt idx="65">
                  <c:v>23.186666666666667</c:v>
                </c:pt>
                <c:pt idx="66">
                  <c:v>23.186666666666667</c:v>
                </c:pt>
                <c:pt idx="67">
                  <c:v>23.186666666666667</c:v>
                </c:pt>
                <c:pt idx="68">
                  <c:v>23.186666666666667</c:v>
                </c:pt>
                <c:pt idx="69">
                  <c:v>23.186666666666667</c:v>
                </c:pt>
                <c:pt idx="70">
                  <c:v>23.186666666666667</c:v>
                </c:pt>
                <c:pt idx="71">
                  <c:v>23.186666666666667</c:v>
                </c:pt>
                <c:pt idx="72">
                  <c:v>23.186666666666667</c:v>
                </c:pt>
                <c:pt idx="73">
                  <c:v>23.186666666666667</c:v>
                </c:pt>
                <c:pt idx="74">
                  <c:v>23.186666666666667</c:v>
                </c:pt>
                <c:pt idx="75">
                  <c:v>23.186666666666667</c:v>
                </c:pt>
                <c:pt idx="76">
                  <c:v>23.186666666666667</c:v>
                </c:pt>
                <c:pt idx="77">
                  <c:v>23.186666666666667</c:v>
                </c:pt>
                <c:pt idx="78">
                  <c:v>23.186666666666667</c:v>
                </c:pt>
                <c:pt idx="79">
                  <c:v>23.186666666666667</c:v>
                </c:pt>
                <c:pt idx="80">
                  <c:v>23.186666666666667</c:v>
                </c:pt>
                <c:pt idx="81">
                  <c:v>23.186666666666667</c:v>
                </c:pt>
                <c:pt idx="82">
                  <c:v>23.186666666666667</c:v>
                </c:pt>
                <c:pt idx="83">
                  <c:v>23.186666666666667</c:v>
                </c:pt>
                <c:pt idx="84">
                  <c:v>23.186666666666667</c:v>
                </c:pt>
                <c:pt idx="85">
                  <c:v>23.186666666666667</c:v>
                </c:pt>
                <c:pt idx="86">
                  <c:v>23.186666666666667</c:v>
                </c:pt>
                <c:pt idx="87">
                  <c:v>23.186666666666667</c:v>
                </c:pt>
                <c:pt idx="88">
                  <c:v>23.186666666666667</c:v>
                </c:pt>
                <c:pt idx="89">
                  <c:v>23.186666666666667</c:v>
                </c:pt>
                <c:pt idx="90">
                  <c:v>23.186666666666667</c:v>
                </c:pt>
                <c:pt idx="91">
                  <c:v>23.186666666666667</c:v>
                </c:pt>
                <c:pt idx="92">
                  <c:v>23.186666666666667</c:v>
                </c:pt>
                <c:pt idx="93">
                  <c:v>23.186666666666667</c:v>
                </c:pt>
                <c:pt idx="94">
                  <c:v>23.186666666666667</c:v>
                </c:pt>
                <c:pt idx="95">
                  <c:v>23.186666666666667</c:v>
                </c:pt>
                <c:pt idx="96">
                  <c:v>23.186666666666667</c:v>
                </c:pt>
                <c:pt idx="97">
                  <c:v>23.186666666666667</c:v>
                </c:pt>
                <c:pt idx="98">
                  <c:v>23.186666666666667</c:v>
                </c:pt>
                <c:pt idx="99">
                  <c:v>23.186666666666667</c:v>
                </c:pt>
                <c:pt idx="100">
                  <c:v>23.186666666666667</c:v>
                </c:pt>
                <c:pt idx="101">
                  <c:v>23.186666666666667</c:v>
                </c:pt>
                <c:pt idx="102">
                  <c:v>23.186666666666667</c:v>
                </c:pt>
                <c:pt idx="103">
                  <c:v>23.186666666666667</c:v>
                </c:pt>
                <c:pt idx="104">
                  <c:v>23.186666666666667</c:v>
                </c:pt>
                <c:pt idx="105">
                  <c:v>23.186666666666667</c:v>
                </c:pt>
                <c:pt idx="106">
                  <c:v>23.186666666666667</c:v>
                </c:pt>
                <c:pt idx="107">
                  <c:v>23.186666666666667</c:v>
                </c:pt>
                <c:pt idx="108">
                  <c:v>23.186666666666667</c:v>
                </c:pt>
                <c:pt idx="109">
                  <c:v>23.186666666666667</c:v>
                </c:pt>
                <c:pt idx="110">
                  <c:v>23.186666666666667</c:v>
                </c:pt>
                <c:pt idx="111">
                  <c:v>23.186666666666667</c:v>
                </c:pt>
                <c:pt idx="112">
                  <c:v>23.186666666666667</c:v>
                </c:pt>
                <c:pt idx="113">
                  <c:v>23.186666666666667</c:v>
                </c:pt>
                <c:pt idx="114">
                  <c:v>23.186666666666667</c:v>
                </c:pt>
                <c:pt idx="115">
                  <c:v>23.186666666666667</c:v>
                </c:pt>
                <c:pt idx="116">
                  <c:v>23.186666666666667</c:v>
                </c:pt>
                <c:pt idx="117">
                  <c:v>23.186666666666667</c:v>
                </c:pt>
                <c:pt idx="118">
                  <c:v>23.186666666666667</c:v>
                </c:pt>
                <c:pt idx="119">
                  <c:v>23.186666666666667</c:v>
                </c:pt>
                <c:pt idx="120">
                  <c:v>23.186666666666667</c:v>
                </c:pt>
                <c:pt idx="121">
                  <c:v>23.186666666666667</c:v>
                </c:pt>
                <c:pt idx="122">
                  <c:v>23.186666666666667</c:v>
                </c:pt>
                <c:pt idx="123">
                  <c:v>23.186666666666667</c:v>
                </c:pt>
                <c:pt idx="124">
                  <c:v>23.186666666666667</c:v>
                </c:pt>
                <c:pt idx="125">
                  <c:v>23.186666666666667</c:v>
                </c:pt>
                <c:pt idx="126">
                  <c:v>23.186666666666667</c:v>
                </c:pt>
                <c:pt idx="127">
                  <c:v>23.186666666666667</c:v>
                </c:pt>
                <c:pt idx="128">
                  <c:v>23.186666666666667</c:v>
                </c:pt>
                <c:pt idx="129">
                  <c:v>23.186666666666667</c:v>
                </c:pt>
                <c:pt idx="130">
                  <c:v>23.186666666666667</c:v>
                </c:pt>
                <c:pt idx="131">
                  <c:v>23.186666666666667</c:v>
                </c:pt>
                <c:pt idx="132">
                  <c:v>23.186666666666667</c:v>
                </c:pt>
                <c:pt idx="133">
                  <c:v>23.186666666666667</c:v>
                </c:pt>
                <c:pt idx="134">
                  <c:v>23.186666666666667</c:v>
                </c:pt>
                <c:pt idx="135">
                  <c:v>23.186666666666667</c:v>
                </c:pt>
                <c:pt idx="136">
                  <c:v>23.186666666666667</c:v>
                </c:pt>
                <c:pt idx="137">
                  <c:v>23.186666666666667</c:v>
                </c:pt>
                <c:pt idx="138">
                  <c:v>23.186666666666667</c:v>
                </c:pt>
                <c:pt idx="139">
                  <c:v>23.186666666666667</c:v>
                </c:pt>
                <c:pt idx="140">
                  <c:v>23.186666666666667</c:v>
                </c:pt>
                <c:pt idx="141">
                  <c:v>23.186666666666667</c:v>
                </c:pt>
                <c:pt idx="142">
                  <c:v>23.186666666666667</c:v>
                </c:pt>
                <c:pt idx="143">
                  <c:v>23.186666666666667</c:v>
                </c:pt>
                <c:pt idx="144">
                  <c:v>23.186666666666667</c:v>
                </c:pt>
                <c:pt idx="145">
                  <c:v>23.186666666666667</c:v>
                </c:pt>
                <c:pt idx="146">
                  <c:v>23.186666666666667</c:v>
                </c:pt>
                <c:pt idx="147">
                  <c:v>23.186666666666667</c:v>
                </c:pt>
                <c:pt idx="148">
                  <c:v>23.186666666666667</c:v>
                </c:pt>
                <c:pt idx="149">
                  <c:v>23.186666666666667</c:v>
                </c:pt>
                <c:pt idx="150">
                  <c:v>23.186666666666667</c:v>
                </c:pt>
                <c:pt idx="151">
                  <c:v>23.186666666666667</c:v>
                </c:pt>
                <c:pt idx="152">
                  <c:v>23.186666666666667</c:v>
                </c:pt>
                <c:pt idx="153">
                  <c:v>23.186666666666667</c:v>
                </c:pt>
                <c:pt idx="154">
                  <c:v>23.186666666666667</c:v>
                </c:pt>
                <c:pt idx="155">
                  <c:v>23.186666666666667</c:v>
                </c:pt>
                <c:pt idx="156">
                  <c:v>23.186666666666667</c:v>
                </c:pt>
                <c:pt idx="157">
                  <c:v>23.186666666666667</c:v>
                </c:pt>
                <c:pt idx="158">
                  <c:v>23.186666666666667</c:v>
                </c:pt>
                <c:pt idx="159">
                  <c:v>23.186666666666667</c:v>
                </c:pt>
                <c:pt idx="160">
                  <c:v>23.186666666666667</c:v>
                </c:pt>
                <c:pt idx="161">
                  <c:v>23.186666666666667</c:v>
                </c:pt>
                <c:pt idx="162">
                  <c:v>23.186666666666667</c:v>
                </c:pt>
                <c:pt idx="163">
                  <c:v>23.186666666666667</c:v>
                </c:pt>
                <c:pt idx="164">
                  <c:v>23.186666666666667</c:v>
                </c:pt>
                <c:pt idx="165">
                  <c:v>23.186666666666667</c:v>
                </c:pt>
                <c:pt idx="166">
                  <c:v>23.186666666666667</c:v>
                </c:pt>
                <c:pt idx="167">
                  <c:v>23.186666666666667</c:v>
                </c:pt>
                <c:pt idx="168">
                  <c:v>23.186666666666667</c:v>
                </c:pt>
                <c:pt idx="169">
                  <c:v>23.186666666666667</c:v>
                </c:pt>
                <c:pt idx="170">
                  <c:v>23.186666666666667</c:v>
                </c:pt>
                <c:pt idx="171">
                  <c:v>23.186666666666667</c:v>
                </c:pt>
                <c:pt idx="172">
                  <c:v>23.186666666666667</c:v>
                </c:pt>
                <c:pt idx="173">
                  <c:v>23.186666666666667</c:v>
                </c:pt>
                <c:pt idx="174">
                  <c:v>23.186666666666667</c:v>
                </c:pt>
                <c:pt idx="175">
                  <c:v>23.186666666666667</c:v>
                </c:pt>
                <c:pt idx="176">
                  <c:v>23.186666666666667</c:v>
                </c:pt>
                <c:pt idx="177">
                  <c:v>23.186666666666667</c:v>
                </c:pt>
                <c:pt idx="178">
                  <c:v>23.186666666666667</c:v>
                </c:pt>
                <c:pt idx="179">
                  <c:v>23.186666666666667</c:v>
                </c:pt>
                <c:pt idx="180">
                  <c:v>23.186666666666667</c:v>
                </c:pt>
                <c:pt idx="181">
                  <c:v>23.186666666666667</c:v>
                </c:pt>
                <c:pt idx="182">
                  <c:v>23.186666666666667</c:v>
                </c:pt>
                <c:pt idx="183">
                  <c:v>23.186666666666667</c:v>
                </c:pt>
                <c:pt idx="184">
                  <c:v>23.186666666666667</c:v>
                </c:pt>
                <c:pt idx="185">
                  <c:v>23.186666666666667</c:v>
                </c:pt>
                <c:pt idx="186">
                  <c:v>23.186666666666667</c:v>
                </c:pt>
                <c:pt idx="187">
                  <c:v>23.186666666666667</c:v>
                </c:pt>
                <c:pt idx="188">
                  <c:v>23.186666666666667</c:v>
                </c:pt>
                <c:pt idx="189">
                  <c:v>23.186666666666667</c:v>
                </c:pt>
                <c:pt idx="190">
                  <c:v>23.186666666666667</c:v>
                </c:pt>
                <c:pt idx="191">
                  <c:v>23.186666666666667</c:v>
                </c:pt>
                <c:pt idx="192">
                  <c:v>23.186666666666667</c:v>
                </c:pt>
                <c:pt idx="193">
                  <c:v>23.186666666666667</c:v>
                </c:pt>
                <c:pt idx="194">
                  <c:v>23.186666666666667</c:v>
                </c:pt>
                <c:pt idx="195">
                  <c:v>23.186666666666667</c:v>
                </c:pt>
                <c:pt idx="196">
                  <c:v>23.186666666666667</c:v>
                </c:pt>
                <c:pt idx="197">
                  <c:v>23.186666666666667</c:v>
                </c:pt>
                <c:pt idx="198">
                  <c:v>23.186666666666667</c:v>
                </c:pt>
                <c:pt idx="199">
                  <c:v>23.186666666666667</c:v>
                </c:pt>
                <c:pt idx="200">
                  <c:v>23.186666666666667</c:v>
                </c:pt>
                <c:pt idx="201">
                  <c:v>23.186666666666667</c:v>
                </c:pt>
                <c:pt idx="202">
                  <c:v>23.186666666666667</c:v>
                </c:pt>
                <c:pt idx="203">
                  <c:v>23.186666666666667</c:v>
                </c:pt>
                <c:pt idx="204">
                  <c:v>23.186666666666667</c:v>
                </c:pt>
                <c:pt idx="205">
                  <c:v>23.186666666666667</c:v>
                </c:pt>
                <c:pt idx="206">
                  <c:v>23.186666666666667</c:v>
                </c:pt>
                <c:pt idx="207">
                  <c:v>23.186666666666667</c:v>
                </c:pt>
                <c:pt idx="208">
                  <c:v>23.186666666666667</c:v>
                </c:pt>
                <c:pt idx="209">
                  <c:v>23.186666666666667</c:v>
                </c:pt>
                <c:pt idx="210">
                  <c:v>23.186666666666667</c:v>
                </c:pt>
                <c:pt idx="211">
                  <c:v>23.186666666666667</c:v>
                </c:pt>
                <c:pt idx="212">
                  <c:v>23.186666666666667</c:v>
                </c:pt>
                <c:pt idx="213">
                  <c:v>23.186666666666667</c:v>
                </c:pt>
                <c:pt idx="214">
                  <c:v>23.186666666666667</c:v>
                </c:pt>
                <c:pt idx="215">
                  <c:v>23.186666666666667</c:v>
                </c:pt>
                <c:pt idx="216">
                  <c:v>23.186666666666667</c:v>
                </c:pt>
                <c:pt idx="217">
                  <c:v>23.186666666666667</c:v>
                </c:pt>
                <c:pt idx="218">
                  <c:v>23.186666666666667</c:v>
                </c:pt>
                <c:pt idx="219">
                  <c:v>23.186666666666667</c:v>
                </c:pt>
                <c:pt idx="220">
                  <c:v>23.186666666666667</c:v>
                </c:pt>
                <c:pt idx="221">
                  <c:v>23.186666666666667</c:v>
                </c:pt>
                <c:pt idx="222">
                  <c:v>23.186666666666667</c:v>
                </c:pt>
                <c:pt idx="223">
                  <c:v>23.186666666666667</c:v>
                </c:pt>
                <c:pt idx="224">
                  <c:v>23.186666666666667</c:v>
                </c:pt>
                <c:pt idx="225">
                  <c:v>23.186666666666667</c:v>
                </c:pt>
                <c:pt idx="226">
                  <c:v>23.186666666666667</c:v>
                </c:pt>
                <c:pt idx="227">
                  <c:v>23.186666666666667</c:v>
                </c:pt>
                <c:pt idx="228">
                  <c:v>23.186666666666667</c:v>
                </c:pt>
                <c:pt idx="229">
                  <c:v>23.186666666666667</c:v>
                </c:pt>
                <c:pt idx="230">
                  <c:v>23.186666666666667</c:v>
                </c:pt>
                <c:pt idx="231">
                  <c:v>23.186666666666667</c:v>
                </c:pt>
                <c:pt idx="232">
                  <c:v>23.186666666666667</c:v>
                </c:pt>
                <c:pt idx="233">
                  <c:v>23.186666666666667</c:v>
                </c:pt>
                <c:pt idx="234">
                  <c:v>23.186666666666667</c:v>
                </c:pt>
                <c:pt idx="235">
                  <c:v>23.186666666666667</c:v>
                </c:pt>
                <c:pt idx="236">
                  <c:v>23.186666666666667</c:v>
                </c:pt>
                <c:pt idx="237">
                  <c:v>23.186666666666667</c:v>
                </c:pt>
                <c:pt idx="238">
                  <c:v>23.186666666666667</c:v>
                </c:pt>
                <c:pt idx="239">
                  <c:v>23.186666666666667</c:v>
                </c:pt>
                <c:pt idx="240">
                  <c:v>23.186666666666667</c:v>
                </c:pt>
                <c:pt idx="241">
                  <c:v>23.186666666666667</c:v>
                </c:pt>
                <c:pt idx="242">
                  <c:v>23.186666666666667</c:v>
                </c:pt>
                <c:pt idx="243">
                  <c:v>23.186666666666667</c:v>
                </c:pt>
                <c:pt idx="244">
                  <c:v>23.186666666666667</c:v>
                </c:pt>
                <c:pt idx="245">
                  <c:v>23.186666666666667</c:v>
                </c:pt>
                <c:pt idx="246">
                  <c:v>23.186666666666667</c:v>
                </c:pt>
                <c:pt idx="247">
                  <c:v>23.186666666666667</c:v>
                </c:pt>
                <c:pt idx="248">
                  <c:v>23.186666666666667</c:v>
                </c:pt>
                <c:pt idx="249">
                  <c:v>23.186666666666667</c:v>
                </c:pt>
                <c:pt idx="250">
                  <c:v>23.186666666666667</c:v>
                </c:pt>
                <c:pt idx="251">
                  <c:v>23.186666666666667</c:v>
                </c:pt>
                <c:pt idx="252">
                  <c:v>23.186666666666667</c:v>
                </c:pt>
                <c:pt idx="253">
                  <c:v>23.186666666666667</c:v>
                </c:pt>
                <c:pt idx="254">
                  <c:v>23.186666666666667</c:v>
                </c:pt>
                <c:pt idx="255">
                  <c:v>23.186666666666667</c:v>
                </c:pt>
                <c:pt idx="256">
                  <c:v>23.186666666666667</c:v>
                </c:pt>
                <c:pt idx="257">
                  <c:v>23.186666666666667</c:v>
                </c:pt>
                <c:pt idx="258">
                  <c:v>23.186666666666667</c:v>
                </c:pt>
                <c:pt idx="259">
                  <c:v>23.186666666666667</c:v>
                </c:pt>
                <c:pt idx="260">
                  <c:v>23.186666666666667</c:v>
                </c:pt>
                <c:pt idx="261">
                  <c:v>23.186666666666667</c:v>
                </c:pt>
                <c:pt idx="262">
                  <c:v>23.186666666666667</c:v>
                </c:pt>
                <c:pt idx="263">
                  <c:v>23.186666666666667</c:v>
                </c:pt>
                <c:pt idx="264">
                  <c:v>23.186666666666667</c:v>
                </c:pt>
                <c:pt idx="265">
                  <c:v>23.186666666666667</c:v>
                </c:pt>
                <c:pt idx="266">
                  <c:v>23.186666666666667</c:v>
                </c:pt>
                <c:pt idx="267">
                  <c:v>23.186666666666667</c:v>
                </c:pt>
                <c:pt idx="268">
                  <c:v>23.186666666666667</c:v>
                </c:pt>
                <c:pt idx="269">
                  <c:v>23.186666666666667</c:v>
                </c:pt>
                <c:pt idx="270">
                  <c:v>23.186666666666667</c:v>
                </c:pt>
                <c:pt idx="271">
                  <c:v>23.186666666666667</c:v>
                </c:pt>
                <c:pt idx="272">
                  <c:v>23.186666666666667</c:v>
                </c:pt>
                <c:pt idx="273">
                  <c:v>23.186666666666667</c:v>
                </c:pt>
                <c:pt idx="274">
                  <c:v>23.186666666666667</c:v>
                </c:pt>
                <c:pt idx="275">
                  <c:v>23.186666666666667</c:v>
                </c:pt>
                <c:pt idx="276">
                  <c:v>23.186666666666667</c:v>
                </c:pt>
                <c:pt idx="277">
                  <c:v>23.186666666666667</c:v>
                </c:pt>
                <c:pt idx="278">
                  <c:v>23.186666666666667</c:v>
                </c:pt>
                <c:pt idx="279">
                  <c:v>23.186666666666667</c:v>
                </c:pt>
                <c:pt idx="280">
                  <c:v>23.186666666666667</c:v>
                </c:pt>
                <c:pt idx="281">
                  <c:v>23.186666666666667</c:v>
                </c:pt>
                <c:pt idx="282">
                  <c:v>23.186666666666667</c:v>
                </c:pt>
                <c:pt idx="283">
                  <c:v>23.186666666666667</c:v>
                </c:pt>
                <c:pt idx="284">
                  <c:v>23.186666666666667</c:v>
                </c:pt>
                <c:pt idx="285">
                  <c:v>23.186666666666667</c:v>
                </c:pt>
                <c:pt idx="286">
                  <c:v>23.186666666666667</c:v>
                </c:pt>
                <c:pt idx="287">
                  <c:v>23.186666666666667</c:v>
                </c:pt>
                <c:pt idx="288">
                  <c:v>23.186666666666667</c:v>
                </c:pt>
                <c:pt idx="289">
                  <c:v>23.186666666666667</c:v>
                </c:pt>
                <c:pt idx="290">
                  <c:v>23.186666666666667</c:v>
                </c:pt>
                <c:pt idx="291">
                  <c:v>23.186666666666667</c:v>
                </c:pt>
                <c:pt idx="292">
                  <c:v>23.186666666666667</c:v>
                </c:pt>
                <c:pt idx="293">
                  <c:v>23.186666666666667</c:v>
                </c:pt>
                <c:pt idx="294">
                  <c:v>23.186666666666667</c:v>
                </c:pt>
                <c:pt idx="295">
                  <c:v>23.186666666666667</c:v>
                </c:pt>
                <c:pt idx="296">
                  <c:v>23.186666666666667</c:v>
                </c:pt>
                <c:pt idx="297">
                  <c:v>23.186666666666667</c:v>
                </c:pt>
                <c:pt idx="298">
                  <c:v>23.186666666666667</c:v>
                </c:pt>
                <c:pt idx="299">
                  <c:v>23.186666666666667</c:v>
                </c:pt>
                <c:pt idx="300">
                  <c:v>23.186666666666667</c:v>
                </c:pt>
                <c:pt idx="301">
                  <c:v>23.186666666666667</c:v>
                </c:pt>
                <c:pt idx="302">
                  <c:v>23.186666666666667</c:v>
                </c:pt>
                <c:pt idx="303">
                  <c:v>23.186666666666667</c:v>
                </c:pt>
                <c:pt idx="304">
                  <c:v>23.186666666666667</c:v>
                </c:pt>
                <c:pt idx="305">
                  <c:v>23.186666666666667</c:v>
                </c:pt>
                <c:pt idx="306">
                  <c:v>23.186666666666667</c:v>
                </c:pt>
                <c:pt idx="307">
                  <c:v>23.186666666666667</c:v>
                </c:pt>
                <c:pt idx="308">
                  <c:v>23.186666666666667</c:v>
                </c:pt>
                <c:pt idx="309">
                  <c:v>23.186666666666667</c:v>
                </c:pt>
                <c:pt idx="310">
                  <c:v>23.186666666666667</c:v>
                </c:pt>
                <c:pt idx="311">
                  <c:v>23.186666666666667</c:v>
                </c:pt>
                <c:pt idx="312">
                  <c:v>23.186666666666667</c:v>
                </c:pt>
                <c:pt idx="313">
                  <c:v>23.186666666666667</c:v>
                </c:pt>
                <c:pt idx="314">
                  <c:v>23.186666666666667</c:v>
                </c:pt>
                <c:pt idx="315">
                  <c:v>23.186666666666667</c:v>
                </c:pt>
                <c:pt idx="316">
                  <c:v>23.186666666666667</c:v>
                </c:pt>
                <c:pt idx="317">
                  <c:v>23.186666666666667</c:v>
                </c:pt>
                <c:pt idx="318">
                  <c:v>23.186666666666667</c:v>
                </c:pt>
                <c:pt idx="319">
                  <c:v>23.186666666666667</c:v>
                </c:pt>
                <c:pt idx="320">
                  <c:v>23.186666666666667</c:v>
                </c:pt>
                <c:pt idx="321">
                  <c:v>23.186666666666667</c:v>
                </c:pt>
                <c:pt idx="322">
                  <c:v>23.186666666666667</c:v>
                </c:pt>
                <c:pt idx="323">
                  <c:v>23.186666666666667</c:v>
                </c:pt>
                <c:pt idx="324">
                  <c:v>23.186666666666667</c:v>
                </c:pt>
                <c:pt idx="325">
                  <c:v>23.186666666666667</c:v>
                </c:pt>
                <c:pt idx="326">
                  <c:v>23.186666666666667</c:v>
                </c:pt>
                <c:pt idx="327">
                  <c:v>23.186666666666667</c:v>
                </c:pt>
                <c:pt idx="328">
                  <c:v>23.186666666666667</c:v>
                </c:pt>
                <c:pt idx="329">
                  <c:v>23.186666666666667</c:v>
                </c:pt>
                <c:pt idx="330">
                  <c:v>23.186666666666667</c:v>
                </c:pt>
                <c:pt idx="331">
                  <c:v>23.186666666666667</c:v>
                </c:pt>
                <c:pt idx="332">
                  <c:v>23.186666666666667</c:v>
                </c:pt>
                <c:pt idx="333">
                  <c:v>23.186666666666667</c:v>
                </c:pt>
                <c:pt idx="334">
                  <c:v>23.186666666666667</c:v>
                </c:pt>
                <c:pt idx="335">
                  <c:v>23.186666666666667</c:v>
                </c:pt>
                <c:pt idx="336">
                  <c:v>23.186666666666667</c:v>
                </c:pt>
                <c:pt idx="337">
                  <c:v>23.186666666666667</c:v>
                </c:pt>
                <c:pt idx="338">
                  <c:v>23.186666666666667</c:v>
                </c:pt>
                <c:pt idx="339">
                  <c:v>23.186666666666667</c:v>
                </c:pt>
                <c:pt idx="340">
                  <c:v>23.186666666666667</c:v>
                </c:pt>
                <c:pt idx="341">
                  <c:v>23.186666666666667</c:v>
                </c:pt>
                <c:pt idx="342">
                  <c:v>23.186666666666667</c:v>
                </c:pt>
                <c:pt idx="343">
                  <c:v>23.186666666666667</c:v>
                </c:pt>
                <c:pt idx="344">
                  <c:v>23.186666666666667</c:v>
                </c:pt>
                <c:pt idx="345">
                  <c:v>23.186666666666667</c:v>
                </c:pt>
                <c:pt idx="346">
                  <c:v>23.186666666666667</c:v>
                </c:pt>
                <c:pt idx="347">
                  <c:v>23.186666666666667</c:v>
                </c:pt>
                <c:pt idx="348">
                  <c:v>23.186666666666667</c:v>
                </c:pt>
                <c:pt idx="349">
                  <c:v>23.186666666666667</c:v>
                </c:pt>
                <c:pt idx="350">
                  <c:v>23.186666666666667</c:v>
                </c:pt>
                <c:pt idx="351">
                  <c:v>23.186666666666667</c:v>
                </c:pt>
                <c:pt idx="352">
                  <c:v>23.186666666666667</c:v>
                </c:pt>
                <c:pt idx="353">
                  <c:v>23.186666666666667</c:v>
                </c:pt>
                <c:pt idx="354">
                  <c:v>23.186666666666667</c:v>
                </c:pt>
                <c:pt idx="355">
                  <c:v>23.186666666666667</c:v>
                </c:pt>
                <c:pt idx="356">
                  <c:v>23.186666666666667</c:v>
                </c:pt>
                <c:pt idx="357">
                  <c:v>23.186666666666667</c:v>
                </c:pt>
                <c:pt idx="358">
                  <c:v>23.186666666666667</c:v>
                </c:pt>
                <c:pt idx="359">
                  <c:v>23.186666666666667</c:v>
                </c:pt>
                <c:pt idx="360">
                  <c:v>23.186666666666667</c:v>
                </c:pt>
                <c:pt idx="361">
                  <c:v>23.186666666666667</c:v>
                </c:pt>
                <c:pt idx="362">
                  <c:v>23.186666666666667</c:v>
                </c:pt>
                <c:pt idx="363">
                  <c:v>23.186666666666667</c:v>
                </c:pt>
                <c:pt idx="364">
                  <c:v>23.186666666666667</c:v>
                </c:pt>
                <c:pt idx="365">
                  <c:v>23.186666666666667</c:v>
                </c:pt>
                <c:pt idx="366">
                  <c:v>23.186666666666667</c:v>
                </c:pt>
                <c:pt idx="367">
                  <c:v>23.186666666666667</c:v>
                </c:pt>
                <c:pt idx="368">
                  <c:v>23.186666666666667</c:v>
                </c:pt>
                <c:pt idx="369">
                  <c:v>23.186666666666667</c:v>
                </c:pt>
                <c:pt idx="370">
                  <c:v>23.186666666666667</c:v>
                </c:pt>
                <c:pt idx="371">
                  <c:v>23.186666666666667</c:v>
                </c:pt>
                <c:pt idx="372">
                  <c:v>23.186666666666667</c:v>
                </c:pt>
                <c:pt idx="373">
                  <c:v>23.186666666666667</c:v>
                </c:pt>
                <c:pt idx="374">
                  <c:v>23.186666666666667</c:v>
                </c:pt>
                <c:pt idx="375">
                  <c:v>23.186666666666667</c:v>
                </c:pt>
                <c:pt idx="376">
                  <c:v>23.186666666666667</c:v>
                </c:pt>
                <c:pt idx="377">
                  <c:v>23.186666666666667</c:v>
                </c:pt>
                <c:pt idx="378">
                  <c:v>23.186666666666667</c:v>
                </c:pt>
                <c:pt idx="379">
                  <c:v>23.186666666666667</c:v>
                </c:pt>
                <c:pt idx="380">
                  <c:v>23.186666666666667</c:v>
                </c:pt>
                <c:pt idx="381">
                  <c:v>23.186666666666667</c:v>
                </c:pt>
                <c:pt idx="382">
                  <c:v>23.186666666666667</c:v>
                </c:pt>
                <c:pt idx="383">
                  <c:v>23.186666666666667</c:v>
                </c:pt>
                <c:pt idx="384">
                  <c:v>23.186666666666667</c:v>
                </c:pt>
                <c:pt idx="385">
                  <c:v>23.186666666666667</c:v>
                </c:pt>
                <c:pt idx="386">
                  <c:v>23.186666666666667</c:v>
                </c:pt>
                <c:pt idx="387">
                  <c:v>23.186666666666667</c:v>
                </c:pt>
                <c:pt idx="388">
                  <c:v>23.186666666666667</c:v>
                </c:pt>
                <c:pt idx="389">
                  <c:v>23.186666666666667</c:v>
                </c:pt>
                <c:pt idx="390">
                  <c:v>23.186666666666667</c:v>
                </c:pt>
                <c:pt idx="391">
                  <c:v>23.186666666666667</c:v>
                </c:pt>
                <c:pt idx="392">
                  <c:v>23.186666666666667</c:v>
                </c:pt>
                <c:pt idx="393">
                  <c:v>23.186666666666667</c:v>
                </c:pt>
                <c:pt idx="394">
                  <c:v>23.186666666666667</c:v>
                </c:pt>
                <c:pt idx="395">
                  <c:v>23.186666666666667</c:v>
                </c:pt>
                <c:pt idx="396">
                  <c:v>23.186666666666667</c:v>
                </c:pt>
                <c:pt idx="397">
                  <c:v>23.186666666666667</c:v>
                </c:pt>
                <c:pt idx="398">
                  <c:v>23.186666666666667</c:v>
                </c:pt>
                <c:pt idx="399">
                  <c:v>23.186666666666667</c:v>
                </c:pt>
                <c:pt idx="400">
                  <c:v>23.186666666666667</c:v>
                </c:pt>
                <c:pt idx="401">
                  <c:v>23.186666666666667</c:v>
                </c:pt>
                <c:pt idx="402">
                  <c:v>23.186666666666667</c:v>
                </c:pt>
                <c:pt idx="403">
                  <c:v>23.186666666666667</c:v>
                </c:pt>
                <c:pt idx="404">
                  <c:v>23.186666666666667</c:v>
                </c:pt>
                <c:pt idx="405">
                  <c:v>23.186666666666667</c:v>
                </c:pt>
                <c:pt idx="406">
                  <c:v>23.186666666666667</c:v>
                </c:pt>
                <c:pt idx="407">
                  <c:v>23.186666666666667</c:v>
                </c:pt>
                <c:pt idx="408">
                  <c:v>23.186666666666667</c:v>
                </c:pt>
                <c:pt idx="409">
                  <c:v>23.186666666666667</c:v>
                </c:pt>
                <c:pt idx="410">
                  <c:v>23.186666666666667</c:v>
                </c:pt>
                <c:pt idx="411">
                  <c:v>23.186666666666667</c:v>
                </c:pt>
                <c:pt idx="412">
                  <c:v>23.186666666666667</c:v>
                </c:pt>
                <c:pt idx="413">
                  <c:v>23.186666666666667</c:v>
                </c:pt>
                <c:pt idx="414">
                  <c:v>23.186666666666667</c:v>
                </c:pt>
                <c:pt idx="415">
                  <c:v>23.186666666666667</c:v>
                </c:pt>
                <c:pt idx="416">
                  <c:v>23.186666666666667</c:v>
                </c:pt>
                <c:pt idx="417">
                  <c:v>23.186666666666667</c:v>
                </c:pt>
                <c:pt idx="418">
                  <c:v>23.186666666666667</c:v>
                </c:pt>
                <c:pt idx="419">
                  <c:v>23.186666666666667</c:v>
                </c:pt>
                <c:pt idx="420">
                  <c:v>23.186666666666667</c:v>
                </c:pt>
                <c:pt idx="421">
                  <c:v>23.186666666666667</c:v>
                </c:pt>
                <c:pt idx="422">
                  <c:v>23.186666666666667</c:v>
                </c:pt>
                <c:pt idx="423">
                  <c:v>23.186666666666667</c:v>
                </c:pt>
                <c:pt idx="424">
                  <c:v>23.186666666666667</c:v>
                </c:pt>
                <c:pt idx="425">
                  <c:v>23.186666666666667</c:v>
                </c:pt>
                <c:pt idx="426">
                  <c:v>23.186666666666667</c:v>
                </c:pt>
                <c:pt idx="427">
                  <c:v>23.186666666666667</c:v>
                </c:pt>
                <c:pt idx="428">
                  <c:v>23.186666666666667</c:v>
                </c:pt>
                <c:pt idx="429">
                  <c:v>23.186666666666667</c:v>
                </c:pt>
                <c:pt idx="430">
                  <c:v>23.186666666666667</c:v>
                </c:pt>
                <c:pt idx="431">
                  <c:v>23.186666666666667</c:v>
                </c:pt>
                <c:pt idx="432">
                  <c:v>23.186666666666667</c:v>
                </c:pt>
                <c:pt idx="433">
                  <c:v>23.186666666666667</c:v>
                </c:pt>
                <c:pt idx="434">
                  <c:v>23.186666666666667</c:v>
                </c:pt>
                <c:pt idx="435">
                  <c:v>23.186666666666667</c:v>
                </c:pt>
                <c:pt idx="436">
                  <c:v>23.186666666666667</c:v>
                </c:pt>
                <c:pt idx="437">
                  <c:v>23.186666666666667</c:v>
                </c:pt>
                <c:pt idx="438">
                  <c:v>23.186666666666667</c:v>
                </c:pt>
                <c:pt idx="439">
                  <c:v>23.186666666666667</c:v>
                </c:pt>
                <c:pt idx="440">
                  <c:v>23.186666666666667</c:v>
                </c:pt>
                <c:pt idx="441">
                  <c:v>23.186666666666667</c:v>
                </c:pt>
                <c:pt idx="442">
                  <c:v>23.186666666666667</c:v>
                </c:pt>
                <c:pt idx="443">
                  <c:v>23.186666666666667</c:v>
                </c:pt>
                <c:pt idx="444">
                  <c:v>23.186666666666667</c:v>
                </c:pt>
                <c:pt idx="445">
                  <c:v>23.186666666666667</c:v>
                </c:pt>
                <c:pt idx="446">
                  <c:v>23.186666666666667</c:v>
                </c:pt>
                <c:pt idx="447">
                  <c:v>23.186666666666667</c:v>
                </c:pt>
                <c:pt idx="448">
                  <c:v>23.186666666666667</c:v>
                </c:pt>
                <c:pt idx="449">
                  <c:v>23.186666666666667</c:v>
                </c:pt>
                <c:pt idx="450">
                  <c:v>23.186666666666667</c:v>
                </c:pt>
                <c:pt idx="451">
                  <c:v>23.186666666666667</c:v>
                </c:pt>
                <c:pt idx="452">
                  <c:v>23.186666666666667</c:v>
                </c:pt>
                <c:pt idx="453">
                  <c:v>23.186666666666667</c:v>
                </c:pt>
                <c:pt idx="454">
                  <c:v>23.186666666666667</c:v>
                </c:pt>
                <c:pt idx="455">
                  <c:v>23.186666666666667</c:v>
                </c:pt>
                <c:pt idx="456">
                  <c:v>23.186666666666667</c:v>
                </c:pt>
                <c:pt idx="457">
                  <c:v>23.186666666666667</c:v>
                </c:pt>
                <c:pt idx="458">
                  <c:v>23.186666666666667</c:v>
                </c:pt>
                <c:pt idx="459">
                  <c:v>23.186666666666667</c:v>
                </c:pt>
                <c:pt idx="460">
                  <c:v>23.186666666666667</c:v>
                </c:pt>
                <c:pt idx="461">
                  <c:v>23.186666666666667</c:v>
                </c:pt>
                <c:pt idx="462">
                  <c:v>23.186666666666667</c:v>
                </c:pt>
                <c:pt idx="463">
                  <c:v>23.186666666666667</c:v>
                </c:pt>
                <c:pt idx="464">
                  <c:v>23.186666666666667</c:v>
                </c:pt>
                <c:pt idx="465">
                  <c:v>23.186666666666667</c:v>
                </c:pt>
                <c:pt idx="466">
                  <c:v>23.186666666666667</c:v>
                </c:pt>
                <c:pt idx="467">
                  <c:v>23.186666666666667</c:v>
                </c:pt>
                <c:pt idx="468">
                  <c:v>23.186666666666667</c:v>
                </c:pt>
                <c:pt idx="469">
                  <c:v>23.186666666666667</c:v>
                </c:pt>
                <c:pt idx="470">
                  <c:v>23.186666666666667</c:v>
                </c:pt>
                <c:pt idx="471">
                  <c:v>23.186666666666667</c:v>
                </c:pt>
                <c:pt idx="472">
                  <c:v>23.186666666666667</c:v>
                </c:pt>
                <c:pt idx="473">
                  <c:v>23.186666666666667</c:v>
                </c:pt>
                <c:pt idx="474">
                  <c:v>23.186666666666667</c:v>
                </c:pt>
                <c:pt idx="475">
                  <c:v>23.186666666666667</c:v>
                </c:pt>
                <c:pt idx="476">
                  <c:v>23.186666666666667</c:v>
                </c:pt>
                <c:pt idx="477">
                  <c:v>23.186666666666667</c:v>
                </c:pt>
                <c:pt idx="478">
                  <c:v>23.186666666666667</c:v>
                </c:pt>
                <c:pt idx="479">
                  <c:v>23.186666666666667</c:v>
                </c:pt>
                <c:pt idx="480">
                  <c:v>23.186666666666667</c:v>
                </c:pt>
                <c:pt idx="481">
                  <c:v>23.186666666666667</c:v>
                </c:pt>
                <c:pt idx="482">
                  <c:v>23.186666666666667</c:v>
                </c:pt>
                <c:pt idx="483">
                  <c:v>23.186666666666667</c:v>
                </c:pt>
                <c:pt idx="484">
                  <c:v>23.186666666666667</c:v>
                </c:pt>
                <c:pt idx="485">
                  <c:v>23.186666666666667</c:v>
                </c:pt>
                <c:pt idx="486">
                  <c:v>23.186666666666667</c:v>
                </c:pt>
                <c:pt idx="487">
                  <c:v>23.186666666666667</c:v>
                </c:pt>
                <c:pt idx="488">
                  <c:v>23.186666666666667</c:v>
                </c:pt>
                <c:pt idx="489">
                  <c:v>23.186666666666667</c:v>
                </c:pt>
                <c:pt idx="490">
                  <c:v>23.186666666666667</c:v>
                </c:pt>
                <c:pt idx="491">
                  <c:v>23.186666666666667</c:v>
                </c:pt>
                <c:pt idx="492">
                  <c:v>23.186666666666667</c:v>
                </c:pt>
                <c:pt idx="493">
                  <c:v>23.186666666666667</c:v>
                </c:pt>
                <c:pt idx="494">
                  <c:v>23.186666666666667</c:v>
                </c:pt>
                <c:pt idx="495">
                  <c:v>23.186666666666667</c:v>
                </c:pt>
                <c:pt idx="496">
                  <c:v>23.186666666666667</c:v>
                </c:pt>
                <c:pt idx="497">
                  <c:v>23.186666666666667</c:v>
                </c:pt>
                <c:pt idx="498">
                  <c:v>23.186666666666667</c:v>
                </c:pt>
                <c:pt idx="499">
                  <c:v>23.186666666666667</c:v>
                </c:pt>
                <c:pt idx="500">
                  <c:v>23.186666666666667</c:v>
                </c:pt>
                <c:pt idx="501">
                  <c:v>23.186666666666667</c:v>
                </c:pt>
                <c:pt idx="502">
                  <c:v>23.186666666666667</c:v>
                </c:pt>
                <c:pt idx="503">
                  <c:v>23.186666666666667</c:v>
                </c:pt>
                <c:pt idx="504">
                  <c:v>23.186666666666667</c:v>
                </c:pt>
                <c:pt idx="505">
                  <c:v>23.186666666666667</c:v>
                </c:pt>
                <c:pt idx="506">
                  <c:v>23.186666666666667</c:v>
                </c:pt>
                <c:pt idx="507">
                  <c:v>23.186666666666667</c:v>
                </c:pt>
                <c:pt idx="508">
                  <c:v>23.186666666666667</c:v>
                </c:pt>
                <c:pt idx="509">
                  <c:v>23.186666666666667</c:v>
                </c:pt>
                <c:pt idx="510">
                  <c:v>23.186666666666667</c:v>
                </c:pt>
                <c:pt idx="511">
                  <c:v>23.186666666666667</c:v>
                </c:pt>
                <c:pt idx="512">
                  <c:v>23.186666666666667</c:v>
                </c:pt>
                <c:pt idx="513">
                  <c:v>23.186666666666667</c:v>
                </c:pt>
                <c:pt idx="514">
                  <c:v>23.186666666666667</c:v>
                </c:pt>
                <c:pt idx="515">
                  <c:v>23.186666666666667</c:v>
                </c:pt>
                <c:pt idx="516">
                  <c:v>23.186666666666667</c:v>
                </c:pt>
                <c:pt idx="517">
                  <c:v>23.186666666666667</c:v>
                </c:pt>
                <c:pt idx="518">
                  <c:v>23.186666666666667</c:v>
                </c:pt>
                <c:pt idx="519">
                  <c:v>23.186666666666667</c:v>
                </c:pt>
                <c:pt idx="520">
                  <c:v>23.186666666666667</c:v>
                </c:pt>
                <c:pt idx="521">
                  <c:v>23.186666666666667</c:v>
                </c:pt>
                <c:pt idx="522">
                  <c:v>23.186666666666667</c:v>
                </c:pt>
                <c:pt idx="523">
                  <c:v>23.186666666666667</c:v>
                </c:pt>
                <c:pt idx="524">
                  <c:v>23.186666666666667</c:v>
                </c:pt>
                <c:pt idx="525">
                  <c:v>23.186666666666667</c:v>
                </c:pt>
                <c:pt idx="526">
                  <c:v>23.186666666666667</c:v>
                </c:pt>
                <c:pt idx="527">
                  <c:v>23.186666666666667</c:v>
                </c:pt>
                <c:pt idx="528">
                  <c:v>23.186666666666667</c:v>
                </c:pt>
                <c:pt idx="529">
                  <c:v>23.186666666666667</c:v>
                </c:pt>
                <c:pt idx="530">
                  <c:v>23.186666666666667</c:v>
                </c:pt>
                <c:pt idx="531">
                  <c:v>23.186666666666667</c:v>
                </c:pt>
                <c:pt idx="532">
                  <c:v>23.186666666666667</c:v>
                </c:pt>
                <c:pt idx="533">
                  <c:v>23.186666666666667</c:v>
                </c:pt>
                <c:pt idx="534">
                  <c:v>23.186666666666667</c:v>
                </c:pt>
                <c:pt idx="535">
                  <c:v>23.186666666666667</c:v>
                </c:pt>
                <c:pt idx="536">
                  <c:v>23.186666666666667</c:v>
                </c:pt>
                <c:pt idx="537">
                  <c:v>23.186666666666667</c:v>
                </c:pt>
                <c:pt idx="538">
                  <c:v>23.186666666666667</c:v>
                </c:pt>
                <c:pt idx="539">
                  <c:v>23.186666666666667</c:v>
                </c:pt>
                <c:pt idx="540">
                  <c:v>23.186666666666667</c:v>
                </c:pt>
                <c:pt idx="541">
                  <c:v>23.186666666666667</c:v>
                </c:pt>
                <c:pt idx="542">
                  <c:v>23.186666666666667</c:v>
                </c:pt>
                <c:pt idx="543">
                  <c:v>23.186666666666667</c:v>
                </c:pt>
                <c:pt idx="544">
                  <c:v>23.186666666666667</c:v>
                </c:pt>
                <c:pt idx="545">
                  <c:v>23.186666666666667</c:v>
                </c:pt>
                <c:pt idx="546">
                  <c:v>23.186666666666667</c:v>
                </c:pt>
                <c:pt idx="547">
                  <c:v>23.186666666666667</c:v>
                </c:pt>
                <c:pt idx="548">
                  <c:v>23.186666666666667</c:v>
                </c:pt>
                <c:pt idx="549">
                  <c:v>23.186666666666667</c:v>
                </c:pt>
                <c:pt idx="550">
                  <c:v>23.186666666666667</c:v>
                </c:pt>
                <c:pt idx="551">
                  <c:v>23.186666666666667</c:v>
                </c:pt>
                <c:pt idx="552">
                  <c:v>23.186666666666667</c:v>
                </c:pt>
                <c:pt idx="553">
                  <c:v>23.186666666666667</c:v>
                </c:pt>
                <c:pt idx="554">
                  <c:v>23.186666666666667</c:v>
                </c:pt>
                <c:pt idx="555">
                  <c:v>23.186666666666667</c:v>
                </c:pt>
                <c:pt idx="556">
                  <c:v>23.186666666666667</c:v>
                </c:pt>
                <c:pt idx="557">
                  <c:v>23.186666666666667</c:v>
                </c:pt>
                <c:pt idx="558">
                  <c:v>23.186666666666667</c:v>
                </c:pt>
                <c:pt idx="559">
                  <c:v>23.186666666666667</c:v>
                </c:pt>
                <c:pt idx="560">
                  <c:v>23.186666666666667</c:v>
                </c:pt>
                <c:pt idx="561">
                  <c:v>23.186666666666667</c:v>
                </c:pt>
                <c:pt idx="562">
                  <c:v>23.186666666666667</c:v>
                </c:pt>
                <c:pt idx="563">
                  <c:v>23.186666666666667</c:v>
                </c:pt>
                <c:pt idx="564">
                  <c:v>23.186666666666667</c:v>
                </c:pt>
                <c:pt idx="565">
                  <c:v>23.186666666666667</c:v>
                </c:pt>
                <c:pt idx="566">
                  <c:v>23.186666666666667</c:v>
                </c:pt>
                <c:pt idx="567">
                  <c:v>23.186666666666667</c:v>
                </c:pt>
                <c:pt idx="568">
                  <c:v>23.186666666666667</c:v>
                </c:pt>
                <c:pt idx="569">
                  <c:v>23.186666666666667</c:v>
                </c:pt>
                <c:pt idx="570">
                  <c:v>23.186666666666667</c:v>
                </c:pt>
                <c:pt idx="571">
                  <c:v>23.186666666666667</c:v>
                </c:pt>
                <c:pt idx="572">
                  <c:v>23.186666666666667</c:v>
                </c:pt>
                <c:pt idx="573">
                  <c:v>23.186666666666667</c:v>
                </c:pt>
                <c:pt idx="574">
                  <c:v>23.186666666666667</c:v>
                </c:pt>
                <c:pt idx="575">
                  <c:v>23.186666666666667</c:v>
                </c:pt>
                <c:pt idx="576">
                  <c:v>23.186666666666667</c:v>
                </c:pt>
                <c:pt idx="577">
                  <c:v>23.186666666666667</c:v>
                </c:pt>
                <c:pt idx="578">
                  <c:v>23.186666666666667</c:v>
                </c:pt>
                <c:pt idx="579">
                  <c:v>23.186666666666667</c:v>
                </c:pt>
                <c:pt idx="580">
                  <c:v>23.186666666666667</c:v>
                </c:pt>
                <c:pt idx="581">
                  <c:v>23.186666666666667</c:v>
                </c:pt>
                <c:pt idx="582">
                  <c:v>23.186666666666667</c:v>
                </c:pt>
                <c:pt idx="583">
                  <c:v>23.186666666666667</c:v>
                </c:pt>
                <c:pt idx="584">
                  <c:v>23.186666666666667</c:v>
                </c:pt>
                <c:pt idx="585">
                  <c:v>23.186666666666667</c:v>
                </c:pt>
                <c:pt idx="586">
                  <c:v>23.186666666666667</c:v>
                </c:pt>
                <c:pt idx="587">
                  <c:v>23.186666666666667</c:v>
                </c:pt>
                <c:pt idx="588">
                  <c:v>23.186666666666667</c:v>
                </c:pt>
                <c:pt idx="589">
                  <c:v>23.186666666666667</c:v>
                </c:pt>
                <c:pt idx="590">
                  <c:v>23.186666666666667</c:v>
                </c:pt>
                <c:pt idx="591">
                  <c:v>23.186666666666667</c:v>
                </c:pt>
                <c:pt idx="592">
                  <c:v>23.186666666666667</c:v>
                </c:pt>
                <c:pt idx="593">
                  <c:v>23.186666666666667</c:v>
                </c:pt>
                <c:pt idx="594">
                  <c:v>23.186666666666667</c:v>
                </c:pt>
                <c:pt idx="595">
                  <c:v>23.186666666666667</c:v>
                </c:pt>
                <c:pt idx="596">
                  <c:v>23.186666666666667</c:v>
                </c:pt>
                <c:pt idx="597">
                  <c:v>23.186666666666667</c:v>
                </c:pt>
                <c:pt idx="598">
                  <c:v>23.186666666666667</c:v>
                </c:pt>
                <c:pt idx="599">
                  <c:v>23.186666666666667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B3-4D18-A64A-69B25CA800BD}"/>
            </c:ext>
          </c:extLst>
        </c:ser>
        <c:ser>
          <c:idx val="3"/>
          <c:order val="3"/>
          <c:tx>
            <c:v>LCL(u′)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AOI_u_Laney!$A$11:$A$610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AOI_u_Laney!$L$11:$L$610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B3-4D18-A64A-69B25CA8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 Chart - Thickness(um)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Thickness(um)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Thickness_IMR!$B$13:$B$612</c:f>
              <c:numCache>
                <c:formatCode>0.0000</c:formatCode>
                <c:ptCount val="600"/>
                <c:pt idx="0">
                  <c:v>701.52</c:v>
                </c:pt>
                <c:pt idx="1">
                  <c:v>703.13400000000001</c:v>
                </c:pt>
                <c:pt idx="2">
                  <c:v>702.59500000000003</c:v>
                </c:pt>
                <c:pt idx="3">
                  <c:v>700.29499999999996</c:v>
                </c:pt>
                <c:pt idx="4">
                  <c:v>702.40899999999999</c:v>
                </c:pt>
                <c:pt idx="5">
                  <c:v>703.72799999999995</c:v>
                </c:pt>
                <c:pt idx="6">
                  <c:v>703.63199999999995</c:v>
                </c:pt>
                <c:pt idx="7">
                  <c:v>702.16099999999994</c:v>
                </c:pt>
                <c:pt idx="8">
                  <c:v>700.49599999999998</c:v>
                </c:pt>
                <c:pt idx="9">
                  <c:v>699.45600000000002</c:v>
                </c:pt>
                <c:pt idx="10">
                  <c:v>700.75099999999998</c:v>
                </c:pt>
                <c:pt idx="11">
                  <c:v>700.69500000000005</c:v>
                </c:pt>
                <c:pt idx="12">
                  <c:v>703.56899999999996</c:v>
                </c:pt>
                <c:pt idx="13">
                  <c:v>702.75400000000002</c:v>
                </c:pt>
                <c:pt idx="14">
                  <c:v>702.56799999999998</c:v>
                </c:pt>
                <c:pt idx="15">
                  <c:v>701.32799999999997</c:v>
                </c:pt>
                <c:pt idx="16">
                  <c:v>702.09699999999998</c:v>
                </c:pt>
                <c:pt idx="17">
                  <c:v>702.35199999999998</c:v>
                </c:pt>
                <c:pt idx="18">
                  <c:v>702.125</c:v>
                </c:pt>
                <c:pt idx="19">
                  <c:v>699.53800000000001</c:v>
                </c:pt>
                <c:pt idx="20">
                  <c:v>700.24400000000003</c:v>
                </c:pt>
                <c:pt idx="21">
                  <c:v>700.00599999999997</c:v>
                </c:pt>
                <c:pt idx="22">
                  <c:v>699.69200000000001</c:v>
                </c:pt>
                <c:pt idx="23">
                  <c:v>702.13</c:v>
                </c:pt>
                <c:pt idx="24">
                  <c:v>700.02599999999995</c:v>
                </c:pt>
                <c:pt idx="25">
                  <c:v>701.70899999999995</c:v>
                </c:pt>
                <c:pt idx="26">
                  <c:v>704.32600000000002</c:v>
                </c:pt>
                <c:pt idx="27">
                  <c:v>701.11400000000003</c:v>
                </c:pt>
                <c:pt idx="28">
                  <c:v>703.65200000000004</c:v>
                </c:pt>
                <c:pt idx="29">
                  <c:v>703.81200000000001</c:v>
                </c:pt>
                <c:pt idx="30">
                  <c:v>704.18</c:v>
                </c:pt>
                <c:pt idx="31">
                  <c:v>703.98599999999999</c:v>
                </c:pt>
                <c:pt idx="32">
                  <c:v>701.01300000000003</c:v>
                </c:pt>
                <c:pt idx="33">
                  <c:v>701.37099999999998</c:v>
                </c:pt>
                <c:pt idx="34">
                  <c:v>701.37199999999996</c:v>
                </c:pt>
                <c:pt idx="35">
                  <c:v>701.07299999999998</c:v>
                </c:pt>
                <c:pt idx="36">
                  <c:v>701.29300000000001</c:v>
                </c:pt>
                <c:pt idx="37">
                  <c:v>701.00699999999995</c:v>
                </c:pt>
                <c:pt idx="38">
                  <c:v>702.62099999999998</c:v>
                </c:pt>
                <c:pt idx="39">
                  <c:v>702.43200000000002</c:v>
                </c:pt>
                <c:pt idx="40">
                  <c:v>702.23599999999999</c:v>
                </c:pt>
                <c:pt idx="41">
                  <c:v>702.05200000000002</c:v>
                </c:pt>
                <c:pt idx="42">
                  <c:v>703.42100000000005</c:v>
                </c:pt>
                <c:pt idx="43">
                  <c:v>702.10299999999995</c:v>
                </c:pt>
                <c:pt idx="44">
                  <c:v>701.20399999999995</c:v>
                </c:pt>
                <c:pt idx="45">
                  <c:v>700.25800000000004</c:v>
                </c:pt>
                <c:pt idx="46">
                  <c:v>702.43299999999999</c:v>
                </c:pt>
                <c:pt idx="47">
                  <c:v>697.93399999999997</c:v>
                </c:pt>
                <c:pt idx="48">
                  <c:v>702.84299999999996</c:v>
                </c:pt>
                <c:pt idx="49">
                  <c:v>700.16399999999999</c:v>
                </c:pt>
                <c:pt idx="50">
                  <c:v>702.98800000000006</c:v>
                </c:pt>
                <c:pt idx="51">
                  <c:v>703.06799999999998</c:v>
                </c:pt>
                <c:pt idx="52">
                  <c:v>702.56899999999996</c:v>
                </c:pt>
                <c:pt idx="53">
                  <c:v>701.53899999999999</c:v>
                </c:pt>
                <c:pt idx="54">
                  <c:v>700.69100000000003</c:v>
                </c:pt>
                <c:pt idx="55">
                  <c:v>698.35699999999997</c:v>
                </c:pt>
                <c:pt idx="56">
                  <c:v>700.08799999999997</c:v>
                </c:pt>
                <c:pt idx="57">
                  <c:v>700.10699999999997</c:v>
                </c:pt>
                <c:pt idx="58">
                  <c:v>700.13900000000001</c:v>
                </c:pt>
                <c:pt idx="59">
                  <c:v>702.745</c:v>
                </c:pt>
                <c:pt idx="60">
                  <c:v>701.27300000000002</c:v>
                </c:pt>
                <c:pt idx="61">
                  <c:v>701.09900000000005</c:v>
                </c:pt>
                <c:pt idx="62">
                  <c:v>700.89499999999998</c:v>
                </c:pt>
                <c:pt idx="63">
                  <c:v>701.33</c:v>
                </c:pt>
                <c:pt idx="64">
                  <c:v>700.99300000000005</c:v>
                </c:pt>
                <c:pt idx="65">
                  <c:v>700.99699999999996</c:v>
                </c:pt>
                <c:pt idx="66">
                  <c:v>701.053</c:v>
                </c:pt>
                <c:pt idx="67">
                  <c:v>701.43200000000002</c:v>
                </c:pt>
                <c:pt idx="68">
                  <c:v>701.61400000000003</c:v>
                </c:pt>
                <c:pt idx="69">
                  <c:v>700.72799999999995</c:v>
                </c:pt>
                <c:pt idx="70">
                  <c:v>700.72500000000002</c:v>
                </c:pt>
                <c:pt idx="71">
                  <c:v>700.71699999999998</c:v>
                </c:pt>
                <c:pt idx="72">
                  <c:v>700.87900000000002</c:v>
                </c:pt>
                <c:pt idx="73">
                  <c:v>700.68100000000004</c:v>
                </c:pt>
                <c:pt idx="74">
                  <c:v>700.98800000000006</c:v>
                </c:pt>
                <c:pt idx="75">
                  <c:v>698.06200000000001</c:v>
                </c:pt>
                <c:pt idx="76">
                  <c:v>700.94299999999998</c:v>
                </c:pt>
                <c:pt idx="77">
                  <c:v>702.375</c:v>
                </c:pt>
                <c:pt idx="78">
                  <c:v>701.85699999999997</c:v>
                </c:pt>
                <c:pt idx="79">
                  <c:v>700.34100000000001</c:v>
                </c:pt>
                <c:pt idx="80">
                  <c:v>702.89400000000001</c:v>
                </c:pt>
                <c:pt idx="81">
                  <c:v>703.06899999999996</c:v>
                </c:pt>
                <c:pt idx="82">
                  <c:v>699.70500000000004</c:v>
                </c:pt>
                <c:pt idx="83">
                  <c:v>699.79600000000005</c:v>
                </c:pt>
                <c:pt idx="84">
                  <c:v>699.58900000000006</c:v>
                </c:pt>
                <c:pt idx="85">
                  <c:v>699.88499999999999</c:v>
                </c:pt>
                <c:pt idx="86">
                  <c:v>699.87199999999996</c:v>
                </c:pt>
                <c:pt idx="87">
                  <c:v>699.75900000000001</c:v>
                </c:pt>
                <c:pt idx="88">
                  <c:v>699.79</c:v>
                </c:pt>
                <c:pt idx="89">
                  <c:v>697.72799999999995</c:v>
                </c:pt>
                <c:pt idx="90">
                  <c:v>697.88199999999995</c:v>
                </c:pt>
                <c:pt idx="91">
                  <c:v>700.02300000000002</c:v>
                </c:pt>
                <c:pt idx="92">
                  <c:v>698.00699999999995</c:v>
                </c:pt>
                <c:pt idx="93">
                  <c:v>700.33500000000004</c:v>
                </c:pt>
                <c:pt idx="94">
                  <c:v>700.49400000000003</c:v>
                </c:pt>
                <c:pt idx="95">
                  <c:v>701.2</c:v>
                </c:pt>
                <c:pt idx="96">
                  <c:v>697.73099999999999</c:v>
                </c:pt>
                <c:pt idx="97">
                  <c:v>697.77099999999996</c:v>
                </c:pt>
                <c:pt idx="98">
                  <c:v>697.91600000000005</c:v>
                </c:pt>
                <c:pt idx="99">
                  <c:v>701.00199999999995</c:v>
                </c:pt>
                <c:pt idx="100">
                  <c:v>702.54499999999996</c:v>
                </c:pt>
                <c:pt idx="101">
                  <c:v>701.51099999999997</c:v>
                </c:pt>
                <c:pt idx="102">
                  <c:v>701.40899999999999</c:v>
                </c:pt>
                <c:pt idx="103">
                  <c:v>701.66399999999999</c:v>
                </c:pt>
                <c:pt idx="104">
                  <c:v>701.79700000000003</c:v>
                </c:pt>
                <c:pt idx="105">
                  <c:v>701.49199999999996</c:v>
                </c:pt>
                <c:pt idx="106">
                  <c:v>701.61300000000006</c:v>
                </c:pt>
                <c:pt idx="107">
                  <c:v>701.66499999999996</c:v>
                </c:pt>
                <c:pt idx="108">
                  <c:v>701.70600000000002</c:v>
                </c:pt>
                <c:pt idx="109">
                  <c:v>700.03399999999999</c:v>
                </c:pt>
                <c:pt idx="110">
                  <c:v>702.01300000000003</c:v>
                </c:pt>
                <c:pt idx="111">
                  <c:v>700.90099999999995</c:v>
                </c:pt>
                <c:pt idx="112">
                  <c:v>700.04399999999998</c:v>
                </c:pt>
                <c:pt idx="113">
                  <c:v>701.25</c:v>
                </c:pt>
                <c:pt idx="114">
                  <c:v>702.94899999999996</c:v>
                </c:pt>
                <c:pt idx="115">
                  <c:v>700.38800000000003</c:v>
                </c:pt>
                <c:pt idx="116">
                  <c:v>700.351</c:v>
                </c:pt>
                <c:pt idx="117">
                  <c:v>700.88900000000001</c:v>
                </c:pt>
                <c:pt idx="118">
                  <c:v>699.851</c:v>
                </c:pt>
                <c:pt idx="119">
                  <c:v>700.03300000000002</c:v>
                </c:pt>
                <c:pt idx="120">
                  <c:v>701.63499999999999</c:v>
                </c:pt>
                <c:pt idx="121">
                  <c:v>701.73400000000004</c:v>
                </c:pt>
                <c:pt idx="122">
                  <c:v>703.45600000000002</c:v>
                </c:pt>
                <c:pt idx="123">
                  <c:v>703.202</c:v>
                </c:pt>
                <c:pt idx="124">
                  <c:v>701.83799999999997</c:v>
                </c:pt>
                <c:pt idx="125">
                  <c:v>700.13300000000004</c:v>
                </c:pt>
                <c:pt idx="126">
                  <c:v>702.75</c:v>
                </c:pt>
                <c:pt idx="127">
                  <c:v>701.33299999999997</c:v>
                </c:pt>
                <c:pt idx="128">
                  <c:v>702.26099999999997</c:v>
                </c:pt>
                <c:pt idx="129">
                  <c:v>702.01099999999997</c:v>
                </c:pt>
                <c:pt idx="130">
                  <c:v>702.06700000000001</c:v>
                </c:pt>
                <c:pt idx="131">
                  <c:v>701.52300000000002</c:v>
                </c:pt>
                <c:pt idx="132">
                  <c:v>702.21</c:v>
                </c:pt>
                <c:pt idx="133">
                  <c:v>701.64400000000001</c:v>
                </c:pt>
                <c:pt idx="134">
                  <c:v>700.16399999999999</c:v>
                </c:pt>
                <c:pt idx="135">
                  <c:v>698.35900000000004</c:v>
                </c:pt>
                <c:pt idx="136">
                  <c:v>700.23699999999997</c:v>
                </c:pt>
                <c:pt idx="137">
                  <c:v>700.06700000000001</c:v>
                </c:pt>
                <c:pt idx="138">
                  <c:v>700.06100000000004</c:v>
                </c:pt>
                <c:pt idx="139">
                  <c:v>700.16600000000005</c:v>
                </c:pt>
                <c:pt idx="140">
                  <c:v>698.93299999999999</c:v>
                </c:pt>
                <c:pt idx="141">
                  <c:v>698.77</c:v>
                </c:pt>
                <c:pt idx="142">
                  <c:v>700.23599999999999</c:v>
                </c:pt>
                <c:pt idx="143">
                  <c:v>702.58199999999999</c:v>
                </c:pt>
                <c:pt idx="144">
                  <c:v>702.46900000000005</c:v>
                </c:pt>
                <c:pt idx="145">
                  <c:v>701.05499999999995</c:v>
                </c:pt>
                <c:pt idx="146">
                  <c:v>702.19200000000001</c:v>
                </c:pt>
                <c:pt idx="147">
                  <c:v>701.71299999999997</c:v>
                </c:pt>
                <c:pt idx="148">
                  <c:v>702.28599999999994</c:v>
                </c:pt>
                <c:pt idx="149">
                  <c:v>702.04100000000005</c:v>
                </c:pt>
                <c:pt idx="150">
                  <c:v>703.13599999999997</c:v>
                </c:pt>
                <c:pt idx="151">
                  <c:v>700.60799999999995</c:v>
                </c:pt>
                <c:pt idx="152">
                  <c:v>700.51400000000001</c:v>
                </c:pt>
                <c:pt idx="153">
                  <c:v>698.22900000000004</c:v>
                </c:pt>
                <c:pt idx="154">
                  <c:v>702.28899999999999</c:v>
                </c:pt>
                <c:pt idx="155">
                  <c:v>698.53300000000002</c:v>
                </c:pt>
                <c:pt idx="156">
                  <c:v>701.23699999999997</c:v>
                </c:pt>
                <c:pt idx="157">
                  <c:v>699.49199999999996</c:v>
                </c:pt>
                <c:pt idx="158">
                  <c:v>699.52099999999996</c:v>
                </c:pt>
                <c:pt idx="159">
                  <c:v>701.27700000000004</c:v>
                </c:pt>
                <c:pt idx="160">
                  <c:v>701.61500000000001</c:v>
                </c:pt>
                <c:pt idx="161">
                  <c:v>698.33699999999999</c:v>
                </c:pt>
                <c:pt idx="162">
                  <c:v>700.12099999999998</c:v>
                </c:pt>
                <c:pt idx="163">
                  <c:v>700.95399999999995</c:v>
                </c:pt>
                <c:pt idx="164">
                  <c:v>701.26800000000003</c:v>
                </c:pt>
                <c:pt idx="165">
                  <c:v>701.67399999999998</c:v>
                </c:pt>
                <c:pt idx="166">
                  <c:v>700.98599999999999</c:v>
                </c:pt>
                <c:pt idx="167">
                  <c:v>701.25900000000001</c:v>
                </c:pt>
                <c:pt idx="168">
                  <c:v>700.2</c:v>
                </c:pt>
                <c:pt idx="169">
                  <c:v>701.75400000000002</c:v>
                </c:pt>
                <c:pt idx="170">
                  <c:v>701.56200000000001</c:v>
                </c:pt>
                <c:pt idx="171">
                  <c:v>701.15</c:v>
                </c:pt>
                <c:pt idx="172">
                  <c:v>699.50099999999998</c:v>
                </c:pt>
                <c:pt idx="173">
                  <c:v>702.37599999999998</c:v>
                </c:pt>
                <c:pt idx="174">
                  <c:v>702.20699999999999</c:v>
                </c:pt>
                <c:pt idx="175">
                  <c:v>699.97699999999998</c:v>
                </c:pt>
                <c:pt idx="176">
                  <c:v>701.29100000000005</c:v>
                </c:pt>
                <c:pt idx="177">
                  <c:v>701.601</c:v>
                </c:pt>
                <c:pt idx="178">
                  <c:v>700.428</c:v>
                </c:pt>
                <c:pt idx="179">
                  <c:v>699.99300000000005</c:v>
                </c:pt>
                <c:pt idx="180">
                  <c:v>701.125</c:v>
                </c:pt>
                <c:pt idx="181">
                  <c:v>699.89</c:v>
                </c:pt>
                <c:pt idx="182">
                  <c:v>700.65</c:v>
                </c:pt>
                <c:pt idx="183">
                  <c:v>699.81299999999999</c:v>
                </c:pt>
                <c:pt idx="184">
                  <c:v>700.452</c:v>
                </c:pt>
                <c:pt idx="185">
                  <c:v>700.82100000000003</c:v>
                </c:pt>
                <c:pt idx="186">
                  <c:v>700.73599999999999</c:v>
                </c:pt>
                <c:pt idx="187">
                  <c:v>700.79600000000005</c:v>
                </c:pt>
                <c:pt idx="188">
                  <c:v>701.096</c:v>
                </c:pt>
                <c:pt idx="189">
                  <c:v>701.16700000000003</c:v>
                </c:pt>
                <c:pt idx="190">
                  <c:v>701.04200000000003</c:v>
                </c:pt>
                <c:pt idx="191">
                  <c:v>701.14099999999996</c:v>
                </c:pt>
                <c:pt idx="192">
                  <c:v>701.24199999999996</c:v>
                </c:pt>
                <c:pt idx="193">
                  <c:v>700.87400000000002</c:v>
                </c:pt>
                <c:pt idx="194">
                  <c:v>700.69500000000005</c:v>
                </c:pt>
                <c:pt idx="195">
                  <c:v>700.351</c:v>
                </c:pt>
                <c:pt idx="196">
                  <c:v>699.97500000000002</c:v>
                </c:pt>
                <c:pt idx="197">
                  <c:v>700.51</c:v>
                </c:pt>
                <c:pt idx="198">
                  <c:v>702.35900000000004</c:v>
                </c:pt>
                <c:pt idx="199">
                  <c:v>700.93899999999996</c:v>
                </c:pt>
                <c:pt idx="200">
                  <c:v>701.16300000000001</c:v>
                </c:pt>
                <c:pt idx="201">
                  <c:v>700.61400000000003</c:v>
                </c:pt>
                <c:pt idx="202">
                  <c:v>699.76300000000003</c:v>
                </c:pt>
                <c:pt idx="203">
                  <c:v>700.08100000000002</c:v>
                </c:pt>
                <c:pt idx="204">
                  <c:v>699.40800000000002</c:v>
                </c:pt>
                <c:pt idx="205">
                  <c:v>699.66899999999998</c:v>
                </c:pt>
                <c:pt idx="206">
                  <c:v>700.56200000000001</c:v>
                </c:pt>
                <c:pt idx="207">
                  <c:v>699.91600000000005</c:v>
                </c:pt>
                <c:pt idx="208">
                  <c:v>699.99699999999996</c:v>
                </c:pt>
                <c:pt idx="209">
                  <c:v>699.79700000000003</c:v>
                </c:pt>
                <c:pt idx="210">
                  <c:v>700.07100000000003</c:v>
                </c:pt>
                <c:pt idx="211">
                  <c:v>700.54100000000005</c:v>
                </c:pt>
                <c:pt idx="212">
                  <c:v>699.899</c:v>
                </c:pt>
                <c:pt idx="213">
                  <c:v>700.34</c:v>
                </c:pt>
                <c:pt idx="214">
                  <c:v>700.00400000000002</c:v>
                </c:pt>
                <c:pt idx="215">
                  <c:v>700.56799999999998</c:v>
                </c:pt>
                <c:pt idx="216">
                  <c:v>700.52700000000004</c:v>
                </c:pt>
                <c:pt idx="217">
                  <c:v>700.00900000000001</c:v>
                </c:pt>
                <c:pt idx="218">
                  <c:v>700.12300000000005</c:v>
                </c:pt>
                <c:pt idx="219">
                  <c:v>700.42600000000004</c:v>
                </c:pt>
                <c:pt idx="220">
                  <c:v>702.33199999999999</c:v>
                </c:pt>
                <c:pt idx="221">
                  <c:v>703.58</c:v>
                </c:pt>
                <c:pt idx="222">
                  <c:v>701.57299999999998</c:v>
                </c:pt>
                <c:pt idx="223">
                  <c:v>701.12699999999995</c:v>
                </c:pt>
                <c:pt idx="224">
                  <c:v>702.35</c:v>
                </c:pt>
                <c:pt idx="225">
                  <c:v>701.11199999999997</c:v>
                </c:pt>
                <c:pt idx="226">
                  <c:v>700.9</c:v>
                </c:pt>
                <c:pt idx="227">
                  <c:v>702.57899999999995</c:v>
                </c:pt>
                <c:pt idx="228">
                  <c:v>701.37199999999996</c:v>
                </c:pt>
                <c:pt idx="229">
                  <c:v>700.57799999999997</c:v>
                </c:pt>
                <c:pt idx="230">
                  <c:v>702.05600000000004</c:v>
                </c:pt>
                <c:pt idx="231">
                  <c:v>702.12599999999998</c:v>
                </c:pt>
                <c:pt idx="232">
                  <c:v>700.178</c:v>
                </c:pt>
                <c:pt idx="233">
                  <c:v>700.63199999999995</c:v>
                </c:pt>
                <c:pt idx="234">
                  <c:v>701.43</c:v>
                </c:pt>
                <c:pt idx="235">
                  <c:v>701.02800000000002</c:v>
                </c:pt>
                <c:pt idx="236">
                  <c:v>700.82100000000003</c:v>
                </c:pt>
                <c:pt idx="237">
                  <c:v>699.45</c:v>
                </c:pt>
                <c:pt idx="238">
                  <c:v>700.17899999999997</c:v>
                </c:pt>
                <c:pt idx="239">
                  <c:v>701.41800000000001</c:v>
                </c:pt>
                <c:pt idx="240">
                  <c:v>702.50400000000002</c:v>
                </c:pt>
                <c:pt idx="241">
                  <c:v>700.15099999999995</c:v>
                </c:pt>
                <c:pt idx="242">
                  <c:v>700.93100000000004</c:v>
                </c:pt>
                <c:pt idx="243">
                  <c:v>700.18499999999995</c:v>
                </c:pt>
                <c:pt idx="244">
                  <c:v>700.93299999999999</c:v>
                </c:pt>
                <c:pt idx="245">
                  <c:v>700.41700000000003</c:v>
                </c:pt>
                <c:pt idx="246">
                  <c:v>699.83299999999997</c:v>
                </c:pt>
                <c:pt idx="247">
                  <c:v>699.95600000000002</c:v>
                </c:pt>
                <c:pt idx="248">
                  <c:v>701.36099999999999</c:v>
                </c:pt>
                <c:pt idx="249">
                  <c:v>701.495</c:v>
                </c:pt>
                <c:pt idx="250">
                  <c:v>701.18499999999995</c:v>
                </c:pt>
                <c:pt idx="251">
                  <c:v>701.35199999999998</c:v>
                </c:pt>
                <c:pt idx="252">
                  <c:v>702.44600000000003</c:v>
                </c:pt>
                <c:pt idx="253">
                  <c:v>697.65099999999995</c:v>
                </c:pt>
                <c:pt idx="254">
                  <c:v>700.10799999999995</c:v>
                </c:pt>
                <c:pt idx="255">
                  <c:v>697.29700000000003</c:v>
                </c:pt>
                <c:pt idx="256">
                  <c:v>697.44600000000003</c:v>
                </c:pt>
                <c:pt idx="257">
                  <c:v>697.68200000000002</c:v>
                </c:pt>
                <c:pt idx="258">
                  <c:v>699.99800000000005</c:v>
                </c:pt>
                <c:pt idx="259">
                  <c:v>700.77300000000002</c:v>
                </c:pt>
                <c:pt idx="260">
                  <c:v>699.98500000000001</c:v>
                </c:pt>
                <c:pt idx="261">
                  <c:v>702.19799999999998</c:v>
                </c:pt>
                <c:pt idx="262">
                  <c:v>697.70399999999995</c:v>
                </c:pt>
                <c:pt idx="263">
                  <c:v>699.55700000000002</c:v>
                </c:pt>
                <c:pt idx="264">
                  <c:v>701.54</c:v>
                </c:pt>
                <c:pt idx="265">
                  <c:v>700.80200000000002</c:v>
                </c:pt>
                <c:pt idx="266">
                  <c:v>700.47500000000002</c:v>
                </c:pt>
                <c:pt idx="267">
                  <c:v>697.78300000000002</c:v>
                </c:pt>
                <c:pt idx="268">
                  <c:v>697.63599999999997</c:v>
                </c:pt>
                <c:pt idx="269">
                  <c:v>703.55200000000002</c:v>
                </c:pt>
                <c:pt idx="270">
                  <c:v>697.56100000000004</c:v>
                </c:pt>
                <c:pt idx="271">
                  <c:v>699.26900000000001</c:v>
                </c:pt>
                <c:pt idx="272">
                  <c:v>700.327</c:v>
                </c:pt>
                <c:pt idx="273">
                  <c:v>701.375</c:v>
                </c:pt>
                <c:pt idx="274">
                  <c:v>699.95699999999999</c:v>
                </c:pt>
                <c:pt idx="275">
                  <c:v>703.322</c:v>
                </c:pt>
                <c:pt idx="276">
                  <c:v>701.40700000000004</c:v>
                </c:pt>
                <c:pt idx="277">
                  <c:v>701.245</c:v>
                </c:pt>
                <c:pt idx="278">
                  <c:v>700.25900000000001</c:v>
                </c:pt>
                <c:pt idx="279">
                  <c:v>701.46400000000006</c:v>
                </c:pt>
                <c:pt idx="280">
                  <c:v>701.35400000000004</c:v>
                </c:pt>
                <c:pt idx="281">
                  <c:v>701.33100000000002</c:v>
                </c:pt>
                <c:pt idx="282">
                  <c:v>702.40899999999999</c:v>
                </c:pt>
                <c:pt idx="283">
                  <c:v>702.89599999999996</c:v>
                </c:pt>
                <c:pt idx="284">
                  <c:v>699.67</c:v>
                </c:pt>
                <c:pt idx="285">
                  <c:v>699.40700000000004</c:v>
                </c:pt>
                <c:pt idx="286">
                  <c:v>700.03800000000001</c:v>
                </c:pt>
                <c:pt idx="287">
                  <c:v>700.06799999999998</c:v>
                </c:pt>
                <c:pt idx="288">
                  <c:v>700.19899999999996</c:v>
                </c:pt>
                <c:pt idx="289">
                  <c:v>700.50800000000004</c:v>
                </c:pt>
                <c:pt idx="290">
                  <c:v>699.62</c:v>
                </c:pt>
                <c:pt idx="291">
                  <c:v>700.56</c:v>
                </c:pt>
                <c:pt idx="292">
                  <c:v>699.97699999999998</c:v>
                </c:pt>
                <c:pt idx="293">
                  <c:v>700.25800000000004</c:v>
                </c:pt>
                <c:pt idx="294">
                  <c:v>699.98099999999999</c:v>
                </c:pt>
                <c:pt idx="295">
                  <c:v>701.15</c:v>
                </c:pt>
                <c:pt idx="296">
                  <c:v>702.375</c:v>
                </c:pt>
                <c:pt idx="297">
                  <c:v>701.26400000000001</c:v>
                </c:pt>
                <c:pt idx="298">
                  <c:v>701.14</c:v>
                </c:pt>
                <c:pt idx="299">
                  <c:v>703.39499999999998</c:v>
                </c:pt>
                <c:pt idx="300">
                  <c:v>699.88699999999994</c:v>
                </c:pt>
                <c:pt idx="301">
                  <c:v>701.05600000000004</c:v>
                </c:pt>
                <c:pt idx="302">
                  <c:v>700.13900000000001</c:v>
                </c:pt>
                <c:pt idx="303">
                  <c:v>700.64499999999998</c:v>
                </c:pt>
                <c:pt idx="304">
                  <c:v>700.96699999999998</c:v>
                </c:pt>
                <c:pt idx="305">
                  <c:v>700.23099999999999</c:v>
                </c:pt>
                <c:pt idx="306">
                  <c:v>701.66800000000001</c:v>
                </c:pt>
                <c:pt idx="307">
                  <c:v>701.62</c:v>
                </c:pt>
                <c:pt idx="308">
                  <c:v>701.02099999999996</c:v>
                </c:pt>
                <c:pt idx="309">
                  <c:v>700.90099999999995</c:v>
                </c:pt>
                <c:pt idx="310">
                  <c:v>700.15</c:v>
                </c:pt>
                <c:pt idx="311">
                  <c:v>701.37599999999998</c:v>
                </c:pt>
                <c:pt idx="312">
                  <c:v>700.98800000000006</c:v>
                </c:pt>
                <c:pt idx="313">
                  <c:v>700.11400000000003</c:v>
                </c:pt>
                <c:pt idx="314">
                  <c:v>700.399</c:v>
                </c:pt>
                <c:pt idx="315">
                  <c:v>701.55100000000004</c:v>
                </c:pt>
                <c:pt idx="316">
                  <c:v>703.15599999999995</c:v>
                </c:pt>
                <c:pt idx="317">
                  <c:v>701.83299999999997</c:v>
                </c:pt>
                <c:pt idx="318">
                  <c:v>699.76300000000003</c:v>
                </c:pt>
                <c:pt idx="319">
                  <c:v>702.80899999999997</c:v>
                </c:pt>
                <c:pt idx="320">
                  <c:v>700.87599999999998</c:v>
                </c:pt>
                <c:pt idx="321">
                  <c:v>702.95299999999997</c:v>
                </c:pt>
                <c:pt idx="322">
                  <c:v>699.54</c:v>
                </c:pt>
                <c:pt idx="323">
                  <c:v>701.93700000000001</c:v>
                </c:pt>
                <c:pt idx="324">
                  <c:v>700.66399999999999</c:v>
                </c:pt>
                <c:pt idx="325">
                  <c:v>700.88499999999999</c:v>
                </c:pt>
                <c:pt idx="326">
                  <c:v>699.66200000000003</c:v>
                </c:pt>
                <c:pt idx="327">
                  <c:v>700.82500000000005</c:v>
                </c:pt>
                <c:pt idx="328">
                  <c:v>699.91200000000003</c:v>
                </c:pt>
                <c:pt idx="329">
                  <c:v>699.93299999999999</c:v>
                </c:pt>
                <c:pt idx="330">
                  <c:v>702.24099999999999</c:v>
                </c:pt>
                <c:pt idx="331">
                  <c:v>699.98299999999995</c:v>
                </c:pt>
                <c:pt idx="332">
                  <c:v>700.678</c:v>
                </c:pt>
                <c:pt idx="333">
                  <c:v>699.71600000000001</c:v>
                </c:pt>
                <c:pt idx="334">
                  <c:v>700.61400000000003</c:v>
                </c:pt>
                <c:pt idx="335">
                  <c:v>703.33900000000006</c:v>
                </c:pt>
                <c:pt idx="336">
                  <c:v>703.61699999999996</c:v>
                </c:pt>
                <c:pt idx="337">
                  <c:v>704.13199999999995</c:v>
                </c:pt>
                <c:pt idx="338">
                  <c:v>700.322</c:v>
                </c:pt>
                <c:pt idx="339">
                  <c:v>700.95500000000004</c:v>
                </c:pt>
                <c:pt idx="340">
                  <c:v>699.83900000000006</c:v>
                </c:pt>
                <c:pt idx="341">
                  <c:v>699.69</c:v>
                </c:pt>
                <c:pt idx="342">
                  <c:v>699.34799999999996</c:v>
                </c:pt>
                <c:pt idx="343">
                  <c:v>698.85400000000004</c:v>
                </c:pt>
                <c:pt idx="344">
                  <c:v>699.33500000000004</c:v>
                </c:pt>
                <c:pt idx="345">
                  <c:v>700.28300000000002</c:v>
                </c:pt>
                <c:pt idx="346">
                  <c:v>701.20500000000004</c:v>
                </c:pt>
                <c:pt idx="347">
                  <c:v>700.85799999999995</c:v>
                </c:pt>
                <c:pt idx="348">
                  <c:v>700.34900000000005</c:v>
                </c:pt>
                <c:pt idx="349">
                  <c:v>702.91600000000005</c:v>
                </c:pt>
                <c:pt idx="350">
                  <c:v>700.029</c:v>
                </c:pt>
                <c:pt idx="351">
                  <c:v>703.08399999999995</c:v>
                </c:pt>
                <c:pt idx="352">
                  <c:v>699.61199999999997</c:v>
                </c:pt>
                <c:pt idx="353">
                  <c:v>700.03800000000001</c:v>
                </c:pt>
                <c:pt idx="354">
                  <c:v>703.04499999999996</c:v>
                </c:pt>
                <c:pt idx="355">
                  <c:v>703.09500000000003</c:v>
                </c:pt>
                <c:pt idx="356">
                  <c:v>703.02800000000002</c:v>
                </c:pt>
                <c:pt idx="357">
                  <c:v>698.48400000000004</c:v>
                </c:pt>
                <c:pt idx="358">
                  <c:v>700.58299999999997</c:v>
                </c:pt>
                <c:pt idx="359">
                  <c:v>699.79899999999998</c:v>
                </c:pt>
                <c:pt idx="360">
                  <c:v>700.702</c:v>
                </c:pt>
                <c:pt idx="361">
                  <c:v>700.76300000000003</c:v>
                </c:pt>
                <c:pt idx="362">
                  <c:v>700.72400000000005</c:v>
                </c:pt>
                <c:pt idx="363">
                  <c:v>703.81500000000005</c:v>
                </c:pt>
                <c:pt idx="364">
                  <c:v>700.13900000000001</c:v>
                </c:pt>
                <c:pt idx="365">
                  <c:v>700.16899999999998</c:v>
                </c:pt>
                <c:pt idx="366">
                  <c:v>701.31399999999996</c:v>
                </c:pt>
                <c:pt idx="367">
                  <c:v>700.45799999999997</c:v>
                </c:pt>
                <c:pt idx="368">
                  <c:v>700.88499999999999</c:v>
                </c:pt>
                <c:pt idx="369">
                  <c:v>702.31899999999996</c:v>
                </c:pt>
                <c:pt idx="370">
                  <c:v>700.12599999999998</c:v>
                </c:pt>
                <c:pt idx="371">
                  <c:v>699.70799999999997</c:v>
                </c:pt>
                <c:pt idx="372">
                  <c:v>700.87199999999996</c:v>
                </c:pt>
                <c:pt idx="373">
                  <c:v>702.202</c:v>
                </c:pt>
                <c:pt idx="374">
                  <c:v>700.24199999999996</c:v>
                </c:pt>
                <c:pt idx="375">
                  <c:v>700.84</c:v>
                </c:pt>
                <c:pt idx="376">
                  <c:v>700.09400000000005</c:v>
                </c:pt>
                <c:pt idx="377">
                  <c:v>699.78099999999995</c:v>
                </c:pt>
                <c:pt idx="378">
                  <c:v>699.49599999999998</c:v>
                </c:pt>
                <c:pt idx="379">
                  <c:v>698.26099999999997</c:v>
                </c:pt>
                <c:pt idx="380">
                  <c:v>702.11800000000005</c:v>
                </c:pt>
                <c:pt idx="381">
                  <c:v>701.81799999999998</c:v>
                </c:pt>
                <c:pt idx="382">
                  <c:v>698.91099999999994</c:v>
                </c:pt>
                <c:pt idx="383">
                  <c:v>701.53099999999995</c:v>
                </c:pt>
                <c:pt idx="384">
                  <c:v>701.596</c:v>
                </c:pt>
                <c:pt idx="385">
                  <c:v>699.92600000000004</c:v>
                </c:pt>
                <c:pt idx="386">
                  <c:v>701.58299999999997</c:v>
                </c:pt>
                <c:pt idx="387">
                  <c:v>702.17</c:v>
                </c:pt>
                <c:pt idx="388">
                  <c:v>702.13</c:v>
                </c:pt>
                <c:pt idx="389">
                  <c:v>698.33299999999997</c:v>
                </c:pt>
                <c:pt idx="390">
                  <c:v>700.298</c:v>
                </c:pt>
                <c:pt idx="391">
                  <c:v>700.12800000000004</c:v>
                </c:pt>
                <c:pt idx="392">
                  <c:v>702.654</c:v>
                </c:pt>
                <c:pt idx="393">
                  <c:v>698.55200000000002</c:v>
                </c:pt>
                <c:pt idx="394">
                  <c:v>699.28899999999999</c:v>
                </c:pt>
                <c:pt idx="395">
                  <c:v>701.34699999999998</c:v>
                </c:pt>
                <c:pt idx="396">
                  <c:v>701.95799999999997</c:v>
                </c:pt>
                <c:pt idx="397">
                  <c:v>700.81</c:v>
                </c:pt>
                <c:pt idx="398">
                  <c:v>698.63900000000001</c:v>
                </c:pt>
                <c:pt idx="399">
                  <c:v>700.27499999999998</c:v>
                </c:pt>
                <c:pt idx="400">
                  <c:v>698.99900000000002</c:v>
                </c:pt>
                <c:pt idx="401">
                  <c:v>698.99800000000005</c:v>
                </c:pt>
                <c:pt idx="402">
                  <c:v>700.32</c:v>
                </c:pt>
                <c:pt idx="403">
                  <c:v>702.58100000000002</c:v>
                </c:pt>
                <c:pt idx="404">
                  <c:v>701.52099999999996</c:v>
                </c:pt>
                <c:pt idx="405">
                  <c:v>703.89400000000001</c:v>
                </c:pt>
                <c:pt idx="406">
                  <c:v>701.82299999999998</c:v>
                </c:pt>
                <c:pt idx="407">
                  <c:v>701.73299999999995</c:v>
                </c:pt>
                <c:pt idx="408">
                  <c:v>701.45699999999999</c:v>
                </c:pt>
                <c:pt idx="409">
                  <c:v>700.44</c:v>
                </c:pt>
                <c:pt idx="410">
                  <c:v>700.61500000000001</c:v>
                </c:pt>
                <c:pt idx="411">
                  <c:v>700.923</c:v>
                </c:pt>
                <c:pt idx="412">
                  <c:v>699.76900000000001</c:v>
                </c:pt>
                <c:pt idx="413">
                  <c:v>700.71500000000003</c:v>
                </c:pt>
                <c:pt idx="414">
                  <c:v>700.18700000000001</c:v>
                </c:pt>
                <c:pt idx="415">
                  <c:v>701.28</c:v>
                </c:pt>
                <c:pt idx="416">
                  <c:v>701.41600000000005</c:v>
                </c:pt>
                <c:pt idx="417">
                  <c:v>701.20699999999999</c:v>
                </c:pt>
                <c:pt idx="418">
                  <c:v>701.25900000000001</c:v>
                </c:pt>
                <c:pt idx="419">
                  <c:v>699.86400000000003</c:v>
                </c:pt>
                <c:pt idx="420">
                  <c:v>701.81899999999996</c:v>
                </c:pt>
                <c:pt idx="421">
                  <c:v>701.09900000000005</c:v>
                </c:pt>
                <c:pt idx="422">
                  <c:v>701.423</c:v>
                </c:pt>
                <c:pt idx="423">
                  <c:v>700.56200000000001</c:v>
                </c:pt>
                <c:pt idx="424">
                  <c:v>700.70600000000002</c:v>
                </c:pt>
                <c:pt idx="425">
                  <c:v>699.18299999999999</c:v>
                </c:pt>
                <c:pt idx="426">
                  <c:v>701.05499999999995</c:v>
                </c:pt>
                <c:pt idx="427">
                  <c:v>699.01</c:v>
                </c:pt>
                <c:pt idx="428">
                  <c:v>701.09</c:v>
                </c:pt>
                <c:pt idx="429">
                  <c:v>698.86500000000001</c:v>
                </c:pt>
                <c:pt idx="430">
                  <c:v>700.22900000000004</c:v>
                </c:pt>
                <c:pt idx="431">
                  <c:v>699.03899999999999</c:v>
                </c:pt>
                <c:pt idx="432">
                  <c:v>701.64200000000005</c:v>
                </c:pt>
                <c:pt idx="433">
                  <c:v>699.11099999999999</c:v>
                </c:pt>
                <c:pt idx="434">
                  <c:v>698.89499999999998</c:v>
                </c:pt>
                <c:pt idx="435">
                  <c:v>700.62300000000005</c:v>
                </c:pt>
                <c:pt idx="436">
                  <c:v>702.21199999999999</c:v>
                </c:pt>
                <c:pt idx="437">
                  <c:v>701.91099999999994</c:v>
                </c:pt>
                <c:pt idx="438">
                  <c:v>700.68</c:v>
                </c:pt>
                <c:pt idx="439">
                  <c:v>701.73099999999999</c:v>
                </c:pt>
                <c:pt idx="440">
                  <c:v>701.98400000000004</c:v>
                </c:pt>
                <c:pt idx="441">
                  <c:v>700.93499999999995</c:v>
                </c:pt>
                <c:pt idx="442">
                  <c:v>701.55399999999997</c:v>
                </c:pt>
                <c:pt idx="443">
                  <c:v>701.85799999999995</c:v>
                </c:pt>
                <c:pt idx="444">
                  <c:v>701.85500000000002</c:v>
                </c:pt>
                <c:pt idx="445">
                  <c:v>700.37699999999995</c:v>
                </c:pt>
                <c:pt idx="446">
                  <c:v>700.07399999999996</c:v>
                </c:pt>
                <c:pt idx="447">
                  <c:v>702.83199999999999</c:v>
                </c:pt>
                <c:pt idx="448">
                  <c:v>702.08799999999997</c:v>
                </c:pt>
                <c:pt idx="449">
                  <c:v>702.10599999999999</c:v>
                </c:pt>
                <c:pt idx="450">
                  <c:v>702.62400000000002</c:v>
                </c:pt>
                <c:pt idx="451">
                  <c:v>701.745</c:v>
                </c:pt>
                <c:pt idx="452">
                  <c:v>700.73500000000001</c:v>
                </c:pt>
                <c:pt idx="453">
                  <c:v>700.78700000000003</c:v>
                </c:pt>
                <c:pt idx="454">
                  <c:v>701.11500000000001</c:v>
                </c:pt>
                <c:pt idx="455">
                  <c:v>701.08</c:v>
                </c:pt>
                <c:pt idx="456">
                  <c:v>701.524</c:v>
                </c:pt>
                <c:pt idx="457">
                  <c:v>700.46400000000006</c:v>
                </c:pt>
                <c:pt idx="458">
                  <c:v>700.80899999999997</c:v>
                </c:pt>
                <c:pt idx="459">
                  <c:v>700.86699999999996</c:v>
                </c:pt>
                <c:pt idx="460">
                  <c:v>702.38599999999997</c:v>
                </c:pt>
                <c:pt idx="461">
                  <c:v>700.68499999999995</c:v>
                </c:pt>
                <c:pt idx="462">
                  <c:v>700.70699999999999</c:v>
                </c:pt>
                <c:pt idx="463">
                  <c:v>702.14800000000002</c:v>
                </c:pt>
                <c:pt idx="464">
                  <c:v>699.29700000000003</c:v>
                </c:pt>
                <c:pt idx="465">
                  <c:v>699.89499999999998</c:v>
                </c:pt>
                <c:pt idx="466">
                  <c:v>700.52300000000002</c:v>
                </c:pt>
                <c:pt idx="467">
                  <c:v>700.20699999999999</c:v>
                </c:pt>
                <c:pt idx="468">
                  <c:v>700.51700000000005</c:v>
                </c:pt>
                <c:pt idx="469">
                  <c:v>701.1</c:v>
                </c:pt>
                <c:pt idx="470">
                  <c:v>701.50099999999998</c:v>
                </c:pt>
                <c:pt idx="471">
                  <c:v>701.399</c:v>
                </c:pt>
                <c:pt idx="472">
                  <c:v>701.68700000000001</c:v>
                </c:pt>
                <c:pt idx="473">
                  <c:v>701.56200000000001</c:v>
                </c:pt>
                <c:pt idx="474">
                  <c:v>702.375</c:v>
                </c:pt>
                <c:pt idx="475">
                  <c:v>701.73099999999999</c:v>
                </c:pt>
                <c:pt idx="476">
                  <c:v>701.971</c:v>
                </c:pt>
                <c:pt idx="477">
                  <c:v>699.79300000000001</c:v>
                </c:pt>
                <c:pt idx="478">
                  <c:v>702.57899999999995</c:v>
                </c:pt>
                <c:pt idx="479">
                  <c:v>702.35299999999995</c:v>
                </c:pt>
                <c:pt idx="480">
                  <c:v>701.99099999999999</c:v>
                </c:pt>
                <c:pt idx="481">
                  <c:v>703.23299999999995</c:v>
                </c:pt>
                <c:pt idx="482">
                  <c:v>702.14499999999998</c:v>
                </c:pt>
                <c:pt idx="483">
                  <c:v>700.81700000000001</c:v>
                </c:pt>
                <c:pt idx="484">
                  <c:v>702.52499999999998</c:v>
                </c:pt>
                <c:pt idx="485">
                  <c:v>700.43499999999995</c:v>
                </c:pt>
                <c:pt idx="486">
                  <c:v>702.22199999999998</c:v>
                </c:pt>
                <c:pt idx="487">
                  <c:v>700.476</c:v>
                </c:pt>
                <c:pt idx="488">
                  <c:v>700.923</c:v>
                </c:pt>
                <c:pt idx="489">
                  <c:v>699.01</c:v>
                </c:pt>
                <c:pt idx="490">
                  <c:v>701.51900000000001</c:v>
                </c:pt>
                <c:pt idx="491">
                  <c:v>700.87599999999998</c:v>
                </c:pt>
                <c:pt idx="492">
                  <c:v>702.601</c:v>
                </c:pt>
                <c:pt idx="493">
                  <c:v>701.15300000000002</c:v>
                </c:pt>
                <c:pt idx="494">
                  <c:v>702.49800000000005</c:v>
                </c:pt>
                <c:pt idx="495">
                  <c:v>700.33</c:v>
                </c:pt>
                <c:pt idx="496">
                  <c:v>698.65499999999997</c:v>
                </c:pt>
                <c:pt idx="497">
                  <c:v>701.53800000000001</c:v>
                </c:pt>
                <c:pt idx="498">
                  <c:v>701.36199999999997</c:v>
                </c:pt>
                <c:pt idx="499">
                  <c:v>700.98699999999997</c:v>
                </c:pt>
                <c:pt idx="500">
                  <c:v>699.62099999999998</c:v>
                </c:pt>
                <c:pt idx="501">
                  <c:v>701.83799999999997</c:v>
                </c:pt>
                <c:pt idx="502">
                  <c:v>702.56299999999999</c:v>
                </c:pt>
                <c:pt idx="503">
                  <c:v>700.97</c:v>
                </c:pt>
                <c:pt idx="504">
                  <c:v>702.93399999999997</c:v>
                </c:pt>
                <c:pt idx="505">
                  <c:v>702.82399999999996</c:v>
                </c:pt>
                <c:pt idx="506">
                  <c:v>702.59400000000005</c:v>
                </c:pt>
                <c:pt idx="507">
                  <c:v>703.20299999999997</c:v>
                </c:pt>
                <c:pt idx="508">
                  <c:v>702.90099999999995</c:v>
                </c:pt>
                <c:pt idx="509">
                  <c:v>702.45699999999999</c:v>
                </c:pt>
                <c:pt idx="510">
                  <c:v>702.90700000000004</c:v>
                </c:pt>
                <c:pt idx="511">
                  <c:v>702.73</c:v>
                </c:pt>
                <c:pt idx="512">
                  <c:v>702.71900000000005</c:v>
                </c:pt>
                <c:pt idx="513">
                  <c:v>703.07299999999998</c:v>
                </c:pt>
                <c:pt idx="514">
                  <c:v>702.221</c:v>
                </c:pt>
                <c:pt idx="515">
                  <c:v>701.04700000000003</c:v>
                </c:pt>
                <c:pt idx="516">
                  <c:v>700.16099999999994</c:v>
                </c:pt>
                <c:pt idx="517">
                  <c:v>700.20699999999999</c:v>
                </c:pt>
                <c:pt idx="518">
                  <c:v>702.26599999999996</c:v>
                </c:pt>
                <c:pt idx="519">
                  <c:v>702.23299999999995</c:v>
                </c:pt>
                <c:pt idx="520">
                  <c:v>700.14200000000005</c:v>
                </c:pt>
                <c:pt idx="521">
                  <c:v>700.32500000000005</c:v>
                </c:pt>
                <c:pt idx="522">
                  <c:v>700.36900000000003</c:v>
                </c:pt>
                <c:pt idx="523">
                  <c:v>701.39800000000002</c:v>
                </c:pt>
                <c:pt idx="524">
                  <c:v>700.81799999999998</c:v>
                </c:pt>
                <c:pt idx="525">
                  <c:v>700.92499999999995</c:v>
                </c:pt>
                <c:pt idx="526">
                  <c:v>699.86199999999997</c:v>
                </c:pt>
                <c:pt idx="527">
                  <c:v>700.70899999999995</c:v>
                </c:pt>
                <c:pt idx="528">
                  <c:v>699.70799999999997</c:v>
                </c:pt>
                <c:pt idx="529">
                  <c:v>699.17499999999995</c:v>
                </c:pt>
                <c:pt idx="530">
                  <c:v>699.69399999999996</c:v>
                </c:pt>
                <c:pt idx="531">
                  <c:v>700.67</c:v>
                </c:pt>
                <c:pt idx="532">
                  <c:v>700.65899999999999</c:v>
                </c:pt>
                <c:pt idx="533">
                  <c:v>700.65800000000002</c:v>
                </c:pt>
                <c:pt idx="534">
                  <c:v>700.46600000000001</c:v>
                </c:pt>
                <c:pt idx="535">
                  <c:v>700.65200000000004</c:v>
                </c:pt>
                <c:pt idx="536">
                  <c:v>702.52700000000004</c:v>
                </c:pt>
                <c:pt idx="537">
                  <c:v>700.49699999999996</c:v>
                </c:pt>
                <c:pt idx="538">
                  <c:v>701.40200000000004</c:v>
                </c:pt>
                <c:pt idx="539">
                  <c:v>702.22900000000004</c:v>
                </c:pt>
                <c:pt idx="540">
                  <c:v>700.71699999999998</c:v>
                </c:pt>
                <c:pt idx="541">
                  <c:v>702.32799999999997</c:v>
                </c:pt>
                <c:pt idx="542">
                  <c:v>700.91</c:v>
                </c:pt>
                <c:pt idx="543">
                  <c:v>702.452</c:v>
                </c:pt>
                <c:pt idx="544">
                  <c:v>700.25800000000004</c:v>
                </c:pt>
                <c:pt idx="545">
                  <c:v>701.90700000000004</c:v>
                </c:pt>
                <c:pt idx="546">
                  <c:v>700.88400000000001</c:v>
                </c:pt>
                <c:pt idx="547">
                  <c:v>701.68399999999997</c:v>
                </c:pt>
                <c:pt idx="548">
                  <c:v>701.649</c:v>
                </c:pt>
                <c:pt idx="549">
                  <c:v>702.02499999999998</c:v>
                </c:pt>
                <c:pt idx="550">
                  <c:v>701.80799999999999</c:v>
                </c:pt>
                <c:pt idx="551">
                  <c:v>702.81399999999996</c:v>
                </c:pt>
                <c:pt idx="552">
                  <c:v>701.95500000000004</c:v>
                </c:pt>
                <c:pt idx="553">
                  <c:v>702.16</c:v>
                </c:pt>
                <c:pt idx="554">
                  <c:v>700.99800000000005</c:v>
                </c:pt>
                <c:pt idx="555">
                  <c:v>700.7</c:v>
                </c:pt>
                <c:pt idx="556">
                  <c:v>700.52099999999996</c:v>
                </c:pt>
                <c:pt idx="557">
                  <c:v>701.28499999999997</c:v>
                </c:pt>
                <c:pt idx="558">
                  <c:v>700.74199999999996</c:v>
                </c:pt>
                <c:pt idx="559">
                  <c:v>700.58299999999997</c:v>
                </c:pt>
                <c:pt idx="560">
                  <c:v>700.84799999999996</c:v>
                </c:pt>
                <c:pt idx="561">
                  <c:v>703.01199999999994</c:v>
                </c:pt>
                <c:pt idx="562">
                  <c:v>701.46</c:v>
                </c:pt>
                <c:pt idx="563">
                  <c:v>701.16200000000003</c:v>
                </c:pt>
                <c:pt idx="564">
                  <c:v>700.94500000000005</c:v>
                </c:pt>
                <c:pt idx="565">
                  <c:v>700.745</c:v>
                </c:pt>
                <c:pt idx="566">
                  <c:v>702.37599999999998</c:v>
                </c:pt>
                <c:pt idx="567">
                  <c:v>701.02599999999995</c:v>
                </c:pt>
                <c:pt idx="568">
                  <c:v>701.56</c:v>
                </c:pt>
                <c:pt idx="569">
                  <c:v>701.17899999999997</c:v>
                </c:pt>
                <c:pt idx="570">
                  <c:v>699.73599999999999</c:v>
                </c:pt>
                <c:pt idx="571">
                  <c:v>698.90800000000002</c:v>
                </c:pt>
                <c:pt idx="572">
                  <c:v>699.31100000000004</c:v>
                </c:pt>
                <c:pt idx="573">
                  <c:v>699.03499999999997</c:v>
                </c:pt>
                <c:pt idx="574">
                  <c:v>699.75199999999995</c:v>
                </c:pt>
                <c:pt idx="575">
                  <c:v>701.08900000000006</c:v>
                </c:pt>
                <c:pt idx="576">
                  <c:v>700.74199999999996</c:v>
                </c:pt>
                <c:pt idx="577">
                  <c:v>700.89400000000001</c:v>
                </c:pt>
                <c:pt idx="578">
                  <c:v>699.07100000000003</c:v>
                </c:pt>
                <c:pt idx="579">
                  <c:v>702.22500000000002</c:v>
                </c:pt>
                <c:pt idx="580">
                  <c:v>701.71199999999999</c:v>
                </c:pt>
                <c:pt idx="581">
                  <c:v>702.41200000000003</c:v>
                </c:pt>
                <c:pt idx="582">
                  <c:v>699.49199999999996</c:v>
                </c:pt>
                <c:pt idx="583">
                  <c:v>701.16700000000003</c:v>
                </c:pt>
                <c:pt idx="584">
                  <c:v>701.31600000000003</c:v>
                </c:pt>
                <c:pt idx="585">
                  <c:v>700.65099999999995</c:v>
                </c:pt>
                <c:pt idx="586">
                  <c:v>703.48099999999999</c:v>
                </c:pt>
                <c:pt idx="587">
                  <c:v>702.93</c:v>
                </c:pt>
                <c:pt idx="588">
                  <c:v>700.78899999999999</c:v>
                </c:pt>
                <c:pt idx="589">
                  <c:v>700.99699999999996</c:v>
                </c:pt>
                <c:pt idx="590">
                  <c:v>701.21900000000005</c:v>
                </c:pt>
                <c:pt idx="591">
                  <c:v>701.00900000000001</c:v>
                </c:pt>
                <c:pt idx="592">
                  <c:v>701.31</c:v>
                </c:pt>
                <c:pt idx="593">
                  <c:v>700.755</c:v>
                </c:pt>
                <c:pt idx="594">
                  <c:v>702.03899999999999</c:v>
                </c:pt>
                <c:pt idx="595">
                  <c:v>700.298</c:v>
                </c:pt>
                <c:pt idx="596">
                  <c:v>701.04300000000001</c:v>
                </c:pt>
                <c:pt idx="597">
                  <c:v>700.08199999999999</c:v>
                </c:pt>
                <c:pt idx="598">
                  <c:v>701.78599999999994</c:v>
                </c:pt>
                <c:pt idx="599">
                  <c:v>701.55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F8-4578-A497-B02A666F8E8F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Thickness_IMR!$D$13:$D$612</c:f>
              <c:numCache>
                <c:formatCode>0.0000</c:formatCode>
                <c:ptCount val="600"/>
                <c:pt idx="0">
                  <c:v>1.3215777815545913</c:v>
                </c:pt>
                <c:pt idx="1">
                  <c:v>1.3215777815545913</c:v>
                </c:pt>
                <c:pt idx="2">
                  <c:v>1.3215777815545913</c:v>
                </c:pt>
                <c:pt idx="3">
                  <c:v>1.3215777815545913</c:v>
                </c:pt>
                <c:pt idx="4">
                  <c:v>1.3215777815545913</c:v>
                </c:pt>
                <c:pt idx="5">
                  <c:v>1.3215777815545913</c:v>
                </c:pt>
                <c:pt idx="6">
                  <c:v>1.3215777815545913</c:v>
                </c:pt>
                <c:pt idx="7">
                  <c:v>1.3215777815545913</c:v>
                </c:pt>
                <c:pt idx="8">
                  <c:v>1.3215777815545913</c:v>
                </c:pt>
                <c:pt idx="9">
                  <c:v>1.3215777815545913</c:v>
                </c:pt>
                <c:pt idx="10">
                  <c:v>1.3215777815545913</c:v>
                </c:pt>
                <c:pt idx="11">
                  <c:v>1.3215777815545913</c:v>
                </c:pt>
                <c:pt idx="12">
                  <c:v>1.3215777815545913</c:v>
                </c:pt>
                <c:pt idx="13">
                  <c:v>1.3215777815545913</c:v>
                </c:pt>
                <c:pt idx="14">
                  <c:v>1.3215777815545913</c:v>
                </c:pt>
                <c:pt idx="15">
                  <c:v>1.3215777815545913</c:v>
                </c:pt>
                <c:pt idx="16">
                  <c:v>1.3215777815545913</c:v>
                </c:pt>
                <c:pt idx="17">
                  <c:v>1.3215777815545913</c:v>
                </c:pt>
                <c:pt idx="18">
                  <c:v>1.3215777815545913</c:v>
                </c:pt>
                <c:pt idx="19">
                  <c:v>1.3215777815545913</c:v>
                </c:pt>
                <c:pt idx="20">
                  <c:v>1.3215777815545913</c:v>
                </c:pt>
                <c:pt idx="21">
                  <c:v>1.3215777815545913</c:v>
                </c:pt>
                <c:pt idx="22">
                  <c:v>1.3215777815545913</c:v>
                </c:pt>
                <c:pt idx="23">
                  <c:v>1.3215777815545913</c:v>
                </c:pt>
                <c:pt idx="24">
                  <c:v>1.3215777815545913</c:v>
                </c:pt>
                <c:pt idx="25">
                  <c:v>1.3215777815545913</c:v>
                </c:pt>
                <c:pt idx="26">
                  <c:v>1.3215777815545913</c:v>
                </c:pt>
                <c:pt idx="27">
                  <c:v>1.3215777815545913</c:v>
                </c:pt>
                <c:pt idx="28">
                  <c:v>1.3215777815545913</c:v>
                </c:pt>
                <c:pt idx="29">
                  <c:v>1.3215777815545913</c:v>
                </c:pt>
                <c:pt idx="30">
                  <c:v>1.3215777815545913</c:v>
                </c:pt>
                <c:pt idx="31">
                  <c:v>1.3215777815545913</c:v>
                </c:pt>
                <c:pt idx="32">
                  <c:v>1.3215777815545913</c:v>
                </c:pt>
                <c:pt idx="33">
                  <c:v>1.3215777815545913</c:v>
                </c:pt>
                <c:pt idx="34">
                  <c:v>1.3215777815545913</c:v>
                </c:pt>
                <c:pt idx="35">
                  <c:v>1.3215777815545913</c:v>
                </c:pt>
                <c:pt idx="36">
                  <c:v>1.3215777815545913</c:v>
                </c:pt>
                <c:pt idx="37">
                  <c:v>1.3215777815545913</c:v>
                </c:pt>
                <c:pt idx="38">
                  <c:v>1.3215777815545913</c:v>
                </c:pt>
                <c:pt idx="39">
                  <c:v>1.3215777815545913</c:v>
                </c:pt>
                <c:pt idx="40">
                  <c:v>1.3215777815545913</c:v>
                </c:pt>
                <c:pt idx="41">
                  <c:v>1.3215777815545913</c:v>
                </c:pt>
                <c:pt idx="42">
                  <c:v>1.3215777815545913</c:v>
                </c:pt>
                <c:pt idx="43">
                  <c:v>1.3215777815545913</c:v>
                </c:pt>
                <c:pt idx="44">
                  <c:v>1.3215777815545913</c:v>
                </c:pt>
                <c:pt idx="45">
                  <c:v>1.3215777815545913</c:v>
                </c:pt>
                <c:pt idx="46">
                  <c:v>1.3215777815545913</c:v>
                </c:pt>
                <c:pt idx="47">
                  <c:v>1.3215777815545913</c:v>
                </c:pt>
                <c:pt idx="48">
                  <c:v>1.3215777815545913</c:v>
                </c:pt>
                <c:pt idx="49">
                  <c:v>1.3215777815545913</c:v>
                </c:pt>
                <c:pt idx="50">
                  <c:v>1.3215777815545913</c:v>
                </c:pt>
                <c:pt idx="51">
                  <c:v>1.3215777815545913</c:v>
                </c:pt>
                <c:pt idx="52">
                  <c:v>1.3215777815545913</c:v>
                </c:pt>
                <c:pt idx="53">
                  <c:v>1.3215777815545913</c:v>
                </c:pt>
                <c:pt idx="54">
                  <c:v>1.3215777815545913</c:v>
                </c:pt>
                <c:pt idx="55">
                  <c:v>1.3215777815545913</c:v>
                </c:pt>
                <c:pt idx="56">
                  <c:v>1.3215777815545913</c:v>
                </c:pt>
                <c:pt idx="57">
                  <c:v>1.3215777815545913</c:v>
                </c:pt>
                <c:pt idx="58">
                  <c:v>1.3215777815545913</c:v>
                </c:pt>
                <c:pt idx="59">
                  <c:v>1.3215777815545913</c:v>
                </c:pt>
                <c:pt idx="60">
                  <c:v>1.3215777815545913</c:v>
                </c:pt>
                <c:pt idx="61">
                  <c:v>1.3215777815545913</c:v>
                </c:pt>
                <c:pt idx="62">
                  <c:v>1.3215777815545913</c:v>
                </c:pt>
                <c:pt idx="63">
                  <c:v>1.3215777815545913</c:v>
                </c:pt>
                <c:pt idx="64">
                  <c:v>1.3215777815545913</c:v>
                </c:pt>
                <c:pt idx="65">
                  <c:v>1.3215777815545913</c:v>
                </c:pt>
                <c:pt idx="66">
                  <c:v>1.3215777815545913</c:v>
                </c:pt>
                <c:pt idx="67">
                  <c:v>1.3215777815545913</c:v>
                </c:pt>
                <c:pt idx="68">
                  <c:v>1.3215777815545913</c:v>
                </c:pt>
                <c:pt idx="69">
                  <c:v>1.3215777815545913</c:v>
                </c:pt>
                <c:pt idx="70">
                  <c:v>1.3215777815545913</c:v>
                </c:pt>
                <c:pt idx="71">
                  <c:v>1.3215777815545913</c:v>
                </c:pt>
                <c:pt idx="72">
                  <c:v>1.3215777815545913</c:v>
                </c:pt>
                <c:pt idx="73">
                  <c:v>1.3215777815545913</c:v>
                </c:pt>
                <c:pt idx="74">
                  <c:v>1.3215777815545913</c:v>
                </c:pt>
                <c:pt idx="75">
                  <c:v>1.3215777815545913</c:v>
                </c:pt>
                <c:pt idx="76">
                  <c:v>1.3215777815545913</c:v>
                </c:pt>
                <c:pt idx="77">
                  <c:v>1.3215777815545913</c:v>
                </c:pt>
                <c:pt idx="78">
                  <c:v>1.3215777815545913</c:v>
                </c:pt>
                <c:pt idx="79">
                  <c:v>1.3215777815545913</c:v>
                </c:pt>
                <c:pt idx="80">
                  <c:v>1.3215777815545913</c:v>
                </c:pt>
                <c:pt idx="81">
                  <c:v>1.3215777815545913</c:v>
                </c:pt>
                <c:pt idx="82">
                  <c:v>1.3215777815545913</c:v>
                </c:pt>
                <c:pt idx="83">
                  <c:v>1.3215777815545913</c:v>
                </c:pt>
                <c:pt idx="84">
                  <c:v>1.3215777815545913</c:v>
                </c:pt>
                <c:pt idx="85">
                  <c:v>1.3215777815545913</c:v>
                </c:pt>
                <c:pt idx="86">
                  <c:v>1.3215777815545913</c:v>
                </c:pt>
                <c:pt idx="87">
                  <c:v>1.3215777815545913</c:v>
                </c:pt>
                <c:pt idx="88">
                  <c:v>1.3215777815545913</c:v>
                </c:pt>
                <c:pt idx="89">
                  <c:v>1.3215777815545913</c:v>
                </c:pt>
                <c:pt idx="90">
                  <c:v>1.3215777815545913</c:v>
                </c:pt>
                <c:pt idx="91">
                  <c:v>1.3215777815545913</c:v>
                </c:pt>
                <c:pt idx="92">
                  <c:v>1.3215777815545913</c:v>
                </c:pt>
                <c:pt idx="93">
                  <c:v>1.3215777815545913</c:v>
                </c:pt>
                <c:pt idx="94">
                  <c:v>1.3215777815545913</c:v>
                </c:pt>
                <c:pt idx="95">
                  <c:v>1.3215777815545913</c:v>
                </c:pt>
                <c:pt idx="96">
                  <c:v>1.3215777815545913</c:v>
                </c:pt>
                <c:pt idx="97">
                  <c:v>1.3215777815545913</c:v>
                </c:pt>
                <c:pt idx="98">
                  <c:v>1.3215777815545913</c:v>
                </c:pt>
                <c:pt idx="99">
                  <c:v>1.3215777815545913</c:v>
                </c:pt>
                <c:pt idx="100">
                  <c:v>1.3215777815545913</c:v>
                </c:pt>
                <c:pt idx="101">
                  <c:v>1.3215777815545913</c:v>
                </c:pt>
                <c:pt idx="102">
                  <c:v>1.3215777815545913</c:v>
                </c:pt>
                <c:pt idx="103">
                  <c:v>1.3215777815545913</c:v>
                </c:pt>
                <c:pt idx="104">
                  <c:v>1.3215777815545913</c:v>
                </c:pt>
                <c:pt idx="105">
                  <c:v>1.3215777815545913</c:v>
                </c:pt>
                <c:pt idx="106">
                  <c:v>1.3215777815545913</c:v>
                </c:pt>
                <c:pt idx="107">
                  <c:v>1.3215777815545913</c:v>
                </c:pt>
                <c:pt idx="108">
                  <c:v>1.3215777815545913</c:v>
                </c:pt>
                <c:pt idx="109">
                  <c:v>1.3215777815545913</c:v>
                </c:pt>
                <c:pt idx="110">
                  <c:v>1.3215777815545913</c:v>
                </c:pt>
                <c:pt idx="111">
                  <c:v>1.3215777815545913</c:v>
                </c:pt>
                <c:pt idx="112">
                  <c:v>1.3215777815545913</c:v>
                </c:pt>
                <c:pt idx="113">
                  <c:v>1.3215777815545913</c:v>
                </c:pt>
                <c:pt idx="114">
                  <c:v>1.3215777815545913</c:v>
                </c:pt>
                <c:pt idx="115">
                  <c:v>1.3215777815545913</c:v>
                </c:pt>
                <c:pt idx="116">
                  <c:v>1.3215777815545913</c:v>
                </c:pt>
                <c:pt idx="117">
                  <c:v>1.3215777815545913</c:v>
                </c:pt>
                <c:pt idx="118">
                  <c:v>1.3215777815545913</c:v>
                </c:pt>
                <c:pt idx="119">
                  <c:v>1.3215777815545913</c:v>
                </c:pt>
                <c:pt idx="120">
                  <c:v>1.3215777815545913</c:v>
                </c:pt>
                <c:pt idx="121">
                  <c:v>1.3215777815545913</c:v>
                </c:pt>
                <c:pt idx="122">
                  <c:v>1.3215777815545913</c:v>
                </c:pt>
                <c:pt idx="123">
                  <c:v>1.3215777815545913</c:v>
                </c:pt>
                <c:pt idx="124">
                  <c:v>1.3215777815545913</c:v>
                </c:pt>
                <c:pt idx="125">
                  <c:v>1.3215777815545913</c:v>
                </c:pt>
                <c:pt idx="126">
                  <c:v>1.3215777815545913</c:v>
                </c:pt>
                <c:pt idx="127">
                  <c:v>1.3215777815545913</c:v>
                </c:pt>
                <c:pt idx="128">
                  <c:v>1.3215777815545913</c:v>
                </c:pt>
                <c:pt idx="129">
                  <c:v>1.3215777815545913</c:v>
                </c:pt>
                <c:pt idx="130">
                  <c:v>1.3215777815545913</c:v>
                </c:pt>
                <c:pt idx="131">
                  <c:v>1.3215777815545913</c:v>
                </c:pt>
                <c:pt idx="132">
                  <c:v>1.3215777815545913</c:v>
                </c:pt>
                <c:pt idx="133">
                  <c:v>1.3215777815545913</c:v>
                </c:pt>
                <c:pt idx="134">
                  <c:v>1.3215777815545913</c:v>
                </c:pt>
                <c:pt idx="135">
                  <c:v>1.3215777815545913</c:v>
                </c:pt>
                <c:pt idx="136">
                  <c:v>1.3215777815545913</c:v>
                </c:pt>
                <c:pt idx="137">
                  <c:v>1.3215777815545913</c:v>
                </c:pt>
                <c:pt idx="138">
                  <c:v>1.3215777815545913</c:v>
                </c:pt>
                <c:pt idx="139">
                  <c:v>1.3215777815545913</c:v>
                </c:pt>
                <c:pt idx="140">
                  <c:v>1.3215777815545913</c:v>
                </c:pt>
                <c:pt idx="141">
                  <c:v>1.3215777815545913</c:v>
                </c:pt>
                <c:pt idx="142">
                  <c:v>1.3215777815545913</c:v>
                </c:pt>
                <c:pt idx="143">
                  <c:v>1.3215777815545913</c:v>
                </c:pt>
                <c:pt idx="144">
                  <c:v>1.3215777815545913</c:v>
                </c:pt>
                <c:pt idx="145">
                  <c:v>1.3215777815545913</c:v>
                </c:pt>
                <c:pt idx="146">
                  <c:v>1.3215777815545913</c:v>
                </c:pt>
                <c:pt idx="147">
                  <c:v>1.3215777815545913</c:v>
                </c:pt>
                <c:pt idx="148">
                  <c:v>1.3215777815545913</c:v>
                </c:pt>
                <c:pt idx="149">
                  <c:v>1.3215777815545913</c:v>
                </c:pt>
                <c:pt idx="150">
                  <c:v>1.3215777815545913</c:v>
                </c:pt>
                <c:pt idx="151">
                  <c:v>1.3215777815545913</c:v>
                </c:pt>
                <c:pt idx="152">
                  <c:v>1.3215777815545913</c:v>
                </c:pt>
                <c:pt idx="153">
                  <c:v>1.3215777815545913</c:v>
                </c:pt>
                <c:pt idx="154">
                  <c:v>1.3215777815545913</c:v>
                </c:pt>
                <c:pt idx="155">
                  <c:v>1.3215777815545913</c:v>
                </c:pt>
                <c:pt idx="156">
                  <c:v>1.3215777815545913</c:v>
                </c:pt>
                <c:pt idx="157">
                  <c:v>1.3215777815545913</c:v>
                </c:pt>
                <c:pt idx="158">
                  <c:v>1.3215777815545913</c:v>
                </c:pt>
                <c:pt idx="159">
                  <c:v>1.3215777815545913</c:v>
                </c:pt>
                <c:pt idx="160">
                  <c:v>1.3215777815545913</c:v>
                </c:pt>
                <c:pt idx="161">
                  <c:v>1.3215777815545913</c:v>
                </c:pt>
                <c:pt idx="162">
                  <c:v>1.3215777815545913</c:v>
                </c:pt>
                <c:pt idx="163">
                  <c:v>1.3215777815545913</c:v>
                </c:pt>
                <c:pt idx="164">
                  <c:v>1.3215777815545913</c:v>
                </c:pt>
                <c:pt idx="165">
                  <c:v>1.3215777815545913</c:v>
                </c:pt>
                <c:pt idx="166">
                  <c:v>1.3215777815545913</c:v>
                </c:pt>
                <c:pt idx="167">
                  <c:v>1.3215777815545913</c:v>
                </c:pt>
                <c:pt idx="168">
                  <c:v>1.3215777815545913</c:v>
                </c:pt>
                <c:pt idx="169">
                  <c:v>1.3215777815545913</c:v>
                </c:pt>
                <c:pt idx="170">
                  <c:v>1.3215777815545913</c:v>
                </c:pt>
                <c:pt idx="171">
                  <c:v>1.3215777815545913</c:v>
                </c:pt>
                <c:pt idx="172">
                  <c:v>1.3215777815545913</c:v>
                </c:pt>
                <c:pt idx="173">
                  <c:v>1.3215777815545913</c:v>
                </c:pt>
                <c:pt idx="174">
                  <c:v>1.3215777815545913</c:v>
                </c:pt>
                <c:pt idx="175">
                  <c:v>1.3215777815545913</c:v>
                </c:pt>
                <c:pt idx="176">
                  <c:v>1.3215777815545913</c:v>
                </c:pt>
                <c:pt idx="177">
                  <c:v>1.3215777815545913</c:v>
                </c:pt>
                <c:pt idx="178">
                  <c:v>1.3215777815545913</c:v>
                </c:pt>
                <c:pt idx="179">
                  <c:v>1.3215777815545913</c:v>
                </c:pt>
                <c:pt idx="180">
                  <c:v>1.3215777815545913</c:v>
                </c:pt>
                <c:pt idx="181">
                  <c:v>1.3215777815545913</c:v>
                </c:pt>
                <c:pt idx="182">
                  <c:v>1.3215777815545913</c:v>
                </c:pt>
                <c:pt idx="183">
                  <c:v>1.3215777815545913</c:v>
                </c:pt>
                <c:pt idx="184">
                  <c:v>1.3215777815545913</c:v>
                </c:pt>
                <c:pt idx="185">
                  <c:v>1.3215777815545913</c:v>
                </c:pt>
                <c:pt idx="186">
                  <c:v>1.3215777815545913</c:v>
                </c:pt>
                <c:pt idx="187">
                  <c:v>1.3215777815545913</c:v>
                </c:pt>
                <c:pt idx="188">
                  <c:v>1.3215777815545913</c:v>
                </c:pt>
                <c:pt idx="189">
                  <c:v>1.3215777815545913</c:v>
                </c:pt>
                <c:pt idx="190">
                  <c:v>1.3215777815545913</c:v>
                </c:pt>
                <c:pt idx="191">
                  <c:v>1.3215777815545913</c:v>
                </c:pt>
                <c:pt idx="192">
                  <c:v>1.3215777815545913</c:v>
                </c:pt>
                <c:pt idx="193">
                  <c:v>1.3215777815545913</c:v>
                </c:pt>
                <c:pt idx="194">
                  <c:v>1.3215777815545913</c:v>
                </c:pt>
                <c:pt idx="195">
                  <c:v>1.3215777815545913</c:v>
                </c:pt>
                <c:pt idx="196">
                  <c:v>1.3215777815545913</c:v>
                </c:pt>
                <c:pt idx="197">
                  <c:v>1.3215777815545913</c:v>
                </c:pt>
                <c:pt idx="198">
                  <c:v>1.3215777815545913</c:v>
                </c:pt>
                <c:pt idx="199">
                  <c:v>1.3215777815545913</c:v>
                </c:pt>
                <c:pt idx="200">
                  <c:v>1.3215777815545913</c:v>
                </c:pt>
                <c:pt idx="201">
                  <c:v>1.3215777815545913</c:v>
                </c:pt>
                <c:pt idx="202">
                  <c:v>1.3215777815545913</c:v>
                </c:pt>
                <c:pt idx="203">
                  <c:v>1.3215777815545913</c:v>
                </c:pt>
                <c:pt idx="204">
                  <c:v>1.3215777815545913</c:v>
                </c:pt>
                <c:pt idx="205">
                  <c:v>1.3215777815545913</c:v>
                </c:pt>
                <c:pt idx="206">
                  <c:v>1.3215777815545913</c:v>
                </c:pt>
                <c:pt idx="207">
                  <c:v>1.3215777815545913</c:v>
                </c:pt>
                <c:pt idx="208">
                  <c:v>1.3215777815545913</c:v>
                </c:pt>
                <c:pt idx="209">
                  <c:v>1.3215777815545913</c:v>
                </c:pt>
                <c:pt idx="210">
                  <c:v>1.3215777815545913</c:v>
                </c:pt>
                <c:pt idx="211">
                  <c:v>1.3215777815545913</c:v>
                </c:pt>
                <c:pt idx="212">
                  <c:v>1.3215777815545913</c:v>
                </c:pt>
                <c:pt idx="213">
                  <c:v>1.3215777815545913</c:v>
                </c:pt>
                <c:pt idx="214">
                  <c:v>1.3215777815545913</c:v>
                </c:pt>
                <c:pt idx="215">
                  <c:v>1.3215777815545913</c:v>
                </c:pt>
                <c:pt idx="216">
                  <c:v>1.3215777815545913</c:v>
                </c:pt>
                <c:pt idx="217">
                  <c:v>1.3215777815545913</c:v>
                </c:pt>
                <c:pt idx="218">
                  <c:v>1.3215777815545913</c:v>
                </c:pt>
                <c:pt idx="219">
                  <c:v>1.3215777815545913</c:v>
                </c:pt>
                <c:pt idx="220">
                  <c:v>1.3215777815545913</c:v>
                </c:pt>
                <c:pt idx="221">
                  <c:v>1.3215777815545913</c:v>
                </c:pt>
                <c:pt idx="222">
                  <c:v>1.3215777815545913</c:v>
                </c:pt>
                <c:pt idx="223">
                  <c:v>1.3215777815545913</c:v>
                </c:pt>
                <c:pt idx="224">
                  <c:v>1.3215777815545913</c:v>
                </c:pt>
                <c:pt idx="225">
                  <c:v>1.3215777815545913</c:v>
                </c:pt>
                <c:pt idx="226">
                  <c:v>1.3215777815545913</c:v>
                </c:pt>
                <c:pt idx="227">
                  <c:v>1.3215777815545913</c:v>
                </c:pt>
                <c:pt idx="228">
                  <c:v>1.3215777815545913</c:v>
                </c:pt>
                <c:pt idx="229">
                  <c:v>1.3215777815545913</c:v>
                </c:pt>
                <c:pt idx="230">
                  <c:v>1.3215777815545913</c:v>
                </c:pt>
                <c:pt idx="231">
                  <c:v>1.3215777815545913</c:v>
                </c:pt>
                <c:pt idx="232">
                  <c:v>1.3215777815545913</c:v>
                </c:pt>
                <c:pt idx="233">
                  <c:v>1.3215777815545913</c:v>
                </c:pt>
                <c:pt idx="234">
                  <c:v>1.3215777815545913</c:v>
                </c:pt>
                <c:pt idx="235">
                  <c:v>1.3215777815545913</c:v>
                </c:pt>
                <c:pt idx="236">
                  <c:v>1.3215777815545913</c:v>
                </c:pt>
                <c:pt idx="237">
                  <c:v>1.3215777815545913</c:v>
                </c:pt>
                <c:pt idx="238">
                  <c:v>1.3215777815545913</c:v>
                </c:pt>
                <c:pt idx="239">
                  <c:v>1.3215777815545913</c:v>
                </c:pt>
                <c:pt idx="240">
                  <c:v>1.3215777815545913</c:v>
                </c:pt>
                <c:pt idx="241">
                  <c:v>1.3215777815545913</c:v>
                </c:pt>
                <c:pt idx="242">
                  <c:v>1.3215777815545913</c:v>
                </c:pt>
                <c:pt idx="243">
                  <c:v>1.3215777815545913</c:v>
                </c:pt>
                <c:pt idx="244">
                  <c:v>1.3215777815545913</c:v>
                </c:pt>
                <c:pt idx="245">
                  <c:v>1.3215777815545913</c:v>
                </c:pt>
                <c:pt idx="246">
                  <c:v>1.3215777815545913</c:v>
                </c:pt>
                <c:pt idx="247">
                  <c:v>1.3215777815545913</c:v>
                </c:pt>
                <c:pt idx="248">
                  <c:v>1.3215777815545913</c:v>
                </c:pt>
                <c:pt idx="249">
                  <c:v>1.3215777815545913</c:v>
                </c:pt>
                <c:pt idx="250">
                  <c:v>1.3215777815545913</c:v>
                </c:pt>
                <c:pt idx="251">
                  <c:v>1.3215777815545913</c:v>
                </c:pt>
                <c:pt idx="252">
                  <c:v>1.3215777815545913</c:v>
                </c:pt>
                <c:pt idx="253">
                  <c:v>1.3215777815545913</c:v>
                </c:pt>
                <c:pt idx="254">
                  <c:v>1.3215777815545913</c:v>
                </c:pt>
                <c:pt idx="255">
                  <c:v>1.3215777815545913</c:v>
                </c:pt>
                <c:pt idx="256">
                  <c:v>1.3215777815545913</c:v>
                </c:pt>
                <c:pt idx="257">
                  <c:v>1.3215777815545913</c:v>
                </c:pt>
                <c:pt idx="258">
                  <c:v>1.3215777815545913</c:v>
                </c:pt>
                <c:pt idx="259">
                  <c:v>1.3215777815545913</c:v>
                </c:pt>
                <c:pt idx="260">
                  <c:v>1.3215777815545913</c:v>
                </c:pt>
                <c:pt idx="261">
                  <c:v>1.3215777815545913</c:v>
                </c:pt>
                <c:pt idx="262">
                  <c:v>1.3215777815545913</c:v>
                </c:pt>
                <c:pt idx="263">
                  <c:v>1.3215777815545913</c:v>
                </c:pt>
                <c:pt idx="264">
                  <c:v>1.3215777815545913</c:v>
                </c:pt>
                <c:pt idx="265">
                  <c:v>1.3215777815545913</c:v>
                </c:pt>
                <c:pt idx="266">
                  <c:v>1.3215777815545913</c:v>
                </c:pt>
                <c:pt idx="267">
                  <c:v>1.3215777815545913</c:v>
                </c:pt>
                <c:pt idx="268">
                  <c:v>1.3215777815545913</c:v>
                </c:pt>
                <c:pt idx="269">
                  <c:v>1.3215777815545913</c:v>
                </c:pt>
                <c:pt idx="270">
                  <c:v>1.3215777815545913</c:v>
                </c:pt>
                <c:pt idx="271">
                  <c:v>1.3215777815545913</c:v>
                </c:pt>
                <c:pt idx="272">
                  <c:v>1.3215777815545913</c:v>
                </c:pt>
                <c:pt idx="273">
                  <c:v>1.3215777815545913</c:v>
                </c:pt>
                <c:pt idx="274">
                  <c:v>1.3215777815545913</c:v>
                </c:pt>
                <c:pt idx="275">
                  <c:v>1.3215777815545913</c:v>
                </c:pt>
                <c:pt idx="276">
                  <c:v>1.3215777815545913</c:v>
                </c:pt>
                <c:pt idx="277">
                  <c:v>1.3215777815545913</c:v>
                </c:pt>
                <c:pt idx="278">
                  <c:v>1.3215777815545913</c:v>
                </c:pt>
                <c:pt idx="279">
                  <c:v>1.3215777815545913</c:v>
                </c:pt>
                <c:pt idx="280">
                  <c:v>1.3215777815545913</c:v>
                </c:pt>
                <c:pt idx="281">
                  <c:v>1.3215777815545913</c:v>
                </c:pt>
                <c:pt idx="282">
                  <c:v>1.3215777815545913</c:v>
                </c:pt>
                <c:pt idx="283">
                  <c:v>1.3215777815545913</c:v>
                </c:pt>
                <c:pt idx="284">
                  <c:v>1.3215777815545913</c:v>
                </c:pt>
                <c:pt idx="285">
                  <c:v>1.3215777815545913</c:v>
                </c:pt>
                <c:pt idx="286">
                  <c:v>1.3215777815545913</c:v>
                </c:pt>
                <c:pt idx="287">
                  <c:v>1.3215777815545913</c:v>
                </c:pt>
                <c:pt idx="288">
                  <c:v>1.3215777815545913</c:v>
                </c:pt>
                <c:pt idx="289">
                  <c:v>1.3215777815545913</c:v>
                </c:pt>
                <c:pt idx="290">
                  <c:v>1.3215777815545913</c:v>
                </c:pt>
                <c:pt idx="291">
                  <c:v>1.3215777815545913</c:v>
                </c:pt>
                <c:pt idx="292">
                  <c:v>1.3215777815545913</c:v>
                </c:pt>
                <c:pt idx="293">
                  <c:v>1.3215777815545913</c:v>
                </c:pt>
                <c:pt idx="294">
                  <c:v>1.3215777815545913</c:v>
                </c:pt>
                <c:pt idx="295">
                  <c:v>1.3215777815545913</c:v>
                </c:pt>
                <c:pt idx="296">
                  <c:v>1.3215777815545913</c:v>
                </c:pt>
                <c:pt idx="297">
                  <c:v>1.3215777815545913</c:v>
                </c:pt>
                <c:pt idx="298">
                  <c:v>1.3215777815545913</c:v>
                </c:pt>
                <c:pt idx="299">
                  <c:v>1.3215777815545913</c:v>
                </c:pt>
                <c:pt idx="300">
                  <c:v>1.3215777815545913</c:v>
                </c:pt>
                <c:pt idx="301">
                  <c:v>1.3215777815545913</c:v>
                </c:pt>
                <c:pt idx="302">
                  <c:v>1.3215777815545913</c:v>
                </c:pt>
                <c:pt idx="303">
                  <c:v>1.3215777815545913</c:v>
                </c:pt>
                <c:pt idx="304">
                  <c:v>1.3215777815545913</c:v>
                </c:pt>
                <c:pt idx="305">
                  <c:v>1.3215777815545913</c:v>
                </c:pt>
                <c:pt idx="306">
                  <c:v>1.3215777815545913</c:v>
                </c:pt>
                <c:pt idx="307">
                  <c:v>1.3215777815545913</c:v>
                </c:pt>
                <c:pt idx="308">
                  <c:v>1.3215777815545913</c:v>
                </c:pt>
                <c:pt idx="309">
                  <c:v>1.3215777815545913</c:v>
                </c:pt>
                <c:pt idx="310">
                  <c:v>1.3215777815545913</c:v>
                </c:pt>
                <c:pt idx="311">
                  <c:v>1.3215777815545913</c:v>
                </c:pt>
                <c:pt idx="312">
                  <c:v>1.3215777815545913</c:v>
                </c:pt>
                <c:pt idx="313">
                  <c:v>1.3215777815545913</c:v>
                </c:pt>
                <c:pt idx="314">
                  <c:v>1.3215777815545913</c:v>
                </c:pt>
                <c:pt idx="315">
                  <c:v>1.3215777815545913</c:v>
                </c:pt>
                <c:pt idx="316">
                  <c:v>1.3215777815545913</c:v>
                </c:pt>
                <c:pt idx="317">
                  <c:v>1.3215777815545913</c:v>
                </c:pt>
                <c:pt idx="318">
                  <c:v>1.3215777815545913</c:v>
                </c:pt>
                <c:pt idx="319">
                  <c:v>1.3215777815545913</c:v>
                </c:pt>
                <c:pt idx="320">
                  <c:v>1.3215777815545913</c:v>
                </c:pt>
                <c:pt idx="321">
                  <c:v>1.3215777815545913</c:v>
                </c:pt>
                <c:pt idx="322">
                  <c:v>1.3215777815545913</c:v>
                </c:pt>
                <c:pt idx="323">
                  <c:v>1.3215777815545913</c:v>
                </c:pt>
                <c:pt idx="324">
                  <c:v>1.3215777815545913</c:v>
                </c:pt>
                <c:pt idx="325">
                  <c:v>1.3215777815545913</c:v>
                </c:pt>
                <c:pt idx="326">
                  <c:v>1.3215777815545913</c:v>
                </c:pt>
                <c:pt idx="327">
                  <c:v>1.3215777815545913</c:v>
                </c:pt>
                <c:pt idx="328">
                  <c:v>1.3215777815545913</c:v>
                </c:pt>
                <c:pt idx="329">
                  <c:v>1.3215777815545913</c:v>
                </c:pt>
                <c:pt idx="330">
                  <c:v>1.3215777815545913</c:v>
                </c:pt>
                <c:pt idx="331">
                  <c:v>1.3215777815545913</c:v>
                </c:pt>
                <c:pt idx="332">
                  <c:v>1.3215777815545913</c:v>
                </c:pt>
                <c:pt idx="333">
                  <c:v>1.3215777815545913</c:v>
                </c:pt>
                <c:pt idx="334">
                  <c:v>1.3215777815545913</c:v>
                </c:pt>
                <c:pt idx="335">
                  <c:v>1.3215777815545913</c:v>
                </c:pt>
                <c:pt idx="336">
                  <c:v>1.3215777815545913</c:v>
                </c:pt>
                <c:pt idx="337">
                  <c:v>1.3215777815545913</c:v>
                </c:pt>
                <c:pt idx="338">
                  <c:v>1.3215777815545913</c:v>
                </c:pt>
                <c:pt idx="339">
                  <c:v>1.3215777815545913</c:v>
                </c:pt>
                <c:pt idx="340">
                  <c:v>1.3215777815545913</c:v>
                </c:pt>
                <c:pt idx="341">
                  <c:v>1.3215777815545913</c:v>
                </c:pt>
                <c:pt idx="342">
                  <c:v>1.3215777815545913</c:v>
                </c:pt>
                <c:pt idx="343">
                  <c:v>1.3215777815545913</c:v>
                </c:pt>
                <c:pt idx="344">
                  <c:v>1.3215777815545913</c:v>
                </c:pt>
                <c:pt idx="345">
                  <c:v>1.3215777815545913</c:v>
                </c:pt>
                <c:pt idx="346">
                  <c:v>1.3215777815545913</c:v>
                </c:pt>
                <c:pt idx="347">
                  <c:v>1.3215777815545913</c:v>
                </c:pt>
                <c:pt idx="348">
                  <c:v>1.3215777815545913</c:v>
                </c:pt>
                <c:pt idx="349">
                  <c:v>1.3215777815545913</c:v>
                </c:pt>
                <c:pt idx="350">
                  <c:v>1.3215777815545913</c:v>
                </c:pt>
                <c:pt idx="351">
                  <c:v>1.3215777815545913</c:v>
                </c:pt>
                <c:pt idx="352">
                  <c:v>1.3215777815545913</c:v>
                </c:pt>
                <c:pt idx="353">
                  <c:v>1.3215777815545913</c:v>
                </c:pt>
                <c:pt idx="354">
                  <c:v>1.3215777815545913</c:v>
                </c:pt>
                <c:pt idx="355">
                  <c:v>1.3215777815545913</c:v>
                </c:pt>
                <c:pt idx="356">
                  <c:v>1.3215777815545913</c:v>
                </c:pt>
                <c:pt idx="357">
                  <c:v>1.3215777815545913</c:v>
                </c:pt>
                <c:pt idx="358">
                  <c:v>1.3215777815545913</c:v>
                </c:pt>
                <c:pt idx="359">
                  <c:v>1.3215777815545913</c:v>
                </c:pt>
                <c:pt idx="360">
                  <c:v>1.3215777815545913</c:v>
                </c:pt>
                <c:pt idx="361">
                  <c:v>1.3215777815545913</c:v>
                </c:pt>
                <c:pt idx="362">
                  <c:v>1.3215777815545913</c:v>
                </c:pt>
                <c:pt idx="363">
                  <c:v>1.3215777815545913</c:v>
                </c:pt>
                <c:pt idx="364">
                  <c:v>1.3215777815545913</c:v>
                </c:pt>
                <c:pt idx="365">
                  <c:v>1.3215777815545913</c:v>
                </c:pt>
                <c:pt idx="366">
                  <c:v>1.3215777815545913</c:v>
                </c:pt>
                <c:pt idx="367">
                  <c:v>1.3215777815545913</c:v>
                </c:pt>
                <c:pt idx="368">
                  <c:v>1.3215777815545913</c:v>
                </c:pt>
                <c:pt idx="369">
                  <c:v>1.3215777815545913</c:v>
                </c:pt>
                <c:pt idx="370">
                  <c:v>1.3215777815545913</c:v>
                </c:pt>
                <c:pt idx="371">
                  <c:v>1.3215777815545913</c:v>
                </c:pt>
                <c:pt idx="372">
                  <c:v>1.3215777815545913</c:v>
                </c:pt>
                <c:pt idx="373">
                  <c:v>1.3215777815545913</c:v>
                </c:pt>
                <c:pt idx="374">
                  <c:v>1.3215777815545913</c:v>
                </c:pt>
                <c:pt idx="375">
                  <c:v>1.3215777815545913</c:v>
                </c:pt>
                <c:pt idx="376">
                  <c:v>1.3215777815545913</c:v>
                </c:pt>
                <c:pt idx="377">
                  <c:v>1.3215777815545913</c:v>
                </c:pt>
                <c:pt idx="378">
                  <c:v>1.3215777815545913</c:v>
                </c:pt>
                <c:pt idx="379">
                  <c:v>1.3215777815545913</c:v>
                </c:pt>
                <c:pt idx="380">
                  <c:v>1.3215777815545913</c:v>
                </c:pt>
                <c:pt idx="381">
                  <c:v>1.3215777815545913</c:v>
                </c:pt>
                <c:pt idx="382">
                  <c:v>1.3215777815545913</c:v>
                </c:pt>
                <c:pt idx="383">
                  <c:v>1.3215777815545913</c:v>
                </c:pt>
                <c:pt idx="384">
                  <c:v>1.3215777815545913</c:v>
                </c:pt>
                <c:pt idx="385">
                  <c:v>1.3215777815545913</c:v>
                </c:pt>
                <c:pt idx="386">
                  <c:v>1.3215777815545913</c:v>
                </c:pt>
                <c:pt idx="387">
                  <c:v>1.3215777815545913</c:v>
                </c:pt>
                <c:pt idx="388">
                  <c:v>1.3215777815545913</c:v>
                </c:pt>
                <c:pt idx="389">
                  <c:v>1.3215777815545913</c:v>
                </c:pt>
                <c:pt idx="390">
                  <c:v>1.3215777815545913</c:v>
                </c:pt>
                <c:pt idx="391">
                  <c:v>1.3215777815545913</c:v>
                </c:pt>
                <c:pt idx="392">
                  <c:v>1.3215777815545913</c:v>
                </c:pt>
                <c:pt idx="393">
                  <c:v>1.3215777815545913</c:v>
                </c:pt>
                <c:pt idx="394">
                  <c:v>1.3215777815545913</c:v>
                </c:pt>
                <c:pt idx="395">
                  <c:v>1.3215777815545913</c:v>
                </c:pt>
                <c:pt idx="396">
                  <c:v>1.3215777815545913</c:v>
                </c:pt>
                <c:pt idx="397">
                  <c:v>1.3215777815545913</c:v>
                </c:pt>
                <c:pt idx="398">
                  <c:v>1.3215777815545913</c:v>
                </c:pt>
                <c:pt idx="399">
                  <c:v>1.3215777815545913</c:v>
                </c:pt>
                <c:pt idx="400">
                  <c:v>1.3215777815545913</c:v>
                </c:pt>
                <c:pt idx="401">
                  <c:v>1.3215777815545913</c:v>
                </c:pt>
                <c:pt idx="402">
                  <c:v>1.3215777815545913</c:v>
                </c:pt>
                <c:pt idx="403">
                  <c:v>1.3215777815545913</c:v>
                </c:pt>
                <c:pt idx="404">
                  <c:v>1.3215777815545913</c:v>
                </c:pt>
                <c:pt idx="405">
                  <c:v>1.3215777815545913</c:v>
                </c:pt>
                <c:pt idx="406">
                  <c:v>1.3215777815545913</c:v>
                </c:pt>
                <c:pt idx="407">
                  <c:v>1.3215777815545913</c:v>
                </c:pt>
                <c:pt idx="408">
                  <c:v>1.3215777815545913</c:v>
                </c:pt>
                <c:pt idx="409">
                  <c:v>1.3215777815545913</c:v>
                </c:pt>
                <c:pt idx="410">
                  <c:v>1.3215777815545913</c:v>
                </c:pt>
                <c:pt idx="411">
                  <c:v>1.3215777815545913</c:v>
                </c:pt>
                <c:pt idx="412">
                  <c:v>1.3215777815545913</c:v>
                </c:pt>
                <c:pt idx="413">
                  <c:v>1.3215777815545913</c:v>
                </c:pt>
                <c:pt idx="414">
                  <c:v>1.3215777815545913</c:v>
                </c:pt>
                <c:pt idx="415">
                  <c:v>1.3215777815545913</c:v>
                </c:pt>
                <c:pt idx="416">
                  <c:v>1.3215777815545913</c:v>
                </c:pt>
                <c:pt idx="417">
                  <c:v>1.3215777815545913</c:v>
                </c:pt>
                <c:pt idx="418">
                  <c:v>1.3215777815545913</c:v>
                </c:pt>
                <c:pt idx="419">
                  <c:v>1.3215777815545913</c:v>
                </c:pt>
                <c:pt idx="420">
                  <c:v>1.3215777815545913</c:v>
                </c:pt>
                <c:pt idx="421">
                  <c:v>1.3215777815545913</c:v>
                </c:pt>
                <c:pt idx="422">
                  <c:v>1.3215777815545913</c:v>
                </c:pt>
                <c:pt idx="423">
                  <c:v>1.3215777815545913</c:v>
                </c:pt>
                <c:pt idx="424">
                  <c:v>1.3215777815545913</c:v>
                </c:pt>
                <c:pt idx="425">
                  <c:v>1.3215777815545913</c:v>
                </c:pt>
                <c:pt idx="426">
                  <c:v>1.3215777815545913</c:v>
                </c:pt>
                <c:pt idx="427">
                  <c:v>1.3215777815545913</c:v>
                </c:pt>
                <c:pt idx="428">
                  <c:v>1.3215777815545913</c:v>
                </c:pt>
                <c:pt idx="429">
                  <c:v>1.3215777815545913</c:v>
                </c:pt>
                <c:pt idx="430">
                  <c:v>1.3215777815545913</c:v>
                </c:pt>
                <c:pt idx="431">
                  <c:v>1.3215777815545913</c:v>
                </c:pt>
                <c:pt idx="432">
                  <c:v>1.3215777815545913</c:v>
                </c:pt>
                <c:pt idx="433">
                  <c:v>1.3215777815545913</c:v>
                </c:pt>
                <c:pt idx="434">
                  <c:v>1.3215777815545913</c:v>
                </c:pt>
                <c:pt idx="435">
                  <c:v>1.3215777815545913</c:v>
                </c:pt>
                <c:pt idx="436">
                  <c:v>1.3215777815545913</c:v>
                </c:pt>
                <c:pt idx="437">
                  <c:v>1.3215777815545913</c:v>
                </c:pt>
                <c:pt idx="438">
                  <c:v>1.3215777815545913</c:v>
                </c:pt>
                <c:pt idx="439">
                  <c:v>1.3215777815545913</c:v>
                </c:pt>
                <c:pt idx="440">
                  <c:v>1.3215777815545913</c:v>
                </c:pt>
                <c:pt idx="441">
                  <c:v>1.3215777815545913</c:v>
                </c:pt>
                <c:pt idx="442">
                  <c:v>1.3215777815545913</c:v>
                </c:pt>
                <c:pt idx="443">
                  <c:v>1.3215777815545913</c:v>
                </c:pt>
                <c:pt idx="444">
                  <c:v>1.3215777815545913</c:v>
                </c:pt>
                <c:pt idx="445">
                  <c:v>1.3215777815545913</c:v>
                </c:pt>
                <c:pt idx="446">
                  <c:v>1.3215777815545913</c:v>
                </c:pt>
                <c:pt idx="447">
                  <c:v>1.3215777815545913</c:v>
                </c:pt>
                <c:pt idx="448">
                  <c:v>1.3215777815545913</c:v>
                </c:pt>
                <c:pt idx="449">
                  <c:v>1.3215777815545913</c:v>
                </c:pt>
                <c:pt idx="450">
                  <c:v>1.3215777815545913</c:v>
                </c:pt>
                <c:pt idx="451">
                  <c:v>1.3215777815545913</c:v>
                </c:pt>
                <c:pt idx="452">
                  <c:v>1.3215777815545913</c:v>
                </c:pt>
                <c:pt idx="453">
                  <c:v>1.3215777815545913</c:v>
                </c:pt>
                <c:pt idx="454">
                  <c:v>1.3215777815545913</c:v>
                </c:pt>
                <c:pt idx="455">
                  <c:v>1.3215777815545913</c:v>
                </c:pt>
                <c:pt idx="456">
                  <c:v>1.3215777815545913</c:v>
                </c:pt>
                <c:pt idx="457">
                  <c:v>1.3215777815545913</c:v>
                </c:pt>
                <c:pt idx="458">
                  <c:v>1.3215777815545913</c:v>
                </c:pt>
                <c:pt idx="459">
                  <c:v>1.3215777815545913</c:v>
                </c:pt>
                <c:pt idx="460">
                  <c:v>1.3215777815545913</c:v>
                </c:pt>
                <c:pt idx="461">
                  <c:v>1.3215777815545913</c:v>
                </c:pt>
                <c:pt idx="462">
                  <c:v>1.3215777815545913</c:v>
                </c:pt>
                <c:pt idx="463">
                  <c:v>1.3215777815545913</c:v>
                </c:pt>
                <c:pt idx="464">
                  <c:v>1.3215777815545913</c:v>
                </c:pt>
                <c:pt idx="465">
                  <c:v>1.3215777815545913</c:v>
                </c:pt>
                <c:pt idx="466">
                  <c:v>1.3215777815545913</c:v>
                </c:pt>
                <c:pt idx="467">
                  <c:v>1.3215777815545913</c:v>
                </c:pt>
                <c:pt idx="468">
                  <c:v>1.3215777815545913</c:v>
                </c:pt>
                <c:pt idx="469">
                  <c:v>1.3215777815545913</c:v>
                </c:pt>
                <c:pt idx="470">
                  <c:v>1.3215777815545913</c:v>
                </c:pt>
                <c:pt idx="471">
                  <c:v>1.3215777815545913</c:v>
                </c:pt>
                <c:pt idx="472">
                  <c:v>1.3215777815545913</c:v>
                </c:pt>
                <c:pt idx="473">
                  <c:v>1.3215777815545913</c:v>
                </c:pt>
                <c:pt idx="474">
                  <c:v>1.3215777815545913</c:v>
                </c:pt>
                <c:pt idx="475">
                  <c:v>1.3215777815545913</c:v>
                </c:pt>
                <c:pt idx="476">
                  <c:v>1.3215777815545913</c:v>
                </c:pt>
                <c:pt idx="477">
                  <c:v>1.3215777815545913</c:v>
                </c:pt>
                <c:pt idx="478">
                  <c:v>1.3215777815545913</c:v>
                </c:pt>
                <c:pt idx="479">
                  <c:v>1.3215777815545913</c:v>
                </c:pt>
                <c:pt idx="480">
                  <c:v>1.3215777815545913</c:v>
                </c:pt>
                <c:pt idx="481">
                  <c:v>1.3215777815545913</c:v>
                </c:pt>
                <c:pt idx="482">
                  <c:v>1.3215777815545913</c:v>
                </c:pt>
                <c:pt idx="483">
                  <c:v>1.3215777815545913</c:v>
                </c:pt>
                <c:pt idx="484">
                  <c:v>1.3215777815545913</c:v>
                </c:pt>
                <c:pt idx="485">
                  <c:v>1.3215777815545913</c:v>
                </c:pt>
                <c:pt idx="486">
                  <c:v>1.3215777815545913</c:v>
                </c:pt>
                <c:pt idx="487">
                  <c:v>1.3215777815545913</c:v>
                </c:pt>
                <c:pt idx="488">
                  <c:v>1.3215777815545913</c:v>
                </c:pt>
                <c:pt idx="489">
                  <c:v>1.3215777815545913</c:v>
                </c:pt>
                <c:pt idx="490">
                  <c:v>1.3215777815545913</c:v>
                </c:pt>
                <c:pt idx="491">
                  <c:v>1.3215777815545913</c:v>
                </c:pt>
                <c:pt idx="492">
                  <c:v>1.3215777815545913</c:v>
                </c:pt>
                <c:pt idx="493">
                  <c:v>1.3215777815545913</c:v>
                </c:pt>
                <c:pt idx="494">
                  <c:v>1.3215777815545913</c:v>
                </c:pt>
                <c:pt idx="495">
                  <c:v>1.3215777815545913</c:v>
                </c:pt>
                <c:pt idx="496">
                  <c:v>1.3215777815545913</c:v>
                </c:pt>
                <c:pt idx="497">
                  <c:v>1.3215777815545913</c:v>
                </c:pt>
                <c:pt idx="498">
                  <c:v>1.3215777815545913</c:v>
                </c:pt>
                <c:pt idx="499">
                  <c:v>1.3215777815545913</c:v>
                </c:pt>
                <c:pt idx="500">
                  <c:v>1.3215777815545913</c:v>
                </c:pt>
                <c:pt idx="501">
                  <c:v>1.3215777815545913</c:v>
                </c:pt>
                <c:pt idx="502">
                  <c:v>1.3215777815545913</c:v>
                </c:pt>
                <c:pt idx="503">
                  <c:v>1.3215777815545913</c:v>
                </c:pt>
                <c:pt idx="504">
                  <c:v>1.3215777815545913</c:v>
                </c:pt>
                <c:pt idx="505">
                  <c:v>1.3215777815545913</c:v>
                </c:pt>
                <c:pt idx="506">
                  <c:v>1.3215777815545913</c:v>
                </c:pt>
                <c:pt idx="507">
                  <c:v>1.3215777815545913</c:v>
                </c:pt>
                <c:pt idx="508">
                  <c:v>1.3215777815545913</c:v>
                </c:pt>
                <c:pt idx="509">
                  <c:v>1.3215777815545913</c:v>
                </c:pt>
                <c:pt idx="510">
                  <c:v>1.3215777815545913</c:v>
                </c:pt>
                <c:pt idx="511">
                  <c:v>1.3215777815545913</c:v>
                </c:pt>
                <c:pt idx="512">
                  <c:v>1.3215777815545913</c:v>
                </c:pt>
                <c:pt idx="513">
                  <c:v>1.3215777815545913</c:v>
                </c:pt>
                <c:pt idx="514">
                  <c:v>1.3215777815545913</c:v>
                </c:pt>
                <c:pt idx="515">
                  <c:v>1.3215777815545913</c:v>
                </c:pt>
                <c:pt idx="516">
                  <c:v>1.3215777815545913</c:v>
                </c:pt>
                <c:pt idx="517">
                  <c:v>1.3215777815545913</c:v>
                </c:pt>
                <c:pt idx="518">
                  <c:v>1.3215777815545913</c:v>
                </c:pt>
                <c:pt idx="519">
                  <c:v>1.3215777815545913</c:v>
                </c:pt>
                <c:pt idx="520">
                  <c:v>1.3215777815545913</c:v>
                </c:pt>
                <c:pt idx="521">
                  <c:v>1.3215777815545913</c:v>
                </c:pt>
                <c:pt idx="522">
                  <c:v>1.3215777815545913</c:v>
                </c:pt>
                <c:pt idx="523">
                  <c:v>1.3215777815545913</c:v>
                </c:pt>
                <c:pt idx="524">
                  <c:v>1.3215777815545913</c:v>
                </c:pt>
                <c:pt idx="525">
                  <c:v>1.3215777815545913</c:v>
                </c:pt>
                <c:pt idx="526">
                  <c:v>1.3215777815545913</c:v>
                </c:pt>
                <c:pt idx="527">
                  <c:v>1.3215777815545913</c:v>
                </c:pt>
                <c:pt idx="528">
                  <c:v>1.3215777815545913</c:v>
                </c:pt>
                <c:pt idx="529">
                  <c:v>1.3215777815545913</c:v>
                </c:pt>
                <c:pt idx="530">
                  <c:v>1.3215777815545913</c:v>
                </c:pt>
                <c:pt idx="531">
                  <c:v>1.3215777815545913</c:v>
                </c:pt>
                <c:pt idx="532">
                  <c:v>1.3215777815545913</c:v>
                </c:pt>
                <c:pt idx="533">
                  <c:v>1.3215777815545913</c:v>
                </c:pt>
                <c:pt idx="534">
                  <c:v>1.3215777815545913</c:v>
                </c:pt>
                <c:pt idx="535">
                  <c:v>1.3215777815545913</c:v>
                </c:pt>
                <c:pt idx="536">
                  <c:v>1.3215777815545913</c:v>
                </c:pt>
                <c:pt idx="537">
                  <c:v>1.3215777815545913</c:v>
                </c:pt>
                <c:pt idx="538">
                  <c:v>1.3215777815545913</c:v>
                </c:pt>
                <c:pt idx="539">
                  <c:v>1.3215777815545913</c:v>
                </c:pt>
                <c:pt idx="540">
                  <c:v>1.3215777815545913</c:v>
                </c:pt>
                <c:pt idx="541">
                  <c:v>1.3215777815545913</c:v>
                </c:pt>
                <c:pt idx="542">
                  <c:v>1.3215777815545913</c:v>
                </c:pt>
                <c:pt idx="543">
                  <c:v>1.3215777815545913</c:v>
                </c:pt>
                <c:pt idx="544">
                  <c:v>1.3215777815545913</c:v>
                </c:pt>
                <c:pt idx="545">
                  <c:v>1.3215777815545913</c:v>
                </c:pt>
                <c:pt idx="546">
                  <c:v>1.3215777815545913</c:v>
                </c:pt>
                <c:pt idx="547">
                  <c:v>1.3215777815545913</c:v>
                </c:pt>
                <c:pt idx="548">
                  <c:v>1.3215777815545913</c:v>
                </c:pt>
                <c:pt idx="549">
                  <c:v>1.3215777815545913</c:v>
                </c:pt>
                <c:pt idx="550">
                  <c:v>1.3215777815545913</c:v>
                </c:pt>
                <c:pt idx="551">
                  <c:v>1.3215777815545913</c:v>
                </c:pt>
                <c:pt idx="552">
                  <c:v>1.3215777815545913</c:v>
                </c:pt>
                <c:pt idx="553">
                  <c:v>1.3215777815545913</c:v>
                </c:pt>
                <c:pt idx="554">
                  <c:v>1.3215777815545913</c:v>
                </c:pt>
                <c:pt idx="555">
                  <c:v>1.3215777815545913</c:v>
                </c:pt>
                <c:pt idx="556">
                  <c:v>1.3215777815545913</c:v>
                </c:pt>
                <c:pt idx="557">
                  <c:v>1.3215777815545913</c:v>
                </c:pt>
                <c:pt idx="558">
                  <c:v>1.3215777815545913</c:v>
                </c:pt>
                <c:pt idx="559">
                  <c:v>1.3215777815545913</c:v>
                </c:pt>
                <c:pt idx="560">
                  <c:v>1.3215777815545913</c:v>
                </c:pt>
                <c:pt idx="561">
                  <c:v>1.3215777815545913</c:v>
                </c:pt>
                <c:pt idx="562">
                  <c:v>1.3215777815545913</c:v>
                </c:pt>
                <c:pt idx="563">
                  <c:v>1.3215777815545913</c:v>
                </c:pt>
                <c:pt idx="564">
                  <c:v>1.3215777815545913</c:v>
                </c:pt>
                <c:pt idx="565">
                  <c:v>1.3215777815545913</c:v>
                </c:pt>
                <c:pt idx="566">
                  <c:v>1.3215777815545913</c:v>
                </c:pt>
                <c:pt idx="567">
                  <c:v>1.3215777815545913</c:v>
                </c:pt>
                <c:pt idx="568">
                  <c:v>1.3215777815545913</c:v>
                </c:pt>
                <c:pt idx="569">
                  <c:v>1.3215777815545913</c:v>
                </c:pt>
                <c:pt idx="570">
                  <c:v>1.3215777815545913</c:v>
                </c:pt>
                <c:pt idx="571">
                  <c:v>1.3215777815545913</c:v>
                </c:pt>
                <c:pt idx="572">
                  <c:v>1.3215777815545913</c:v>
                </c:pt>
                <c:pt idx="573">
                  <c:v>1.3215777815545913</c:v>
                </c:pt>
                <c:pt idx="574">
                  <c:v>1.3215777815545913</c:v>
                </c:pt>
                <c:pt idx="575">
                  <c:v>1.3215777815545913</c:v>
                </c:pt>
                <c:pt idx="576">
                  <c:v>1.3215777815545913</c:v>
                </c:pt>
                <c:pt idx="577">
                  <c:v>1.3215777815545913</c:v>
                </c:pt>
                <c:pt idx="578">
                  <c:v>1.3215777815545913</c:v>
                </c:pt>
                <c:pt idx="579">
                  <c:v>1.3215777815545913</c:v>
                </c:pt>
                <c:pt idx="580">
                  <c:v>1.3215777815545913</c:v>
                </c:pt>
                <c:pt idx="581">
                  <c:v>1.3215777815545913</c:v>
                </c:pt>
                <c:pt idx="582">
                  <c:v>1.3215777815545913</c:v>
                </c:pt>
                <c:pt idx="583">
                  <c:v>1.3215777815545913</c:v>
                </c:pt>
                <c:pt idx="584">
                  <c:v>1.3215777815545913</c:v>
                </c:pt>
                <c:pt idx="585">
                  <c:v>1.3215777815545913</c:v>
                </c:pt>
                <c:pt idx="586">
                  <c:v>1.3215777815545913</c:v>
                </c:pt>
                <c:pt idx="587">
                  <c:v>1.3215777815545913</c:v>
                </c:pt>
                <c:pt idx="588">
                  <c:v>1.3215777815545913</c:v>
                </c:pt>
                <c:pt idx="589">
                  <c:v>1.3215777815545913</c:v>
                </c:pt>
                <c:pt idx="590">
                  <c:v>1.3215777815545913</c:v>
                </c:pt>
                <c:pt idx="591">
                  <c:v>1.3215777815545913</c:v>
                </c:pt>
                <c:pt idx="592">
                  <c:v>1.3215777815545913</c:v>
                </c:pt>
                <c:pt idx="593">
                  <c:v>1.3215777815545913</c:v>
                </c:pt>
                <c:pt idx="594">
                  <c:v>1.3215777815545913</c:v>
                </c:pt>
                <c:pt idx="595">
                  <c:v>1.3215777815545913</c:v>
                </c:pt>
                <c:pt idx="596">
                  <c:v>1.3215777815545913</c:v>
                </c:pt>
                <c:pt idx="597">
                  <c:v>1.3215777815545913</c:v>
                </c:pt>
                <c:pt idx="598">
                  <c:v>1.3215777815545913</c:v>
                </c:pt>
                <c:pt idx="599">
                  <c:v>1.3215777815545913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F8-4578-A497-B02A666F8E8F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Thickness_IMR!$E$13:$E$612</c:f>
              <c:numCache>
                <c:formatCode>0.0000</c:formatCode>
                <c:ptCount val="600"/>
                <c:pt idx="0">
                  <c:v>1.0616604361005504</c:v>
                </c:pt>
                <c:pt idx="1">
                  <c:v>1.0616604361005504</c:v>
                </c:pt>
                <c:pt idx="2">
                  <c:v>1.0616604361005504</c:v>
                </c:pt>
                <c:pt idx="3">
                  <c:v>1.0616604361005504</c:v>
                </c:pt>
                <c:pt idx="4">
                  <c:v>1.0616604361005504</c:v>
                </c:pt>
                <c:pt idx="5">
                  <c:v>1.0616604361005504</c:v>
                </c:pt>
                <c:pt idx="6">
                  <c:v>1.0616604361005504</c:v>
                </c:pt>
                <c:pt idx="7">
                  <c:v>1.0616604361005504</c:v>
                </c:pt>
                <c:pt idx="8">
                  <c:v>1.0616604361005504</c:v>
                </c:pt>
                <c:pt idx="9">
                  <c:v>1.0616604361005504</c:v>
                </c:pt>
                <c:pt idx="10">
                  <c:v>1.0616604361005504</c:v>
                </c:pt>
                <c:pt idx="11">
                  <c:v>1.0616604361005504</c:v>
                </c:pt>
                <c:pt idx="12">
                  <c:v>1.0616604361005504</c:v>
                </c:pt>
                <c:pt idx="13">
                  <c:v>1.0616604361005504</c:v>
                </c:pt>
                <c:pt idx="14">
                  <c:v>1.0616604361005504</c:v>
                </c:pt>
                <c:pt idx="15">
                  <c:v>1.0616604361005504</c:v>
                </c:pt>
                <c:pt idx="16">
                  <c:v>1.0616604361005504</c:v>
                </c:pt>
                <c:pt idx="17">
                  <c:v>1.0616604361005504</c:v>
                </c:pt>
                <c:pt idx="18">
                  <c:v>1.0616604361005504</c:v>
                </c:pt>
                <c:pt idx="19">
                  <c:v>1.0616604361005504</c:v>
                </c:pt>
                <c:pt idx="20">
                  <c:v>1.0616604361005504</c:v>
                </c:pt>
                <c:pt idx="21">
                  <c:v>1.0616604361005504</c:v>
                </c:pt>
                <c:pt idx="22">
                  <c:v>1.0616604361005504</c:v>
                </c:pt>
                <c:pt idx="23">
                  <c:v>1.0616604361005504</c:v>
                </c:pt>
                <c:pt idx="24">
                  <c:v>1.0616604361005504</c:v>
                </c:pt>
                <c:pt idx="25">
                  <c:v>1.0616604361005504</c:v>
                </c:pt>
                <c:pt idx="26">
                  <c:v>1.0616604361005504</c:v>
                </c:pt>
                <c:pt idx="27">
                  <c:v>1.0616604361005504</c:v>
                </c:pt>
                <c:pt idx="28">
                  <c:v>1.0616604361005504</c:v>
                </c:pt>
                <c:pt idx="29">
                  <c:v>1.0616604361005504</c:v>
                </c:pt>
                <c:pt idx="30">
                  <c:v>1.0616604361005504</c:v>
                </c:pt>
                <c:pt idx="31">
                  <c:v>1.0616604361005504</c:v>
                </c:pt>
                <c:pt idx="32">
                  <c:v>1.0616604361005504</c:v>
                </c:pt>
                <c:pt idx="33">
                  <c:v>1.0616604361005504</c:v>
                </c:pt>
                <c:pt idx="34">
                  <c:v>1.0616604361005504</c:v>
                </c:pt>
                <c:pt idx="35">
                  <c:v>1.0616604361005504</c:v>
                </c:pt>
                <c:pt idx="36">
                  <c:v>1.0616604361005504</c:v>
                </c:pt>
                <c:pt idx="37">
                  <c:v>1.0616604361005504</c:v>
                </c:pt>
                <c:pt idx="38">
                  <c:v>1.0616604361005504</c:v>
                </c:pt>
                <c:pt idx="39">
                  <c:v>1.0616604361005504</c:v>
                </c:pt>
                <c:pt idx="40">
                  <c:v>1.0616604361005504</c:v>
                </c:pt>
                <c:pt idx="41">
                  <c:v>1.0616604361005504</c:v>
                </c:pt>
                <c:pt idx="42">
                  <c:v>1.0616604361005504</c:v>
                </c:pt>
                <c:pt idx="43">
                  <c:v>1.0616604361005504</c:v>
                </c:pt>
                <c:pt idx="44">
                  <c:v>1.0616604361005504</c:v>
                </c:pt>
                <c:pt idx="45">
                  <c:v>1.0616604361005504</c:v>
                </c:pt>
                <c:pt idx="46">
                  <c:v>1.0616604361005504</c:v>
                </c:pt>
                <c:pt idx="47">
                  <c:v>1.0616604361005504</c:v>
                </c:pt>
                <c:pt idx="48">
                  <c:v>1.0616604361005504</c:v>
                </c:pt>
                <c:pt idx="49">
                  <c:v>1.0616604361005504</c:v>
                </c:pt>
                <c:pt idx="50">
                  <c:v>1.0616604361005504</c:v>
                </c:pt>
                <c:pt idx="51">
                  <c:v>1.0616604361005504</c:v>
                </c:pt>
                <c:pt idx="52">
                  <c:v>1.0616604361005504</c:v>
                </c:pt>
                <c:pt idx="53">
                  <c:v>1.0616604361005504</c:v>
                </c:pt>
                <c:pt idx="54">
                  <c:v>1.0616604361005504</c:v>
                </c:pt>
                <c:pt idx="55">
                  <c:v>1.0616604361005504</c:v>
                </c:pt>
                <c:pt idx="56">
                  <c:v>1.0616604361005504</c:v>
                </c:pt>
                <c:pt idx="57">
                  <c:v>1.0616604361005504</c:v>
                </c:pt>
                <c:pt idx="58">
                  <c:v>1.0616604361005504</c:v>
                </c:pt>
                <c:pt idx="59">
                  <c:v>1.0616604361005504</c:v>
                </c:pt>
                <c:pt idx="60">
                  <c:v>1.0616604361005504</c:v>
                </c:pt>
                <c:pt idx="61">
                  <c:v>1.0616604361005504</c:v>
                </c:pt>
                <c:pt idx="62">
                  <c:v>1.0616604361005504</c:v>
                </c:pt>
                <c:pt idx="63">
                  <c:v>1.0616604361005504</c:v>
                </c:pt>
                <c:pt idx="64">
                  <c:v>1.0616604361005504</c:v>
                </c:pt>
                <c:pt idx="65">
                  <c:v>1.0616604361005504</c:v>
                </c:pt>
                <c:pt idx="66">
                  <c:v>1.0616604361005504</c:v>
                </c:pt>
                <c:pt idx="67">
                  <c:v>1.0616604361005504</c:v>
                </c:pt>
                <c:pt idx="68">
                  <c:v>1.0616604361005504</c:v>
                </c:pt>
                <c:pt idx="69">
                  <c:v>1.0616604361005504</c:v>
                </c:pt>
                <c:pt idx="70">
                  <c:v>1.0616604361005504</c:v>
                </c:pt>
                <c:pt idx="71">
                  <c:v>1.0616604361005504</c:v>
                </c:pt>
                <c:pt idx="72">
                  <c:v>1.0616604361005504</c:v>
                </c:pt>
                <c:pt idx="73">
                  <c:v>1.0616604361005504</c:v>
                </c:pt>
                <c:pt idx="74">
                  <c:v>1.0616604361005504</c:v>
                </c:pt>
                <c:pt idx="75">
                  <c:v>1.0616604361005504</c:v>
                </c:pt>
                <c:pt idx="76">
                  <c:v>1.0616604361005504</c:v>
                </c:pt>
                <c:pt idx="77">
                  <c:v>1.0616604361005504</c:v>
                </c:pt>
                <c:pt idx="78">
                  <c:v>1.0616604361005504</c:v>
                </c:pt>
                <c:pt idx="79">
                  <c:v>1.0616604361005504</c:v>
                </c:pt>
                <c:pt idx="80">
                  <c:v>1.0616604361005504</c:v>
                </c:pt>
                <c:pt idx="81">
                  <c:v>1.0616604361005504</c:v>
                </c:pt>
                <c:pt idx="82">
                  <c:v>1.0616604361005504</c:v>
                </c:pt>
                <c:pt idx="83">
                  <c:v>1.0616604361005504</c:v>
                </c:pt>
                <c:pt idx="84">
                  <c:v>1.0616604361005504</c:v>
                </c:pt>
                <c:pt idx="85">
                  <c:v>1.0616604361005504</c:v>
                </c:pt>
                <c:pt idx="86">
                  <c:v>1.0616604361005504</c:v>
                </c:pt>
                <c:pt idx="87">
                  <c:v>1.0616604361005504</c:v>
                </c:pt>
                <c:pt idx="88">
                  <c:v>1.0616604361005504</c:v>
                </c:pt>
                <c:pt idx="89">
                  <c:v>1.0616604361005504</c:v>
                </c:pt>
                <c:pt idx="90">
                  <c:v>1.0616604361005504</c:v>
                </c:pt>
                <c:pt idx="91">
                  <c:v>1.0616604361005504</c:v>
                </c:pt>
                <c:pt idx="92">
                  <c:v>1.0616604361005504</c:v>
                </c:pt>
                <c:pt idx="93">
                  <c:v>1.0616604361005504</c:v>
                </c:pt>
                <c:pt idx="94">
                  <c:v>1.0616604361005504</c:v>
                </c:pt>
                <c:pt idx="95">
                  <c:v>1.0616604361005504</c:v>
                </c:pt>
                <c:pt idx="96">
                  <c:v>1.0616604361005504</c:v>
                </c:pt>
                <c:pt idx="97">
                  <c:v>1.0616604361005504</c:v>
                </c:pt>
                <c:pt idx="98">
                  <c:v>1.0616604361005504</c:v>
                </c:pt>
                <c:pt idx="99">
                  <c:v>1.0616604361005504</c:v>
                </c:pt>
                <c:pt idx="100">
                  <c:v>1.0616604361005504</c:v>
                </c:pt>
                <c:pt idx="101">
                  <c:v>1.0616604361005504</c:v>
                </c:pt>
                <c:pt idx="102">
                  <c:v>1.0616604361005504</c:v>
                </c:pt>
                <c:pt idx="103">
                  <c:v>1.0616604361005504</c:v>
                </c:pt>
                <c:pt idx="104">
                  <c:v>1.0616604361005504</c:v>
                </c:pt>
                <c:pt idx="105">
                  <c:v>1.0616604361005504</c:v>
                </c:pt>
                <c:pt idx="106">
                  <c:v>1.0616604361005504</c:v>
                </c:pt>
                <c:pt idx="107">
                  <c:v>1.0616604361005504</c:v>
                </c:pt>
                <c:pt idx="108">
                  <c:v>1.0616604361005504</c:v>
                </c:pt>
                <c:pt idx="109">
                  <c:v>1.0616604361005504</c:v>
                </c:pt>
                <c:pt idx="110">
                  <c:v>1.0616604361005504</c:v>
                </c:pt>
                <c:pt idx="111">
                  <c:v>1.0616604361005504</c:v>
                </c:pt>
                <c:pt idx="112">
                  <c:v>1.0616604361005504</c:v>
                </c:pt>
                <c:pt idx="113">
                  <c:v>1.0616604361005504</c:v>
                </c:pt>
                <c:pt idx="114">
                  <c:v>1.0616604361005504</c:v>
                </c:pt>
                <c:pt idx="115">
                  <c:v>1.0616604361005504</c:v>
                </c:pt>
                <c:pt idx="116">
                  <c:v>1.0616604361005504</c:v>
                </c:pt>
                <c:pt idx="117">
                  <c:v>1.0616604361005504</c:v>
                </c:pt>
                <c:pt idx="118">
                  <c:v>1.0616604361005504</c:v>
                </c:pt>
                <c:pt idx="119">
                  <c:v>1.0616604361005504</c:v>
                </c:pt>
                <c:pt idx="120">
                  <c:v>1.0616604361005504</c:v>
                </c:pt>
                <c:pt idx="121">
                  <c:v>1.0616604361005504</c:v>
                </c:pt>
                <c:pt idx="122">
                  <c:v>1.0616604361005504</c:v>
                </c:pt>
                <c:pt idx="123">
                  <c:v>1.0616604361005504</c:v>
                </c:pt>
                <c:pt idx="124">
                  <c:v>1.0616604361005504</c:v>
                </c:pt>
                <c:pt idx="125">
                  <c:v>1.0616604361005504</c:v>
                </c:pt>
                <c:pt idx="126">
                  <c:v>1.0616604361005504</c:v>
                </c:pt>
                <c:pt idx="127">
                  <c:v>1.0616604361005504</c:v>
                </c:pt>
                <c:pt idx="128">
                  <c:v>1.0616604361005504</c:v>
                </c:pt>
                <c:pt idx="129">
                  <c:v>1.0616604361005504</c:v>
                </c:pt>
                <c:pt idx="130">
                  <c:v>1.0616604361005504</c:v>
                </c:pt>
                <c:pt idx="131">
                  <c:v>1.0616604361005504</c:v>
                </c:pt>
                <c:pt idx="132">
                  <c:v>1.0616604361005504</c:v>
                </c:pt>
                <c:pt idx="133">
                  <c:v>1.0616604361005504</c:v>
                </c:pt>
                <c:pt idx="134">
                  <c:v>1.0616604361005504</c:v>
                </c:pt>
                <c:pt idx="135">
                  <c:v>1.0616604361005504</c:v>
                </c:pt>
                <c:pt idx="136">
                  <c:v>1.0616604361005504</c:v>
                </c:pt>
                <c:pt idx="137">
                  <c:v>1.0616604361005504</c:v>
                </c:pt>
                <c:pt idx="138">
                  <c:v>1.0616604361005504</c:v>
                </c:pt>
                <c:pt idx="139">
                  <c:v>1.0616604361005504</c:v>
                </c:pt>
                <c:pt idx="140">
                  <c:v>1.0616604361005504</c:v>
                </c:pt>
                <c:pt idx="141">
                  <c:v>1.0616604361005504</c:v>
                </c:pt>
                <c:pt idx="142">
                  <c:v>1.0616604361005504</c:v>
                </c:pt>
                <c:pt idx="143">
                  <c:v>1.0616604361005504</c:v>
                </c:pt>
                <c:pt idx="144">
                  <c:v>1.0616604361005504</c:v>
                </c:pt>
                <c:pt idx="145">
                  <c:v>1.0616604361005504</c:v>
                </c:pt>
                <c:pt idx="146">
                  <c:v>1.0616604361005504</c:v>
                </c:pt>
                <c:pt idx="147">
                  <c:v>1.0616604361005504</c:v>
                </c:pt>
                <c:pt idx="148">
                  <c:v>1.0616604361005504</c:v>
                </c:pt>
                <c:pt idx="149">
                  <c:v>1.0616604361005504</c:v>
                </c:pt>
                <c:pt idx="150">
                  <c:v>1.0616604361005504</c:v>
                </c:pt>
                <c:pt idx="151">
                  <c:v>1.0616604361005504</c:v>
                </c:pt>
                <c:pt idx="152">
                  <c:v>1.0616604361005504</c:v>
                </c:pt>
                <c:pt idx="153">
                  <c:v>1.0616604361005504</c:v>
                </c:pt>
                <c:pt idx="154">
                  <c:v>1.0616604361005504</c:v>
                </c:pt>
                <c:pt idx="155">
                  <c:v>1.0616604361005504</c:v>
                </c:pt>
                <c:pt idx="156">
                  <c:v>1.0616604361005504</c:v>
                </c:pt>
                <c:pt idx="157">
                  <c:v>1.0616604361005504</c:v>
                </c:pt>
                <c:pt idx="158">
                  <c:v>1.0616604361005504</c:v>
                </c:pt>
                <c:pt idx="159">
                  <c:v>1.0616604361005504</c:v>
                </c:pt>
                <c:pt idx="160">
                  <c:v>1.0616604361005504</c:v>
                </c:pt>
                <c:pt idx="161">
                  <c:v>1.0616604361005504</c:v>
                </c:pt>
                <c:pt idx="162">
                  <c:v>1.0616604361005504</c:v>
                </c:pt>
                <c:pt idx="163">
                  <c:v>1.0616604361005504</c:v>
                </c:pt>
                <c:pt idx="164">
                  <c:v>1.0616604361005504</c:v>
                </c:pt>
                <c:pt idx="165">
                  <c:v>1.0616604361005504</c:v>
                </c:pt>
                <c:pt idx="166">
                  <c:v>1.0616604361005504</c:v>
                </c:pt>
                <c:pt idx="167">
                  <c:v>1.0616604361005504</c:v>
                </c:pt>
                <c:pt idx="168">
                  <c:v>1.0616604361005504</c:v>
                </c:pt>
                <c:pt idx="169">
                  <c:v>1.0616604361005504</c:v>
                </c:pt>
                <c:pt idx="170">
                  <c:v>1.0616604361005504</c:v>
                </c:pt>
                <c:pt idx="171">
                  <c:v>1.0616604361005504</c:v>
                </c:pt>
                <c:pt idx="172">
                  <c:v>1.0616604361005504</c:v>
                </c:pt>
                <c:pt idx="173">
                  <c:v>1.0616604361005504</c:v>
                </c:pt>
                <c:pt idx="174">
                  <c:v>1.0616604361005504</c:v>
                </c:pt>
                <c:pt idx="175">
                  <c:v>1.0616604361005504</c:v>
                </c:pt>
                <c:pt idx="176">
                  <c:v>1.0616604361005504</c:v>
                </c:pt>
                <c:pt idx="177">
                  <c:v>1.0616604361005504</c:v>
                </c:pt>
                <c:pt idx="178">
                  <c:v>1.0616604361005504</c:v>
                </c:pt>
                <c:pt idx="179">
                  <c:v>1.0616604361005504</c:v>
                </c:pt>
                <c:pt idx="180">
                  <c:v>1.0616604361005504</c:v>
                </c:pt>
                <c:pt idx="181">
                  <c:v>1.0616604361005504</c:v>
                </c:pt>
                <c:pt idx="182">
                  <c:v>1.0616604361005504</c:v>
                </c:pt>
                <c:pt idx="183">
                  <c:v>1.0616604361005504</c:v>
                </c:pt>
                <c:pt idx="184">
                  <c:v>1.0616604361005504</c:v>
                </c:pt>
                <c:pt idx="185">
                  <c:v>1.0616604361005504</c:v>
                </c:pt>
                <c:pt idx="186">
                  <c:v>1.0616604361005504</c:v>
                </c:pt>
                <c:pt idx="187">
                  <c:v>1.0616604361005504</c:v>
                </c:pt>
                <c:pt idx="188">
                  <c:v>1.0616604361005504</c:v>
                </c:pt>
                <c:pt idx="189">
                  <c:v>1.0616604361005504</c:v>
                </c:pt>
                <c:pt idx="190">
                  <c:v>1.0616604361005504</c:v>
                </c:pt>
                <c:pt idx="191">
                  <c:v>1.0616604361005504</c:v>
                </c:pt>
                <c:pt idx="192">
                  <c:v>1.0616604361005504</c:v>
                </c:pt>
                <c:pt idx="193">
                  <c:v>1.0616604361005504</c:v>
                </c:pt>
                <c:pt idx="194">
                  <c:v>1.0616604361005504</c:v>
                </c:pt>
                <c:pt idx="195">
                  <c:v>1.0616604361005504</c:v>
                </c:pt>
                <c:pt idx="196">
                  <c:v>1.0616604361005504</c:v>
                </c:pt>
                <c:pt idx="197">
                  <c:v>1.0616604361005504</c:v>
                </c:pt>
                <c:pt idx="198">
                  <c:v>1.0616604361005504</c:v>
                </c:pt>
                <c:pt idx="199">
                  <c:v>1.0616604361005504</c:v>
                </c:pt>
                <c:pt idx="200">
                  <c:v>1.0616604361005504</c:v>
                </c:pt>
                <c:pt idx="201">
                  <c:v>1.0616604361005504</c:v>
                </c:pt>
                <c:pt idx="202">
                  <c:v>1.0616604361005504</c:v>
                </c:pt>
                <c:pt idx="203">
                  <c:v>1.0616604361005504</c:v>
                </c:pt>
                <c:pt idx="204">
                  <c:v>1.0616604361005504</c:v>
                </c:pt>
                <c:pt idx="205">
                  <c:v>1.0616604361005504</c:v>
                </c:pt>
                <c:pt idx="206">
                  <c:v>1.0616604361005504</c:v>
                </c:pt>
                <c:pt idx="207">
                  <c:v>1.0616604361005504</c:v>
                </c:pt>
                <c:pt idx="208">
                  <c:v>1.0616604361005504</c:v>
                </c:pt>
                <c:pt idx="209">
                  <c:v>1.0616604361005504</c:v>
                </c:pt>
                <c:pt idx="210">
                  <c:v>1.0616604361005504</c:v>
                </c:pt>
                <c:pt idx="211">
                  <c:v>1.0616604361005504</c:v>
                </c:pt>
                <c:pt idx="212">
                  <c:v>1.0616604361005504</c:v>
                </c:pt>
                <c:pt idx="213">
                  <c:v>1.0616604361005504</c:v>
                </c:pt>
                <c:pt idx="214">
                  <c:v>1.0616604361005504</c:v>
                </c:pt>
                <c:pt idx="215">
                  <c:v>1.0616604361005504</c:v>
                </c:pt>
                <c:pt idx="216">
                  <c:v>1.0616604361005504</c:v>
                </c:pt>
                <c:pt idx="217">
                  <c:v>1.0616604361005504</c:v>
                </c:pt>
                <c:pt idx="218">
                  <c:v>1.0616604361005504</c:v>
                </c:pt>
                <c:pt idx="219">
                  <c:v>1.0616604361005504</c:v>
                </c:pt>
                <c:pt idx="220">
                  <c:v>1.0616604361005504</c:v>
                </c:pt>
                <c:pt idx="221">
                  <c:v>1.0616604361005504</c:v>
                </c:pt>
                <c:pt idx="222">
                  <c:v>1.0616604361005504</c:v>
                </c:pt>
                <c:pt idx="223">
                  <c:v>1.0616604361005504</c:v>
                </c:pt>
                <c:pt idx="224">
                  <c:v>1.0616604361005504</c:v>
                </c:pt>
                <c:pt idx="225">
                  <c:v>1.0616604361005504</c:v>
                </c:pt>
                <c:pt idx="226">
                  <c:v>1.0616604361005504</c:v>
                </c:pt>
                <c:pt idx="227">
                  <c:v>1.0616604361005504</c:v>
                </c:pt>
                <c:pt idx="228">
                  <c:v>1.0616604361005504</c:v>
                </c:pt>
                <c:pt idx="229">
                  <c:v>1.0616604361005504</c:v>
                </c:pt>
                <c:pt idx="230">
                  <c:v>1.0616604361005504</c:v>
                </c:pt>
                <c:pt idx="231">
                  <c:v>1.0616604361005504</c:v>
                </c:pt>
                <c:pt idx="232">
                  <c:v>1.0616604361005504</c:v>
                </c:pt>
                <c:pt idx="233">
                  <c:v>1.0616604361005504</c:v>
                </c:pt>
                <c:pt idx="234">
                  <c:v>1.0616604361005504</c:v>
                </c:pt>
                <c:pt idx="235">
                  <c:v>1.0616604361005504</c:v>
                </c:pt>
                <c:pt idx="236">
                  <c:v>1.0616604361005504</c:v>
                </c:pt>
                <c:pt idx="237">
                  <c:v>1.0616604361005504</c:v>
                </c:pt>
                <c:pt idx="238">
                  <c:v>1.0616604361005504</c:v>
                </c:pt>
                <c:pt idx="239">
                  <c:v>1.0616604361005504</c:v>
                </c:pt>
                <c:pt idx="240">
                  <c:v>1.0616604361005504</c:v>
                </c:pt>
                <c:pt idx="241">
                  <c:v>1.0616604361005504</c:v>
                </c:pt>
                <c:pt idx="242">
                  <c:v>1.0616604361005504</c:v>
                </c:pt>
                <c:pt idx="243">
                  <c:v>1.0616604361005504</c:v>
                </c:pt>
                <c:pt idx="244">
                  <c:v>1.0616604361005504</c:v>
                </c:pt>
                <c:pt idx="245">
                  <c:v>1.0616604361005504</c:v>
                </c:pt>
                <c:pt idx="246">
                  <c:v>1.0616604361005504</c:v>
                </c:pt>
                <c:pt idx="247">
                  <c:v>1.0616604361005504</c:v>
                </c:pt>
                <c:pt idx="248">
                  <c:v>1.0616604361005504</c:v>
                </c:pt>
                <c:pt idx="249">
                  <c:v>1.0616604361005504</c:v>
                </c:pt>
                <c:pt idx="250">
                  <c:v>1.0616604361005504</c:v>
                </c:pt>
                <c:pt idx="251">
                  <c:v>1.0616604361005504</c:v>
                </c:pt>
                <c:pt idx="252">
                  <c:v>1.0616604361005504</c:v>
                </c:pt>
                <c:pt idx="253">
                  <c:v>1.0616604361005504</c:v>
                </c:pt>
                <c:pt idx="254">
                  <c:v>1.0616604361005504</c:v>
                </c:pt>
                <c:pt idx="255">
                  <c:v>1.0616604361005504</c:v>
                </c:pt>
                <c:pt idx="256">
                  <c:v>1.0616604361005504</c:v>
                </c:pt>
                <c:pt idx="257">
                  <c:v>1.0616604361005504</c:v>
                </c:pt>
                <c:pt idx="258">
                  <c:v>1.0616604361005504</c:v>
                </c:pt>
                <c:pt idx="259">
                  <c:v>1.0616604361005504</c:v>
                </c:pt>
                <c:pt idx="260">
                  <c:v>1.0616604361005504</c:v>
                </c:pt>
                <c:pt idx="261">
                  <c:v>1.0616604361005504</c:v>
                </c:pt>
                <c:pt idx="262">
                  <c:v>1.0616604361005504</c:v>
                </c:pt>
                <c:pt idx="263">
                  <c:v>1.0616604361005504</c:v>
                </c:pt>
                <c:pt idx="264">
                  <c:v>1.0616604361005504</c:v>
                </c:pt>
                <c:pt idx="265">
                  <c:v>1.0616604361005504</c:v>
                </c:pt>
                <c:pt idx="266">
                  <c:v>1.0616604361005504</c:v>
                </c:pt>
                <c:pt idx="267">
                  <c:v>1.0616604361005504</c:v>
                </c:pt>
                <c:pt idx="268">
                  <c:v>1.0616604361005504</c:v>
                </c:pt>
                <c:pt idx="269">
                  <c:v>1.0616604361005504</c:v>
                </c:pt>
                <c:pt idx="270">
                  <c:v>1.0616604361005504</c:v>
                </c:pt>
                <c:pt idx="271">
                  <c:v>1.0616604361005504</c:v>
                </c:pt>
                <c:pt idx="272">
                  <c:v>1.0616604361005504</c:v>
                </c:pt>
                <c:pt idx="273">
                  <c:v>1.0616604361005504</c:v>
                </c:pt>
                <c:pt idx="274">
                  <c:v>1.0616604361005504</c:v>
                </c:pt>
                <c:pt idx="275">
                  <c:v>1.0616604361005504</c:v>
                </c:pt>
                <c:pt idx="276">
                  <c:v>1.0616604361005504</c:v>
                </c:pt>
                <c:pt idx="277">
                  <c:v>1.0616604361005504</c:v>
                </c:pt>
                <c:pt idx="278">
                  <c:v>1.0616604361005504</c:v>
                </c:pt>
                <c:pt idx="279">
                  <c:v>1.0616604361005504</c:v>
                </c:pt>
                <c:pt idx="280">
                  <c:v>1.0616604361005504</c:v>
                </c:pt>
                <c:pt idx="281">
                  <c:v>1.0616604361005504</c:v>
                </c:pt>
                <c:pt idx="282">
                  <c:v>1.0616604361005504</c:v>
                </c:pt>
                <c:pt idx="283">
                  <c:v>1.0616604361005504</c:v>
                </c:pt>
                <c:pt idx="284">
                  <c:v>1.0616604361005504</c:v>
                </c:pt>
                <c:pt idx="285">
                  <c:v>1.0616604361005504</c:v>
                </c:pt>
                <c:pt idx="286">
                  <c:v>1.0616604361005504</c:v>
                </c:pt>
                <c:pt idx="287">
                  <c:v>1.0616604361005504</c:v>
                </c:pt>
                <c:pt idx="288">
                  <c:v>1.0616604361005504</c:v>
                </c:pt>
                <c:pt idx="289">
                  <c:v>1.0616604361005504</c:v>
                </c:pt>
                <c:pt idx="290">
                  <c:v>1.0616604361005504</c:v>
                </c:pt>
                <c:pt idx="291">
                  <c:v>1.0616604361005504</c:v>
                </c:pt>
                <c:pt idx="292">
                  <c:v>1.0616604361005504</c:v>
                </c:pt>
                <c:pt idx="293">
                  <c:v>1.0616604361005504</c:v>
                </c:pt>
                <c:pt idx="294">
                  <c:v>1.0616604361005504</c:v>
                </c:pt>
                <c:pt idx="295">
                  <c:v>1.0616604361005504</c:v>
                </c:pt>
                <c:pt idx="296">
                  <c:v>1.0616604361005504</c:v>
                </c:pt>
                <c:pt idx="297">
                  <c:v>1.0616604361005504</c:v>
                </c:pt>
                <c:pt idx="298">
                  <c:v>1.0616604361005504</c:v>
                </c:pt>
                <c:pt idx="299">
                  <c:v>1.0616604361005504</c:v>
                </c:pt>
                <c:pt idx="300">
                  <c:v>1.0616604361005504</c:v>
                </c:pt>
                <c:pt idx="301">
                  <c:v>1.0616604361005504</c:v>
                </c:pt>
                <c:pt idx="302">
                  <c:v>1.0616604361005504</c:v>
                </c:pt>
                <c:pt idx="303">
                  <c:v>1.0616604361005504</c:v>
                </c:pt>
                <c:pt idx="304">
                  <c:v>1.0616604361005504</c:v>
                </c:pt>
                <c:pt idx="305">
                  <c:v>1.0616604361005504</c:v>
                </c:pt>
                <c:pt idx="306">
                  <c:v>1.0616604361005504</c:v>
                </c:pt>
                <c:pt idx="307">
                  <c:v>1.0616604361005504</c:v>
                </c:pt>
                <c:pt idx="308">
                  <c:v>1.0616604361005504</c:v>
                </c:pt>
                <c:pt idx="309">
                  <c:v>1.0616604361005504</c:v>
                </c:pt>
                <c:pt idx="310">
                  <c:v>1.0616604361005504</c:v>
                </c:pt>
                <c:pt idx="311">
                  <c:v>1.0616604361005504</c:v>
                </c:pt>
                <c:pt idx="312">
                  <c:v>1.0616604361005504</c:v>
                </c:pt>
                <c:pt idx="313">
                  <c:v>1.0616604361005504</c:v>
                </c:pt>
                <c:pt idx="314">
                  <c:v>1.0616604361005504</c:v>
                </c:pt>
                <c:pt idx="315">
                  <c:v>1.0616604361005504</c:v>
                </c:pt>
                <c:pt idx="316">
                  <c:v>1.0616604361005504</c:v>
                </c:pt>
                <c:pt idx="317">
                  <c:v>1.0616604361005504</c:v>
                </c:pt>
                <c:pt idx="318">
                  <c:v>1.0616604361005504</c:v>
                </c:pt>
                <c:pt idx="319">
                  <c:v>1.0616604361005504</c:v>
                </c:pt>
                <c:pt idx="320">
                  <c:v>1.0616604361005504</c:v>
                </c:pt>
                <c:pt idx="321">
                  <c:v>1.0616604361005504</c:v>
                </c:pt>
                <c:pt idx="322">
                  <c:v>1.0616604361005504</c:v>
                </c:pt>
                <c:pt idx="323">
                  <c:v>1.0616604361005504</c:v>
                </c:pt>
                <c:pt idx="324">
                  <c:v>1.0616604361005504</c:v>
                </c:pt>
                <c:pt idx="325">
                  <c:v>1.0616604361005504</c:v>
                </c:pt>
                <c:pt idx="326">
                  <c:v>1.0616604361005504</c:v>
                </c:pt>
                <c:pt idx="327">
                  <c:v>1.0616604361005504</c:v>
                </c:pt>
                <c:pt idx="328">
                  <c:v>1.0616604361005504</c:v>
                </c:pt>
                <c:pt idx="329">
                  <c:v>1.0616604361005504</c:v>
                </c:pt>
                <c:pt idx="330">
                  <c:v>1.0616604361005504</c:v>
                </c:pt>
                <c:pt idx="331">
                  <c:v>1.0616604361005504</c:v>
                </c:pt>
                <c:pt idx="332">
                  <c:v>1.0616604361005504</c:v>
                </c:pt>
                <c:pt idx="333">
                  <c:v>1.0616604361005504</c:v>
                </c:pt>
                <c:pt idx="334">
                  <c:v>1.0616604361005504</c:v>
                </c:pt>
                <c:pt idx="335">
                  <c:v>1.0616604361005504</c:v>
                </c:pt>
                <c:pt idx="336">
                  <c:v>1.0616604361005504</c:v>
                </c:pt>
                <c:pt idx="337">
                  <c:v>1.0616604361005504</c:v>
                </c:pt>
                <c:pt idx="338">
                  <c:v>1.0616604361005504</c:v>
                </c:pt>
                <c:pt idx="339">
                  <c:v>1.0616604361005504</c:v>
                </c:pt>
                <c:pt idx="340">
                  <c:v>1.0616604361005504</c:v>
                </c:pt>
                <c:pt idx="341">
                  <c:v>1.0616604361005504</c:v>
                </c:pt>
                <c:pt idx="342">
                  <c:v>1.0616604361005504</c:v>
                </c:pt>
                <c:pt idx="343">
                  <c:v>1.0616604361005504</c:v>
                </c:pt>
                <c:pt idx="344">
                  <c:v>1.0616604361005504</c:v>
                </c:pt>
                <c:pt idx="345">
                  <c:v>1.0616604361005504</c:v>
                </c:pt>
                <c:pt idx="346">
                  <c:v>1.0616604361005504</c:v>
                </c:pt>
                <c:pt idx="347">
                  <c:v>1.0616604361005504</c:v>
                </c:pt>
                <c:pt idx="348">
                  <c:v>1.0616604361005504</c:v>
                </c:pt>
                <c:pt idx="349">
                  <c:v>1.0616604361005504</c:v>
                </c:pt>
                <c:pt idx="350">
                  <c:v>1.0616604361005504</c:v>
                </c:pt>
                <c:pt idx="351">
                  <c:v>1.0616604361005504</c:v>
                </c:pt>
                <c:pt idx="352">
                  <c:v>1.0616604361005504</c:v>
                </c:pt>
                <c:pt idx="353">
                  <c:v>1.0616604361005504</c:v>
                </c:pt>
                <c:pt idx="354">
                  <c:v>1.0616604361005504</c:v>
                </c:pt>
                <c:pt idx="355">
                  <c:v>1.0616604361005504</c:v>
                </c:pt>
                <c:pt idx="356">
                  <c:v>1.0616604361005504</c:v>
                </c:pt>
                <c:pt idx="357">
                  <c:v>1.0616604361005504</c:v>
                </c:pt>
                <c:pt idx="358">
                  <c:v>1.0616604361005504</c:v>
                </c:pt>
                <c:pt idx="359">
                  <c:v>1.0616604361005504</c:v>
                </c:pt>
                <c:pt idx="360">
                  <c:v>1.0616604361005504</c:v>
                </c:pt>
                <c:pt idx="361">
                  <c:v>1.0616604361005504</c:v>
                </c:pt>
                <c:pt idx="362">
                  <c:v>1.0616604361005504</c:v>
                </c:pt>
                <c:pt idx="363">
                  <c:v>1.0616604361005504</c:v>
                </c:pt>
                <c:pt idx="364">
                  <c:v>1.0616604361005504</c:v>
                </c:pt>
                <c:pt idx="365">
                  <c:v>1.0616604361005504</c:v>
                </c:pt>
                <c:pt idx="366">
                  <c:v>1.0616604361005504</c:v>
                </c:pt>
                <c:pt idx="367">
                  <c:v>1.0616604361005504</c:v>
                </c:pt>
                <c:pt idx="368">
                  <c:v>1.0616604361005504</c:v>
                </c:pt>
                <c:pt idx="369">
                  <c:v>1.0616604361005504</c:v>
                </c:pt>
                <c:pt idx="370">
                  <c:v>1.0616604361005504</c:v>
                </c:pt>
                <c:pt idx="371">
                  <c:v>1.0616604361005504</c:v>
                </c:pt>
                <c:pt idx="372">
                  <c:v>1.0616604361005504</c:v>
                </c:pt>
                <c:pt idx="373">
                  <c:v>1.0616604361005504</c:v>
                </c:pt>
                <c:pt idx="374">
                  <c:v>1.0616604361005504</c:v>
                </c:pt>
                <c:pt idx="375">
                  <c:v>1.0616604361005504</c:v>
                </c:pt>
                <c:pt idx="376">
                  <c:v>1.0616604361005504</c:v>
                </c:pt>
                <c:pt idx="377">
                  <c:v>1.0616604361005504</c:v>
                </c:pt>
                <c:pt idx="378">
                  <c:v>1.0616604361005504</c:v>
                </c:pt>
                <c:pt idx="379">
                  <c:v>1.0616604361005504</c:v>
                </c:pt>
                <c:pt idx="380">
                  <c:v>1.0616604361005504</c:v>
                </c:pt>
                <c:pt idx="381">
                  <c:v>1.0616604361005504</c:v>
                </c:pt>
                <c:pt idx="382">
                  <c:v>1.0616604361005504</c:v>
                </c:pt>
                <c:pt idx="383">
                  <c:v>1.0616604361005504</c:v>
                </c:pt>
                <c:pt idx="384">
                  <c:v>1.0616604361005504</c:v>
                </c:pt>
                <c:pt idx="385">
                  <c:v>1.0616604361005504</c:v>
                </c:pt>
                <c:pt idx="386">
                  <c:v>1.0616604361005504</c:v>
                </c:pt>
                <c:pt idx="387">
                  <c:v>1.0616604361005504</c:v>
                </c:pt>
                <c:pt idx="388">
                  <c:v>1.0616604361005504</c:v>
                </c:pt>
                <c:pt idx="389">
                  <c:v>1.0616604361005504</c:v>
                </c:pt>
                <c:pt idx="390">
                  <c:v>1.0616604361005504</c:v>
                </c:pt>
                <c:pt idx="391">
                  <c:v>1.0616604361005504</c:v>
                </c:pt>
                <c:pt idx="392">
                  <c:v>1.0616604361005504</c:v>
                </c:pt>
                <c:pt idx="393">
                  <c:v>1.0616604361005504</c:v>
                </c:pt>
                <c:pt idx="394">
                  <c:v>1.0616604361005504</c:v>
                </c:pt>
                <c:pt idx="395">
                  <c:v>1.0616604361005504</c:v>
                </c:pt>
                <c:pt idx="396">
                  <c:v>1.0616604361005504</c:v>
                </c:pt>
                <c:pt idx="397">
                  <c:v>1.0616604361005504</c:v>
                </c:pt>
                <c:pt idx="398">
                  <c:v>1.0616604361005504</c:v>
                </c:pt>
                <c:pt idx="399">
                  <c:v>1.0616604361005504</c:v>
                </c:pt>
                <c:pt idx="400">
                  <c:v>1.0616604361005504</c:v>
                </c:pt>
                <c:pt idx="401">
                  <c:v>1.0616604361005504</c:v>
                </c:pt>
                <c:pt idx="402">
                  <c:v>1.0616604361005504</c:v>
                </c:pt>
                <c:pt idx="403">
                  <c:v>1.0616604361005504</c:v>
                </c:pt>
                <c:pt idx="404">
                  <c:v>1.0616604361005504</c:v>
                </c:pt>
                <c:pt idx="405">
                  <c:v>1.0616604361005504</c:v>
                </c:pt>
                <c:pt idx="406">
                  <c:v>1.0616604361005504</c:v>
                </c:pt>
                <c:pt idx="407">
                  <c:v>1.0616604361005504</c:v>
                </c:pt>
                <c:pt idx="408">
                  <c:v>1.0616604361005504</c:v>
                </c:pt>
                <c:pt idx="409">
                  <c:v>1.0616604361005504</c:v>
                </c:pt>
                <c:pt idx="410">
                  <c:v>1.0616604361005504</c:v>
                </c:pt>
                <c:pt idx="411">
                  <c:v>1.0616604361005504</c:v>
                </c:pt>
                <c:pt idx="412">
                  <c:v>1.0616604361005504</c:v>
                </c:pt>
                <c:pt idx="413">
                  <c:v>1.0616604361005504</c:v>
                </c:pt>
                <c:pt idx="414">
                  <c:v>1.0616604361005504</c:v>
                </c:pt>
                <c:pt idx="415">
                  <c:v>1.0616604361005504</c:v>
                </c:pt>
                <c:pt idx="416">
                  <c:v>1.0616604361005504</c:v>
                </c:pt>
                <c:pt idx="417">
                  <c:v>1.0616604361005504</c:v>
                </c:pt>
                <c:pt idx="418">
                  <c:v>1.0616604361005504</c:v>
                </c:pt>
                <c:pt idx="419">
                  <c:v>1.0616604361005504</c:v>
                </c:pt>
                <c:pt idx="420">
                  <c:v>1.0616604361005504</c:v>
                </c:pt>
                <c:pt idx="421">
                  <c:v>1.0616604361005504</c:v>
                </c:pt>
                <c:pt idx="422">
                  <c:v>1.0616604361005504</c:v>
                </c:pt>
                <c:pt idx="423">
                  <c:v>1.0616604361005504</c:v>
                </c:pt>
                <c:pt idx="424">
                  <c:v>1.0616604361005504</c:v>
                </c:pt>
                <c:pt idx="425">
                  <c:v>1.0616604361005504</c:v>
                </c:pt>
                <c:pt idx="426">
                  <c:v>1.0616604361005504</c:v>
                </c:pt>
                <c:pt idx="427">
                  <c:v>1.0616604361005504</c:v>
                </c:pt>
                <c:pt idx="428">
                  <c:v>1.0616604361005504</c:v>
                </c:pt>
                <c:pt idx="429">
                  <c:v>1.0616604361005504</c:v>
                </c:pt>
                <c:pt idx="430">
                  <c:v>1.0616604361005504</c:v>
                </c:pt>
                <c:pt idx="431">
                  <c:v>1.0616604361005504</c:v>
                </c:pt>
                <c:pt idx="432">
                  <c:v>1.0616604361005504</c:v>
                </c:pt>
                <c:pt idx="433">
                  <c:v>1.0616604361005504</c:v>
                </c:pt>
                <c:pt idx="434">
                  <c:v>1.0616604361005504</c:v>
                </c:pt>
                <c:pt idx="435">
                  <c:v>1.0616604361005504</c:v>
                </c:pt>
                <c:pt idx="436">
                  <c:v>1.0616604361005504</c:v>
                </c:pt>
                <c:pt idx="437">
                  <c:v>1.0616604361005504</c:v>
                </c:pt>
                <c:pt idx="438">
                  <c:v>1.0616604361005504</c:v>
                </c:pt>
                <c:pt idx="439">
                  <c:v>1.0616604361005504</c:v>
                </c:pt>
                <c:pt idx="440">
                  <c:v>1.0616604361005504</c:v>
                </c:pt>
                <c:pt idx="441">
                  <c:v>1.0616604361005504</c:v>
                </c:pt>
                <c:pt idx="442">
                  <c:v>1.0616604361005504</c:v>
                </c:pt>
                <c:pt idx="443">
                  <c:v>1.0616604361005504</c:v>
                </c:pt>
                <c:pt idx="444">
                  <c:v>1.0616604361005504</c:v>
                </c:pt>
                <c:pt idx="445">
                  <c:v>1.0616604361005504</c:v>
                </c:pt>
                <c:pt idx="446">
                  <c:v>1.0616604361005504</c:v>
                </c:pt>
                <c:pt idx="447">
                  <c:v>1.0616604361005504</c:v>
                </c:pt>
                <c:pt idx="448">
                  <c:v>1.0616604361005504</c:v>
                </c:pt>
                <c:pt idx="449">
                  <c:v>1.0616604361005504</c:v>
                </c:pt>
                <c:pt idx="450">
                  <c:v>1.0616604361005504</c:v>
                </c:pt>
                <c:pt idx="451">
                  <c:v>1.0616604361005504</c:v>
                </c:pt>
                <c:pt idx="452">
                  <c:v>1.0616604361005504</c:v>
                </c:pt>
                <c:pt idx="453">
                  <c:v>1.0616604361005504</c:v>
                </c:pt>
                <c:pt idx="454">
                  <c:v>1.0616604361005504</c:v>
                </c:pt>
                <c:pt idx="455">
                  <c:v>1.0616604361005504</c:v>
                </c:pt>
                <c:pt idx="456">
                  <c:v>1.0616604361005504</c:v>
                </c:pt>
                <c:pt idx="457">
                  <c:v>1.0616604361005504</c:v>
                </c:pt>
                <c:pt idx="458">
                  <c:v>1.0616604361005504</c:v>
                </c:pt>
                <c:pt idx="459">
                  <c:v>1.0616604361005504</c:v>
                </c:pt>
                <c:pt idx="460">
                  <c:v>1.0616604361005504</c:v>
                </c:pt>
                <c:pt idx="461">
                  <c:v>1.0616604361005504</c:v>
                </c:pt>
                <c:pt idx="462">
                  <c:v>1.0616604361005504</c:v>
                </c:pt>
                <c:pt idx="463">
                  <c:v>1.0616604361005504</c:v>
                </c:pt>
                <c:pt idx="464">
                  <c:v>1.0616604361005504</c:v>
                </c:pt>
                <c:pt idx="465">
                  <c:v>1.0616604361005504</c:v>
                </c:pt>
                <c:pt idx="466">
                  <c:v>1.0616604361005504</c:v>
                </c:pt>
                <c:pt idx="467">
                  <c:v>1.0616604361005504</c:v>
                </c:pt>
                <c:pt idx="468">
                  <c:v>1.0616604361005504</c:v>
                </c:pt>
                <c:pt idx="469">
                  <c:v>1.0616604361005504</c:v>
                </c:pt>
                <c:pt idx="470">
                  <c:v>1.0616604361005504</c:v>
                </c:pt>
                <c:pt idx="471">
                  <c:v>1.0616604361005504</c:v>
                </c:pt>
                <c:pt idx="472">
                  <c:v>1.0616604361005504</c:v>
                </c:pt>
                <c:pt idx="473">
                  <c:v>1.0616604361005504</c:v>
                </c:pt>
                <c:pt idx="474">
                  <c:v>1.0616604361005504</c:v>
                </c:pt>
                <c:pt idx="475">
                  <c:v>1.0616604361005504</c:v>
                </c:pt>
                <c:pt idx="476">
                  <c:v>1.0616604361005504</c:v>
                </c:pt>
                <c:pt idx="477">
                  <c:v>1.0616604361005504</c:v>
                </c:pt>
                <c:pt idx="478">
                  <c:v>1.0616604361005504</c:v>
                </c:pt>
                <c:pt idx="479">
                  <c:v>1.0616604361005504</c:v>
                </c:pt>
                <c:pt idx="480">
                  <c:v>1.0616604361005504</c:v>
                </c:pt>
                <c:pt idx="481">
                  <c:v>1.0616604361005504</c:v>
                </c:pt>
                <c:pt idx="482">
                  <c:v>1.0616604361005504</c:v>
                </c:pt>
                <c:pt idx="483">
                  <c:v>1.0616604361005504</c:v>
                </c:pt>
                <c:pt idx="484">
                  <c:v>1.0616604361005504</c:v>
                </c:pt>
                <c:pt idx="485">
                  <c:v>1.0616604361005504</c:v>
                </c:pt>
                <c:pt idx="486">
                  <c:v>1.0616604361005504</c:v>
                </c:pt>
                <c:pt idx="487">
                  <c:v>1.0616604361005504</c:v>
                </c:pt>
                <c:pt idx="488">
                  <c:v>1.0616604361005504</c:v>
                </c:pt>
                <c:pt idx="489">
                  <c:v>1.0616604361005504</c:v>
                </c:pt>
                <c:pt idx="490">
                  <c:v>1.0616604361005504</c:v>
                </c:pt>
                <c:pt idx="491">
                  <c:v>1.0616604361005504</c:v>
                </c:pt>
                <c:pt idx="492">
                  <c:v>1.0616604361005504</c:v>
                </c:pt>
                <c:pt idx="493">
                  <c:v>1.0616604361005504</c:v>
                </c:pt>
                <c:pt idx="494">
                  <c:v>1.0616604361005504</c:v>
                </c:pt>
                <c:pt idx="495">
                  <c:v>1.0616604361005504</c:v>
                </c:pt>
                <c:pt idx="496">
                  <c:v>1.0616604361005504</c:v>
                </c:pt>
                <c:pt idx="497">
                  <c:v>1.0616604361005504</c:v>
                </c:pt>
                <c:pt idx="498">
                  <c:v>1.0616604361005504</c:v>
                </c:pt>
                <c:pt idx="499">
                  <c:v>1.0616604361005504</c:v>
                </c:pt>
                <c:pt idx="500">
                  <c:v>1.0616604361005504</c:v>
                </c:pt>
                <c:pt idx="501">
                  <c:v>1.0616604361005504</c:v>
                </c:pt>
                <c:pt idx="502">
                  <c:v>1.0616604361005504</c:v>
                </c:pt>
                <c:pt idx="503">
                  <c:v>1.0616604361005504</c:v>
                </c:pt>
                <c:pt idx="504">
                  <c:v>1.0616604361005504</c:v>
                </c:pt>
                <c:pt idx="505">
                  <c:v>1.0616604361005504</c:v>
                </c:pt>
                <c:pt idx="506">
                  <c:v>1.0616604361005504</c:v>
                </c:pt>
                <c:pt idx="507">
                  <c:v>1.0616604361005504</c:v>
                </c:pt>
                <c:pt idx="508">
                  <c:v>1.0616604361005504</c:v>
                </c:pt>
                <c:pt idx="509">
                  <c:v>1.0616604361005504</c:v>
                </c:pt>
                <c:pt idx="510">
                  <c:v>1.0616604361005504</c:v>
                </c:pt>
                <c:pt idx="511">
                  <c:v>1.0616604361005504</c:v>
                </c:pt>
                <c:pt idx="512">
                  <c:v>1.0616604361005504</c:v>
                </c:pt>
                <c:pt idx="513">
                  <c:v>1.0616604361005504</c:v>
                </c:pt>
                <c:pt idx="514">
                  <c:v>1.0616604361005504</c:v>
                </c:pt>
                <c:pt idx="515">
                  <c:v>1.0616604361005504</c:v>
                </c:pt>
                <c:pt idx="516">
                  <c:v>1.0616604361005504</c:v>
                </c:pt>
                <c:pt idx="517">
                  <c:v>1.0616604361005504</c:v>
                </c:pt>
                <c:pt idx="518">
                  <c:v>1.0616604361005504</c:v>
                </c:pt>
                <c:pt idx="519">
                  <c:v>1.0616604361005504</c:v>
                </c:pt>
                <c:pt idx="520">
                  <c:v>1.0616604361005504</c:v>
                </c:pt>
                <c:pt idx="521">
                  <c:v>1.0616604361005504</c:v>
                </c:pt>
                <c:pt idx="522">
                  <c:v>1.0616604361005504</c:v>
                </c:pt>
                <c:pt idx="523">
                  <c:v>1.0616604361005504</c:v>
                </c:pt>
                <c:pt idx="524">
                  <c:v>1.0616604361005504</c:v>
                </c:pt>
                <c:pt idx="525">
                  <c:v>1.0616604361005504</c:v>
                </c:pt>
                <c:pt idx="526">
                  <c:v>1.0616604361005504</c:v>
                </c:pt>
                <c:pt idx="527">
                  <c:v>1.0616604361005504</c:v>
                </c:pt>
                <c:pt idx="528">
                  <c:v>1.0616604361005504</c:v>
                </c:pt>
                <c:pt idx="529">
                  <c:v>1.0616604361005504</c:v>
                </c:pt>
                <c:pt idx="530">
                  <c:v>1.0616604361005504</c:v>
                </c:pt>
                <c:pt idx="531">
                  <c:v>1.0616604361005504</c:v>
                </c:pt>
                <c:pt idx="532">
                  <c:v>1.0616604361005504</c:v>
                </c:pt>
                <c:pt idx="533">
                  <c:v>1.0616604361005504</c:v>
                </c:pt>
                <c:pt idx="534">
                  <c:v>1.0616604361005504</c:v>
                </c:pt>
                <c:pt idx="535">
                  <c:v>1.0616604361005504</c:v>
                </c:pt>
                <c:pt idx="536">
                  <c:v>1.0616604361005504</c:v>
                </c:pt>
                <c:pt idx="537">
                  <c:v>1.0616604361005504</c:v>
                </c:pt>
                <c:pt idx="538">
                  <c:v>1.0616604361005504</c:v>
                </c:pt>
                <c:pt idx="539">
                  <c:v>1.0616604361005504</c:v>
                </c:pt>
                <c:pt idx="540">
                  <c:v>1.0616604361005504</c:v>
                </c:pt>
                <c:pt idx="541">
                  <c:v>1.0616604361005504</c:v>
                </c:pt>
                <c:pt idx="542">
                  <c:v>1.0616604361005504</c:v>
                </c:pt>
                <c:pt idx="543">
                  <c:v>1.0616604361005504</c:v>
                </c:pt>
                <c:pt idx="544">
                  <c:v>1.0616604361005504</c:v>
                </c:pt>
                <c:pt idx="545">
                  <c:v>1.0616604361005504</c:v>
                </c:pt>
                <c:pt idx="546">
                  <c:v>1.0616604361005504</c:v>
                </c:pt>
                <c:pt idx="547">
                  <c:v>1.0616604361005504</c:v>
                </c:pt>
                <c:pt idx="548">
                  <c:v>1.0616604361005504</c:v>
                </c:pt>
                <c:pt idx="549">
                  <c:v>1.0616604361005504</c:v>
                </c:pt>
                <c:pt idx="550">
                  <c:v>1.0616604361005504</c:v>
                </c:pt>
                <c:pt idx="551">
                  <c:v>1.0616604361005504</c:v>
                </c:pt>
                <c:pt idx="552">
                  <c:v>1.0616604361005504</c:v>
                </c:pt>
                <c:pt idx="553">
                  <c:v>1.0616604361005504</c:v>
                </c:pt>
                <c:pt idx="554">
                  <c:v>1.0616604361005504</c:v>
                </c:pt>
                <c:pt idx="555">
                  <c:v>1.0616604361005504</c:v>
                </c:pt>
                <c:pt idx="556">
                  <c:v>1.0616604361005504</c:v>
                </c:pt>
                <c:pt idx="557">
                  <c:v>1.0616604361005504</c:v>
                </c:pt>
                <c:pt idx="558">
                  <c:v>1.0616604361005504</c:v>
                </c:pt>
                <c:pt idx="559">
                  <c:v>1.0616604361005504</c:v>
                </c:pt>
                <c:pt idx="560">
                  <c:v>1.0616604361005504</c:v>
                </c:pt>
                <c:pt idx="561">
                  <c:v>1.0616604361005504</c:v>
                </c:pt>
                <c:pt idx="562">
                  <c:v>1.0616604361005504</c:v>
                </c:pt>
                <c:pt idx="563">
                  <c:v>1.0616604361005504</c:v>
                </c:pt>
                <c:pt idx="564">
                  <c:v>1.0616604361005504</c:v>
                </c:pt>
                <c:pt idx="565">
                  <c:v>1.0616604361005504</c:v>
                </c:pt>
                <c:pt idx="566">
                  <c:v>1.0616604361005504</c:v>
                </c:pt>
                <c:pt idx="567">
                  <c:v>1.0616604361005504</c:v>
                </c:pt>
                <c:pt idx="568">
                  <c:v>1.0616604361005504</c:v>
                </c:pt>
                <c:pt idx="569">
                  <c:v>1.0616604361005504</c:v>
                </c:pt>
                <c:pt idx="570">
                  <c:v>1.0616604361005504</c:v>
                </c:pt>
                <c:pt idx="571">
                  <c:v>1.0616604361005504</c:v>
                </c:pt>
                <c:pt idx="572">
                  <c:v>1.0616604361005504</c:v>
                </c:pt>
                <c:pt idx="573">
                  <c:v>1.0616604361005504</c:v>
                </c:pt>
                <c:pt idx="574">
                  <c:v>1.0616604361005504</c:v>
                </c:pt>
                <c:pt idx="575">
                  <c:v>1.0616604361005504</c:v>
                </c:pt>
                <c:pt idx="576">
                  <c:v>1.0616604361005504</c:v>
                </c:pt>
                <c:pt idx="577">
                  <c:v>1.0616604361005504</c:v>
                </c:pt>
                <c:pt idx="578">
                  <c:v>1.0616604361005504</c:v>
                </c:pt>
                <c:pt idx="579">
                  <c:v>1.0616604361005504</c:v>
                </c:pt>
                <c:pt idx="580">
                  <c:v>1.0616604361005504</c:v>
                </c:pt>
                <c:pt idx="581">
                  <c:v>1.0616604361005504</c:v>
                </c:pt>
                <c:pt idx="582">
                  <c:v>1.0616604361005504</c:v>
                </c:pt>
                <c:pt idx="583">
                  <c:v>1.0616604361005504</c:v>
                </c:pt>
                <c:pt idx="584">
                  <c:v>1.0616604361005504</c:v>
                </c:pt>
                <c:pt idx="585">
                  <c:v>1.0616604361005504</c:v>
                </c:pt>
                <c:pt idx="586">
                  <c:v>1.0616604361005504</c:v>
                </c:pt>
                <c:pt idx="587">
                  <c:v>1.0616604361005504</c:v>
                </c:pt>
                <c:pt idx="588">
                  <c:v>1.0616604361005504</c:v>
                </c:pt>
                <c:pt idx="589">
                  <c:v>1.0616604361005504</c:v>
                </c:pt>
                <c:pt idx="590">
                  <c:v>1.0616604361005504</c:v>
                </c:pt>
                <c:pt idx="591">
                  <c:v>1.0616604361005504</c:v>
                </c:pt>
                <c:pt idx="592">
                  <c:v>1.0616604361005504</c:v>
                </c:pt>
                <c:pt idx="593">
                  <c:v>1.0616604361005504</c:v>
                </c:pt>
                <c:pt idx="594">
                  <c:v>1.0616604361005504</c:v>
                </c:pt>
                <c:pt idx="595">
                  <c:v>1.0616604361005504</c:v>
                </c:pt>
                <c:pt idx="596">
                  <c:v>1.0616604361005504</c:v>
                </c:pt>
                <c:pt idx="597">
                  <c:v>1.0616604361005504</c:v>
                </c:pt>
                <c:pt idx="598">
                  <c:v>1.0616604361005504</c:v>
                </c:pt>
                <c:pt idx="599">
                  <c:v>1.0616604361005504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F8-4578-A497-B02A666F8E8F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Thickness_IMR!$F$13:$F$612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1F8-4578-A497-B02A666F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MR Chart - Thickness(um)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Thickness_IMR!$C$13:$C$612</c:f>
              <c:numCache>
                <c:formatCode>0.0000</c:formatCode>
                <c:ptCount val="600"/>
                <c:pt idx="1">
                  <c:v>1.6140000000000327</c:v>
                </c:pt>
                <c:pt idx="2">
                  <c:v>0.53899999999998727</c:v>
                </c:pt>
                <c:pt idx="3">
                  <c:v>2.3000000000000682</c:v>
                </c:pt>
                <c:pt idx="4">
                  <c:v>2.1140000000000327</c:v>
                </c:pt>
                <c:pt idx="5">
                  <c:v>1.31899999999996</c:v>
                </c:pt>
                <c:pt idx="6">
                  <c:v>9.6000000000003638E-2</c:v>
                </c:pt>
                <c:pt idx="7">
                  <c:v>1.4710000000000036</c:v>
                </c:pt>
                <c:pt idx="8">
                  <c:v>1.6649999999999636</c:v>
                </c:pt>
                <c:pt idx="9">
                  <c:v>1.0399999999999636</c:v>
                </c:pt>
                <c:pt idx="10">
                  <c:v>1.2949999999999591</c:v>
                </c:pt>
                <c:pt idx="11">
                  <c:v>5.5999999999926331E-2</c:v>
                </c:pt>
                <c:pt idx="12">
                  <c:v>2.87399999999991</c:v>
                </c:pt>
                <c:pt idx="13">
                  <c:v>0.81499999999994088</c:v>
                </c:pt>
                <c:pt idx="14">
                  <c:v>0.18600000000003547</c:v>
                </c:pt>
                <c:pt idx="15">
                  <c:v>1.2400000000000091</c:v>
                </c:pt>
                <c:pt idx="16">
                  <c:v>0.76900000000000546</c:v>
                </c:pt>
                <c:pt idx="17">
                  <c:v>0.25499999999999545</c:v>
                </c:pt>
                <c:pt idx="18">
                  <c:v>0.22699999999997544</c:v>
                </c:pt>
                <c:pt idx="19">
                  <c:v>2.5869999999999891</c:v>
                </c:pt>
                <c:pt idx="20">
                  <c:v>0.70600000000001728</c:v>
                </c:pt>
                <c:pt idx="21">
                  <c:v>0.23800000000005639</c:v>
                </c:pt>
                <c:pt idx="22">
                  <c:v>0.31399999999996453</c:v>
                </c:pt>
                <c:pt idx="23">
                  <c:v>2.4379999999999882</c:v>
                </c:pt>
                <c:pt idx="24">
                  <c:v>2.1040000000000418</c:v>
                </c:pt>
                <c:pt idx="25">
                  <c:v>1.6829999999999927</c:v>
                </c:pt>
                <c:pt idx="26">
                  <c:v>2.6170000000000755</c:v>
                </c:pt>
                <c:pt idx="27">
                  <c:v>3.2119999999999891</c:v>
                </c:pt>
                <c:pt idx="28">
                  <c:v>2.5380000000000109</c:v>
                </c:pt>
                <c:pt idx="29">
                  <c:v>0.15999999999996817</c:v>
                </c:pt>
                <c:pt idx="30">
                  <c:v>0.36799999999993815</c:v>
                </c:pt>
                <c:pt idx="31">
                  <c:v>0.19399999999995998</c:v>
                </c:pt>
                <c:pt idx="32">
                  <c:v>2.9729999999999563</c:v>
                </c:pt>
                <c:pt idx="33">
                  <c:v>0.35799999999994725</c:v>
                </c:pt>
                <c:pt idx="34">
                  <c:v>9.9999999997635314E-4</c:v>
                </c:pt>
                <c:pt idx="35">
                  <c:v>0.29899999999997817</c:v>
                </c:pt>
                <c:pt idx="36">
                  <c:v>0.22000000000002728</c:v>
                </c:pt>
                <c:pt idx="37">
                  <c:v>0.28600000000005821</c:v>
                </c:pt>
                <c:pt idx="38">
                  <c:v>1.6140000000000327</c:v>
                </c:pt>
                <c:pt idx="39">
                  <c:v>0.18899999999996453</c:v>
                </c:pt>
                <c:pt idx="40">
                  <c:v>0.19600000000002638</c:v>
                </c:pt>
                <c:pt idx="41">
                  <c:v>0.18399999999996908</c:v>
                </c:pt>
                <c:pt idx="42">
                  <c:v>1.3690000000000282</c:v>
                </c:pt>
                <c:pt idx="43">
                  <c:v>1.3180000000000973</c:v>
                </c:pt>
                <c:pt idx="44">
                  <c:v>0.89900000000000091</c:v>
                </c:pt>
                <c:pt idx="45">
                  <c:v>0.94599999999991269</c:v>
                </c:pt>
                <c:pt idx="46">
                  <c:v>2.1749999999999545</c:v>
                </c:pt>
                <c:pt idx="47">
                  <c:v>4.4990000000000236</c:v>
                </c:pt>
                <c:pt idx="48">
                  <c:v>4.9089999999999918</c:v>
                </c:pt>
                <c:pt idx="49">
                  <c:v>2.6789999999999736</c:v>
                </c:pt>
                <c:pt idx="50">
                  <c:v>2.8240000000000691</c:v>
                </c:pt>
                <c:pt idx="51">
                  <c:v>7.999999999992724E-2</c:v>
                </c:pt>
                <c:pt idx="52">
                  <c:v>0.49900000000002365</c:v>
                </c:pt>
                <c:pt idx="53">
                  <c:v>1.0299999999999727</c:v>
                </c:pt>
                <c:pt idx="54">
                  <c:v>0.84799999999995634</c:v>
                </c:pt>
                <c:pt idx="55">
                  <c:v>2.33400000000006</c:v>
                </c:pt>
                <c:pt idx="56">
                  <c:v>1.7309999999999945</c:v>
                </c:pt>
                <c:pt idx="57">
                  <c:v>1.9000000000005457E-2</c:v>
                </c:pt>
                <c:pt idx="58">
                  <c:v>3.2000000000039108E-2</c:v>
                </c:pt>
                <c:pt idx="59">
                  <c:v>2.6059999999999945</c:v>
                </c:pt>
                <c:pt idx="60">
                  <c:v>1.47199999999998</c:v>
                </c:pt>
                <c:pt idx="61">
                  <c:v>0.17399999999997817</c:v>
                </c:pt>
                <c:pt idx="62">
                  <c:v>0.20400000000006457</c:v>
                </c:pt>
                <c:pt idx="63">
                  <c:v>0.43500000000005912</c:v>
                </c:pt>
                <c:pt idx="64">
                  <c:v>0.33699999999998909</c:v>
                </c:pt>
                <c:pt idx="65">
                  <c:v>3.9999999999054126E-3</c:v>
                </c:pt>
                <c:pt idx="66">
                  <c:v>5.6000000000040018E-2</c:v>
                </c:pt>
                <c:pt idx="67">
                  <c:v>0.3790000000000191</c:v>
                </c:pt>
                <c:pt idx="68">
                  <c:v>0.18200000000001637</c:v>
                </c:pt>
                <c:pt idx="69">
                  <c:v>0.88600000000008095</c:v>
                </c:pt>
                <c:pt idx="70">
                  <c:v>2.9999999999290594E-3</c:v>
                </c:pt>
                <c:pt idx="71">
                  <c:v>8.0000000000381988E-3</c:v>
                </c:pt>
                <c:pt idx="72">
                  <c:v>0.16200000000003456</c:v>
                </c:pt>
                <c:pt idx="73">
                  <c:v>0.19799999999997908</c:v>
                </c:pt>
                <c:pt idx="74">
                  <c:v>0.30700000000001637</c:v>
                </c:pt>
                <c:pt idx="75">
                  <c:v>2.9260000000000446</c:v>
                </c:pt>
                <c:pt idx="76">
                  <c:v>2.8809999999999718</c:v>
                </c:pt>
                <c:pt idx="77">
                  <c:v>1.4320000000000164</c:v>
                </c:pt>
                <c:pt idx="78">
                  <c:v>0.5180000000000291</c:v>
                </c:pt>
                <c:pt idx="79">
                  <c:v>1.5159999999999627</c:v>
                </c:pt>
                <c:pt idx="80">
                  <c:v>2.5529999999999973</c:v>
                </c:pt>
                <c:pt idx="81">
                  <c:v>0.17499999999995453</c:v>
                </c:pt>
                <c:pt idx="82">
                  <c:v>3.3639999999999191</c:v>
                </c:pt>
                <c:pt idx="83">
                  <c:v>9.1000000000008185E-2</c:v>
                </c:pt>
                <c:pt idx="84">
                  <c:v>0.20699999999999363</c:v>
                </c:pt>
                <c:pt idx="85">
                  <c:v>0.29599999999993543</c:v>
                </c:pt>
                <c:pt idx="86">
                  <c:v>1.3000000000033651E-2</c:v>
                </c:pt>
                <c:pt idx="87">
                  <c:v>0.1129999999999427</c:v>
                </c:pt>
                <c:pt idx="88">
                  <c:v>3.0999999999949068E-2</c:v>
                </c:pt>
                <c:pt idx="89">
                  <c:v>2.0620000000000118</c:v>
                </c:pt>
                <c:pt idx="90">
                  <c:v>0.15399999999999636</c:v>
                </c:pt>
                <c:pt idx="91">
                  <c:v>2.1410000000000764</c:v>
                </c:pt>
                <c:pt idx="92">
                  <c:v>2.0160000000000764</c:v>
                </c:pt>
                <c:pt idx="93">
                  <c:v>2.3280000000000882</c:v>
                </c:pt>
                <c:pt idx="94">
                  <c:v>0.15899999999999181</c:v>
                </c:pt>
                <c:pt idx="95">
                  <c:v>0.70600000000001728</c:v>
                </c:pt>
                <c:pt idx="96">
                  <c:v>3.4690000000000509</c:v>
                </c:pt>
                <c:pt idx="97">
                  <c:v>3.999999999996362E-2</c:v>
                </c:pt>
                <c:pt idx="98">
                  <c:v>0.1450000000000955</c:v>
                </c:pt>
                <c:pt idx="99">
                  <c:v>3.085999999999899</c:v>
                </c:pt>
                <c:pt idx="100">
                  <c:v>1.5430000000000064</c:v>
                </c:pt>
                <c:pt idx="101">
                  <c:v>1.0339999999999918</c:v>
                </c:pt>
                <c:pt idx="102">
                  <c:v>0.10199999999997544</c:v>
                </c:pt>
                <c:pt idx="103">
                  <c:v>0.25499999999999545</c:v>
                </c:pt>
                <c:pt idx="104">
                  <c:v>0.1330000000000382</c:v>
                </c:pt>
                <c:pt idx="105">
                  <c:v>0.30500000000006366</c:v>
                </c:pt>
                <c:pt idx="106">
                  <c:v>0.12100000000009459</c:v>
                </c:pt>
                <c:pt idx="107">
                  <c:v>5.1999999999907232E-2</c:v>
                </c:pt>
                <c:pt idx="108">
                  <c:v>4.100000000005366E-2</c:v>
                </c:pt>
                <c:pt idx="109">
                  <c:v>1.6720000000000255</c:v>
                </c:pt>
                <c:pt idx="110">
                  <c:v>1.9790000000000418</c:v>
                </c:pt>
                <c:pt idx="111">
                  <c:v>1.11200000000008</c:v>
                </c:pt>
                <c:pt idx="112">
                  <c:v>0.8569999999999709</c:v>
                </c:pt>
                <c:pt idx="113">
                  <c:v>1.2060000000000173</c:v>
                </c:pt>
                <c:pt idx="114">
                  <c:v>1.6989999999999554</c:v>
                </c:pt>
                <c:pt idx="115">
                  <c:v>2.5609999999999218</c:v>
                </c:pt>
                <c:pt idx="116">
                  <c:v>3.7000000000034561E-2</c:v>
                </c:pt>
                <c:pt idx="117">
                  <c:v>0.53800000000001091</c:v>
                </c:pt>
                <c:pt idx="118">
                  <c:v>1.0380000000000109</c:v>
                </c:pt>
                <c:pt idx="119">
                  <c:v>0.18200000000001637</c:v>
                </c:pt>
                <c:pt idx="120">
                  <c:v>1.6019999999999754</c:v>
                </c:pt>
                <c:pt idx="121">
                  <c:v>9.9000000000046384E-2</c:v>
                </c:pt>
                <c:pt idx="122">
                  <c:v>1.72199999999998</c:v>
                </c:pt>
                <c:pt idx="123">
                  <c:v>0.2540000000000191</c:v>
                </c:pt>
                <c:pt idx="124">
                  <c:v>1.3640000000000327</c:v>
                </c:pt>
                <c:pt idx="125">
                  <c:v>1.7049999999999272</c:v>
                </c:pt>
                <c:pt idx="126">
                  <c:v>2.6169999999999618</c:v>
                </c:pt>
                <c:pt idx="127">
                  <c:v>1.41700000000003</c:v>
                </c:pt>
                <c:pt idx="128">
                  <c:v>0.92799999999999727</c:v>
                </c:pt>
                <c:pt idx="129">
                  <c:v>0.25</c:v>
                </c:pt>
                <c:pt idx="130">
                  <c:v>5.6000000000040018E-2</c:v>
                </c:pt>
                <c:pt idx="131">
                  <c:v>0.54399999999998272</c:v>
                </c:pt>
                <c:pt idx="132">
                  <c:v>0.68700000000001182</c:v>
                </c:pt>
                <c:pt idx="133">
                  <c:v>0.56600000000003092</c:v>
                </c:pt>
                <c:pt idx="134">
                  <c:v>1.4800000000000182</c:v>
                </c:pt>
                <c:pt idx="135">
                  <c:v>1.80499999999995</c:v>
                </c:pt>
                <c:pt idx="136">
                  <c:v>1.8779999999999291</c:v>
                </c:pt>
                <c:pt idx="137">
                  <c:v>0.16999999999995907</c:v>
                </c:pt>
                <c:pt idx="138">
                  <c:v>5.9999999999718057E-3</c:v>
                </c:pt>
                <c:pt idx="139">
                  <c:v>0.10500000000001819</c:v>
                </c:pt>
                <c:pt idx="140">
                  <c:v>1.2330000000000609</c:v>
                </c:pt>
                <c:pt idx="141">
                  <c:v>0.16300000000001091</c:v>
                </c:pt>
                <c:pt idx="142">
                  <c:v>1.4660000000000082</c:v>
                </c:pt>
                <c:pt idx="143">
                  <c:v>2.3460000000000036</c:v>
                </c:pt>
                <c:pt idx="144">
                  <c:v>0.1129999999999427</c:v>
                </c:pt>
                <c:pt idx="145">
                  <c:v>1.414000000000101</c:v>
                </c:pt>
                <c:pt idx="146">
                  <c:v>1.1370000000000573</c:v>
                </c:pt>
                <c:pt idx="147">
                  <c:v>0.47900000000004184</c:v>
                </c:pt>
                <c:pt idx="148">
                  <c:v>0.57299999999997908</c:v>
                </c:pt>
                <c:pt idx="149">
                  <c:v>0.24499999999989086</c:v>
                </c:pt>
                <c:pt idx="150">
                  <c:v>1.0949999999999136</c:v>
                </c:pt>
                <c:pt idx="151">
                  <c:v>2.52800000000002</c:v>
                </c:pt>
                <c:pt idx="152">
                  <c:v>9.3999999999937245E-2</c:v>
                </c:pt>
                <c:pt idx="153">
                  <c:v>2.2849999999999682</c:v>
                </c:pt>
                <c:pt idx="154">
                  <c:v>4.0599999999999454</c:v>
                </c:pt>
                <c:pt idx="155">
                  <c:v>3.7559999999999718</c:v>
                </c:pt>
                <c:pt idx="156">
                  <c:v>2.7039999999999509</c:v>
                </c:pt>
                <c:pt idx="157">
                  <c:v>1.7450000000000045</c:v>
                </c:pt>
                <c:pt idx="158">
                  <c:v>2.8999999999996362E-2</c:v>
                </c:pt>
                <c:pt idx="159">
                  <c:v>1.7560000000000855</c:v>
                </c:pt>
                <c:pt idx="160">
                  <c:v>0.33799999999996544</c:v>
                </c:pt>
                <c:pt idx="161">
                  <c:v>3.27800000000002</c:v>
                </c:pt>
                <c:pt idx="162">
                  <c:v>1.7839999999999918</c:v>
                </c:pt>
                <c:pt idx="163">
                  <c:v>0.83299999999996999</c:v>
                </c:pt>
                <c:pt idx="164">
                  <c:v>0.31400000000007822</c:v>
                </c:pt>
                <c:pt idx="165">
                  <c:v>0.40599999999994907</c:v>
                </c:pt>
                <c:pt idx="166">
                  <c:v>0.68799999999998818</c:v>
                </c:pt>
                <c:pt idx="167">
                  <c:v>0.27300000000002456</c:v>
                </c:pt>
                <c:pt idx="168">
                  <c:v>1.0589999999999691</c:v>
                </c:pt>
                <c:pt idx="169">
                  <c:v>1.5539999999999736</c:v>
                </c:pt>
                <c:pt idx="170">
                  <c:v>0.19200000000000728</c:v>
                </c:pt>
                <c:pt idx="171">
                  <c:v>0.41200000000003456</c:v>
                </c:pt>
                <c:pt idx="172">
                  <c:v>1.6490000000000009</c:v>
                </c:pt>
                <c:pt idx="173">
                  <c:v>2.875</c:v>
                </c:pt>
                <c:pt idx="174">
                  <c:v>0.16899999999998272</c:v>
                </c:pt>
                <c:pt idx="175">
                  <c:v>2.2300000000000182</c:v>
                </c:pt>
                <c:pt idx="176">
                  <c:v>1.3140000000000782</c:v>
                </c:pt>
                <c:pt idx="177">
                  <c:v>0.30999999999994543</c:v>
                </c:pt>
                <c:pt idx="178">
                  <c:v>1.1730000000000018</c:v>
                </c:pt>
                <c:pt idx="179">
                  <c:v>0.43499999999994543</c:v>
                </c:pt>
                <c:pt idx="180">
                  <c:v>1.1319999999999482</c:v>
                </c:pt>
                <c:pt idx="181">
                  <c:v>1.2350000000000136</c:v>
                </c:pt>
                <c:pt idx="182">
                  <c:v>0.75999999999999091</c:v>
                </c:pt>
                <c:pt idx="183">
                  <c:v>0.83699999999998909</c:v>
                </c:pt>
                <c:pt idx="184">
                  <c:v>0.63900000000001</c:v>
                </c:pt>
                <c:pt idx="185">
                  <c:v>0.36900000000002819</c:v>
                </c:pt>
                <c:pt idx="186">
                  <c:v>8.500000000003638E-2</c:v>
                </c:pt>
                <c:pt idx="187">
                  <c:v>6.0000000000059117E-2</c:v>
                </c:pt>
                <c:pt idx="188">
                  <c:v>0.29999999999995453</c:v>
                </c:pt>
                <c:pt idx="189">
                  <c:v>7.1000000000026375E-2</c:v>
                </c:pt>
                <c:pt idx="190">
                  <c:v>0.125</c:v>
                </c:pt>
                <c:pt idx="191">
                  <c:v>9.8999999999932697E-2</c:v>
                </c:pt>
                <c:pt idx="192">
                  <c:v>0.10099999999999909</c:v>
                </c:pt>
                <c:pt idx="193">
                  <c:v>0.36799999999993815</c:v>
                </c:pt>
                <c:pt idx="194">
                  <c:v>0.17899999999997362</c:v>
                </c:pt>
                <c:pt idx="195">
                  <c:v>0.34400000000005093</c:v>
                </c:pt>
                <c:pt idx="196">
                  <c:v>0.37599999999997635</c:v>
                </c:pt>
                <c:pt idx="197">
                  <c:v>0.53499999999996817</c:v>
                </c:pt>
                <c:pt idx="198">
                  <c:v>1.8490000000000464</c:v>
                </c:pt>
                <c:pt idx="199">
                  <c:v>1.4200000000000728</c:v>
                </c:pt>
                <c:pt idx="200">
                  <c:v>0.22400000000004638</c:v>
                </c:pt>
                <c:pt idx="201">
                  <c:v>0.54899999999997817</c:v>
                </c:pt>
                <c:pt idx="202">
                  <c:v>0.85099999999999909</c:v>
                </c:pt>
                <c:pt idx="203">
                  <c:v>0.31799999999998363</c:v>
                </c:pt>
                <c:pt idx="204">
                  <c:v>0.67300000000000182</c:v>
                </c:pt>
                <c:pt idx="205">
                  <c:v>0.26099999999996726</c:v>
                </c:pt>
                <c:pt idx="206">
                  <c:v>0.8930000000000291</c:v>
                </c:pt>
                <c:pt idx="207">
                  <c:v>0.64599999999995816</c:v>
                </c:pt>
                <c:pt idx="208">
                  <c:v>8.0999999999903594E-2</c:v>
                </c:pt>
                <c:pt idx="209">
                  <c:v>0.19999999999993179</c:v>
                </c:pt>
                <c:pt idx="210">
                  <c:v>0.27400000000000091</c:v>
                </c:pt>
                <c:pt idx="211">
                  <c:v>0.47000000000002728</c:v>
                </c:pt>
                <c:pt idx="212">
                  <c:v>0.64200000000005275</c:v>
                </c:pt>
                <c:pt idx="213">
                  <c:v>0.44100000000003092</c:v>
                </c:pt>
                <c:pt idx="214">
                  <c:v>0.33600000000001273</c:v>
                </c:pt>
                <c:pt idx="215">
                  <c:v>0.56399999999996453</c:v>
                </c:pt>
                <c:pt idx="216">
                  <c:v>4.0999999999939973E-2</c:v>
                </c:pt>
                <c:pt idx="217">
                  <c:v>0.5180000000000291</c:v>
                </c:pt>
                <c:pt idx="218">
                  <c:v>0.11400000000003274</c:v>
                </c:pt>
                <c:pt idx="219">
                  <c:v>0.30299999999999727</c:v>
                </c:pt>
                <c:pt idx="220">
                  <c:v>1.9059999999999491</c:v>
                </c:pt>
                <c:pt idx="221">
                  <c:v>1.2480000000000473</c:v>
                </c:pt>
                <c:pt idx="222">
                  <c:v>2.0070000000000618</c:v>
                </c:pt>
                <c:pt idx="223">
                  <c:v>0.44600000000002638</c:v>
                </c:pt>
                <c:pt idx="224">
                  <c:v>1.22300000000007</c:v>
                </c:pt>
                <c:pt idx="225">
                  <c:v>1.2380000000000564</c:v>
                </c:pt>
                <c:pt idx="226">
                  <c:v>0.21199999999998909</c:v>
                </c:pt>
                <c:pt idx="227">
                  <c:v>1.6789999999999736</c:v>
                </c:pt>
                <c:pt idx="228">
                  <c:v>1.2069999999999936</c:v>
                </c:pt>
                <c:pt idx="229">
                  <c:v>0.79399999999998272</c:v>
                </c:pt>
                <c:pt idx="230">
                  <c:v>1.4780000000000655</c:v>
                </c:pt>
                <c:pt idx="231">
                  <c:v>6.9999999999936335E-2</c:v>
                </c:pt>
                <c:pt idx="232">
                  <c:v>1.9479999999999791</c:v>
                </c:pt>
                <c:pt idx="233">
                  <c:v>0.45399999999995089</c:v>
                </c:pt>
                <c:pt idx="234">
                  <c:v>0.79800000000000182</c:v>
                </c:pt>
                <c:pt idx="235">
                  <c:v>0.40199999999992997</c:v>
                </c:pt>
                <c:pt idx="236">
                  <c:v>0.20699999999999363</c:v>
                </c:pt>
                <c:pt idx="237">
                  <c:v>1.3709999999999809</c:v>
                </c:pt>
                <c:pt idx="238">
                  <c:v>0.72899999999992815</c:v>
                </c:pt>
                <c:pt idx="239">
                  <c:v>1.2390000000000327</c:v>
                </c:pt>
                <c:pt idx="240">
                  <c:v>1.0860000000000127</c:v>
                </c:pt>
                <c:pt idx="241">
                  <c:v>2.3530000000000655</c:v>
                </c:pt>
                <c:pt idx="242">
                  <c:v>0.7800000000000864</c:v>
                </c:pt>
                <c:pt idx="243">
                  <c:v>0.74600000000009459</c:v>
                </c:pt>
                <c:pt idx="244">
                  <c:v>0.74800000000004729</c:v>
                </c:pt>
                <c:pt idx="245">
                  <c:v>0.51599999999996271</c:v>
                </c:pt>
                <c:pt idx="246">
                  <c:v>0.58400000000006003</c:v>
                </c:pt>
                <c:pt idx="247">
                  <c:v>0.12300000000004729</c:v>
                </c:pt>
                <c:pt idx="248">
                  <c:v>1.4049999999999727</c:v>
                </c:pt>
                <c:pt idx="249">
                  <c:v>0.13400000000001455</c:v>
                </c:pt>
                <c:pt idx="250">
                  <c:v>0.31000000000005912</c:v>
                </c:pt>
                <c:pt idx="251">
                  <c:v>0.16700000000003001</c:v>
                </c:pt>
                <c:pt idx="252">
                  <c:v>1.0940000000000509</c:v>
                </c:pt>
                <c:pt idx="253">
                  <c:v>4.7950000000000728</c:v>
                </c:pt>
                <c:pt idx="254">
                  <c:v>2.4569999999999936</c:v>
                </c:pt>
                <c:pt idx="255">
                  <c:v>2.8109999999999218</c:v>
                </c:pt>
                <c:pt idx="256">
                  <c:v>0.14900000000000091</c:v>
                </c:pt>
                <c:pt idx="257">
                  <c:v>0.23599999999999</c:v>
                </c:pt>
                <c:pt idx="258">
                  <c:v>2.3160000000000309</c:v>
                </c:pt>
                <c:pt idx="259">
                  <c:v>0.77499999999997726</c:v>
                </c:pt>
                <c:pt idx="260">
                  <c:v>0.78800000000001091</c:v>
                </c:pt>
                <c:pt idx="261">
                  <c:v>2.2129999999999654</c:v>
                </c:pt>
                <c:pt idx="262">
                  <c:v>4.4940000000000282</c:v>
                </c:pt>
                <c:pt idx="263">
                  <c:v>1.8530000000000655</c:v>
                </c:pt>
                <c:pt idx="264">
                  <c:v>1.9829999999999472</c:v>
                </c:pt>
                <c:pt idx="265">
                  <c:v>0.7379999999999427</c:v>
                </c:pt>
                <c:pt idx="266">
                  <c:v>0.32699999999999818</c:v>
                </c:pt>
                <c:pt idx="267">
                  <c:v>2.6920000000000073</c:v>
                </c:pt>
                <c:pt idx="268">
                  <c:v>0.1470000000000482</c:v>
                </c:pt>
                <c:pt idx="269">
                  <c:v>5.9160000000000537</c:v>
                </c:pt>
                <c:pt idx="270">
                  <c:v>5.9909999999999854</c:v>
                </c:pt>
                <c:pt idx="271">
                  <c:v>1.70799999999997</c:v>
                </c:pt>
                <c:pt idx="272">
                  <c:v>1.0579999999999927</c:v>
                </c:pt>
                <c:pt idx="273">
                  <c:v>1.0480000000000018</c:v>
                </c:pt>
                <c:pt idx="274">
                  <c:v>1.4180000000000064</c:v>
                </c:pt>
                <c:pt idx="275">
                  <c:v>3.3650000000000091</c:v>
                </c:pt>
                <c:pt idx="276">
                  <c:v>1.9149999999999636</c:v>
                </c:pt>
                <c:pt idx="277">
                  <c:v>0.16200000000003456</c:v>
                </c:pt>
                <c:pt idx="278">
                  <c:v>0.98599999999999</c:v>
                </c:pt>
                <c:pt idx="279">
                  <c:v>1.2050000000000409</c:v>
                </c:pt>
                <c:pt idx="280">
                  <c:v>0.11000000000001364</c:v>
                </c:pt>
                <c:pt idx="281">
                  <c:v>2.3000000000024556E-2</c:v>
                </c:pt>
                <c:pt idx="282">
                  <c:v>1.0779999999999745</c:v>
                </c:pt>
                <c:pt idx="283">
                  <c:v>0.48699999999996635</c:v>
                </c:pt>
                <c:pt idx="284">
                  <c:v>3.2259999999999991</c:v>
                </c:pt>
                <c:pt idx="285">
                  <c:v>0.26299999999991996</c:v>
                </c:pt>
                <c:pt idx="286">
                  <c:v>0.63099999999997181</c:v>
                </c:pt>
                <c:pt idx="287">
                  <c:v>2.9999999999972715E-2</c:v>
                </c:pt>
                <c:pt idx="288">
                  <c:v>0.13099999999997181</c:v>
                </c:pt>
                <c:pt idx="289">
                  <c:v>0.30900000000008276</c:v>
                </c:pt>
                <c:pt idx="290">
                  <c:v>0.88800000000003365</c:v>
                </c:pt>
                <c:pt idx="291">
                  <c:v>0.93999999999994088</c:v>
                </c:pt>
                <c:pt idx="292">
                  <c:v>0.58299999999996999</c:v>
                </c:pt>
                <c:pt idx="293">
                  <c:v>0.28100000000006276</c:v>
                </c:pt>
                <c:pt idx="294">
                  <c:v>0.27700000000004366</c:v>
                </c:pt>
                <c:pt idx="295">
                  <c:v>1.1689999999999827</c:v>
                </c:pt>
                <c:pt idx="296">
                  <c:v>1.2250000000000227</c:v>
                </c:pt>
                <c:pt idx="297">
                  <c:v>1.11099999999999</c:v>
                </c:pt>
                <c:pt idx="298">
                  <c:v>0.12400000000002365</c:v>
                </c:pt>
                <c:pt idx="299">
                  <c:v>2.2549999999999955</c:v>
                </c:pt>
                <c:pt idx="300">
                  <c:v>3.5080000000000382</c:v>
                </c:pt>
                <c:pt idx="301">
                  <c:v>1.1690000000000964</c:v>
                </c:pt>
                <c:pt idx="302">
                  <c:v>0.91700000000003001</c:v>
                </c:pt>
                <c:pt idx="303">
                  <c:v>0.50599999999997181</c:v>
                </c:pt>
                <c:pt idx="304">
                  <c:v>0.32200000000000273</c:v>
                </c:pt>
                <c:pt idx="305">
                  <c:v>0.73599999999999</c:v>
                </c:pt>
                <c:pt idx="306">
                  <c:v>1.4370000000000118</c:v>
                </c:pt>
                <c:pt idx="307">
                  <c:v>4.8000000000001819E-2</c:v>
                </c:pt>
                <c:pt idx="308">
                  <c:v>0.59900000000004638</c:v>
                </c:pt>
                <c:pt idx="309">
                  <c:v>0.12000000000000455</c:v>
                </c:pt>
                <c:pt idx="310">
                  <c:v>0.75099999999997635</c:v>
                </c:pt>
                <c:pt idx="311">
                  <c:v>1.2259999999999991</c:v>
                </c:pt>
                <c:pt idx="312">
                  <c:v>0.38799999999991996</c:v>
                </c:pt>
                <c:pt idx="313">
                  <c:v>0.87400000000002365</c:v>
                </c:pt>
                <c:pt idx="314">
                  <c:v>0.28499999999996817</c:v>
                </c:pt>
                <c:pt idx="315">
                  <c:v>1.1520000000000437</c:v>
                </c:pt>
                <c:pt idx="316">
                  <c:v>1.6049999999999045</c:v>
                </c:pt>
                <c:pt idx="317">
                  <c:v>1.3229999999999791</c:v>
                </c:pt>
                <c:pt idx="318">
                  <c:v>2.0699999999999363</c:v>
                </c:pt>
                <c:pt idx="319">
                  <c:v>3.0459999999999354</c:v>
                </c:pt>
                <c:pt idx="320">
                  <c:v>1.9329999999999927</c:v>
                </c:pt>
                <c:pt idx="321">
                  <c:v>2.0769999999999982</c:v>
                </c:pt>
                <c:pt idx="322">
                  <c:v>3.4130000000000109</c:v>
                </c:pt>
                <c:pt idx="323">
                  <c:v>2.3970000000000482</c:v>
                </c:pt>
                <c:pt idx="324">
                  <c:v>1.2730000000000246</c:v>
                </c:pt>
                <c:pt idx="325">
                  <c:v>0.22100000000000364</c:v>
                </c:pt>
                <c:pt idx="326">
                  <c:v>1.2229999999999563</c:v>
                </c:pt>
                <c:pt idx="327">
                  <c:v>1.1630000000000109</c:v>
                </c:pt>
                <c:pt idx="328">
                  <c:v>0.91300000000001091</c:v>
                </c:pt>
                <c:pt idx="329">
                  <c:v>2.0999999999958163E-2</c:v>
                </c:pt>
                <c:pt idx="330">
                  <c:v>2.3079999999999927</c:v>
                </c:pt>
                <c:pt idx="331">
                  <c:v>2.2580000000000382</c:v>
                </c:pt>
                <c:pt idx="332">
                  <c:v>0.69500000000005002</c:v>
                </c:pt>
                <c:pt idx="333">
                  <c:v>0.96199999999998909</c:v>
                </c:pt>
                <c:pt idx="334">
                  <c:v>0.89800000000002456</c:v>
                </c:pt>
                <c:pt idx="335">
                  <c:v>2.7250000000000227</c:v>
                </c:pt>
                <c:pt idx="336">
                  <c:v>0.27799999999990632</c:v>
                </c:pt>
                <c:pt idx="337">
                  <c:v>0.51499999999998636</c:v>
                </c:pt>
                <c:pt idx="338">
                  <c:v>3.8099999999999454</c:v>
                </c:pt>
                <c:pt idx="339">
                  <c:v>0.6330000000000382</c:v>
                </c:pt>
                <c:pt idx="340">
                  <c:v>1.1159999999999854</c:v>
                </c:pt>
                <c:pt idx="341">
                  <c:v>0.14900000000000091</c:v>
                </c:pt>
                <c:pt idx="342">
                  <c:v>0.34200000000009823</c:v>
                </c:pt>
                <c:pt idx="343">
                  <c:v>0.49399999999991451</c:v>
                </c:pt>
                <c:pt idx="344">
                  <c:v>0.48099999999999454</c:v>
                </c:pt>
                <c:pt idx="345">
                  <c:v>0.94799999999997908</c:v>
                </c:pt>
                <c:pt idx="346">
                  <c:v>0.92200000000002547</c:v>
                </c:pt>
                <c:pt idx="347">
                  <c:v>0.34700000000009368</c:v>
                </c:pt>
                <c:pt idx="348">
                  <c:v>0.50899999999990087</c:v>
                </c:pt>
                <c:pt idx="349">
                  <c:v>2.5670000000000073</c:v>
                </c:pt>
                <c:pt idx="350">
                  <c:v>2.8870000000000573</c:v>
                </c:pt>
                <c:pt idx="351">
                  <c:v>3.05499999999995</c:v>
                </c:pt>
                <c:pt idx="352">
                  <c:v>3.47199999999998</c:v>
                </c:pt>
                <c:pt idx="353">
                  <c:v>0.42600000000004457</c:v>
                </c:pt>
                <c:pt idx="354">
                  <c:v>3.0069999999999482</c:v>
                </c:pt>
                <c:pt idx="355">
                  <c:v>5.0000000000068212E-2</c:v>
                </c:pt>
                <c:pt idx="356">
                  <c:v>6.7000000000007276E-2</c:v>
                </c:pt>
                <c:pt idx="357">
                  <c:v>4.5439999999999827</c:v>
                </c:pt>
                <c:pt idx="358">
                  <c:v>2.0989999999999327</c:v>
                </c:pt>
                <c:pt idx="359">
                  <c:v>0.78399999999999181</c:v>
                </c:pt>
                <c:pt idx="360">
                  <c:v>0.90300000000002001</c:v>
                </c:pt>
                <c:pt idx="361">
                  <c:v>6.100000000003547E-2</c:v>
                </c:pt>
                <c:pt idx="362">
                  <c:v>3.8999999999987267E-2</c:v>
                </c:pt>
                <c:pt idx="363">
                  <c:v>3.0910000000000082</c:v>
                </c:pt>
                <c:pt idx="364">
                  <c:v>3.6760000000000446</c:v>
                </c:pt>
                <c:pt idx="365">
                  <c:v>2.9999999999972715E-2</c:v>
                </c:pt>
                <c:pt idx="366">
                  <c:v>1.1449999999999818</c:v>
                </c:pt>
                <c:pt idx="367">
                  <c:v>0.85599999999999454</c:v>
                </c:pt>
                <c:pt idx="368">
                  <c:v>0.42700000000002092</c:v>
                </c:pt>
                <c:pt idx="369">
                  <c:v>1.4339999999999691</c:v>
                </c:pt>
                <c:pt idx="370">
                  <c:v>2.1929999999999836</c:v>
                </c:pt>
                <c:pt idx="371">
                  <c:v>0.41800000000000637</c:v>
                </c:pt>
                <c:pt idx="372">
                  <c:v>1.1639999999999873</c:v>
                </c:pt>
                <c:pt idx="373">
                  <c:v>1.3300000000000409</c:v>
                </c:pt>
                <c:pt idx="374">
                  <c:v>1.9600000000000364</c:v>
                </c:pt>
                <c:pt idx="375">
                  <c:v>0.59800000000007003</c:v>
                </c:pt>
                <c:pt idx="376">
                  <c:v>0.7459999999999809</c:v>
                </c:pt>
                <c:pt idx="377">
                  <c:v>0.31300000000010186</c:v>
                </c:pt>
                <c:pt idx="378">
                  <c:v>0.28499999999996817</c:v>
                </c:pt>
                <c:pt idx="379">
                  <c:v>1.2350000000000136</c:v>
                </c:pt>
                <c:pt idx="380">
                  <c:v>3.8570000000000846</c:v>
                </c:pt>
                <c:pt idx="381">
                  <c:v>0.30000000000006821</c:v>
                </c:pt>
                <c:pt idx="382">
                  <c:v>2.9070000000000391</c:v>
                </c:pt>
                <c:pt idx="383">
                  <c:v>2.6200000000000045</c:v>
                </c:pt>
                <c:pt idx="384">
                  <c:v>6.500000000005457E-2</c:v>
                </c:pt>
                <c:pt idx="385">
                  <c:v>1.6699999999999591</c:v>
                </c:pt>
                <c:pt idx="386">
                  <c:v>1.6569999999999254</c:v>
                </c:pt>
                <c:pt idx="387">
                  <c:v>0.58699999999998909</c:v>
                </c:pt>
                <c:pt idx="388">
                  <c:v>3.999999999996362E-2</c:v>
                </c:pt>
                <c:pt idx="389">
                  <c:v>3.7970000000000255</c:v>
                </c:pt>
                <c:pt idx="390">
                  <c:v>1.9650000000000318</c:v>
                </c:pt>
                <c:pt idx="391">
                  <c:v>0.16999999999995907</c:v>
                </c:pt>
                <c:pt idx="392">
                  <c:v>2.5259999999999536</c:v>
                </c:pt>
                <c:pt idx="393">
                  <c:v>4.1019999999999754</c:v>
                </c:pt>
                <c:pt idx="394">
                  <c:v>0.73699999999996635</c:v>
                </c:pt>
                <c:pt idx="395">
                  <c:v>2.0579999999999927</c:v>
                </c:pt>
                <c:pt idx="396">
                  <c:v>0.61099999999999</c:v>
                </c:pt>
                <c:pt idx="397">
                  <c:v>1.1480000000000246</c:v>
                </c:pt>
                <c:pt idx="398">
                  <c:v>2.1709999999999354</c:v>
                </c:pt>
                <c:pt idx="399">
                  <c:v>1.6359999999999673</c:v>
                </c:pt>
                <c:pt idx="400">
                  <c:v>1.2759999999999536</c:v>
                </c:pt>
                <c:pt idx="401">
                  <c:v>9.9999999997635314E-4</c:v>
                </c:pt>
                <c:pt idx="402">
                  <c:v>1.3220000000000027</c:v>
                </c:pt>
                <c:pt idx="403">
                  <c:v>2.2609999999999673</c:v>
                </c:pt>
                <c:pt idx="404">
                  <c:v>1.0600000000000591</c:v>
                </c:pt>
                <c:pt idx="405">
                  <c:v>2.3730000000000473</c:v>
                </c:pt>
                <c:pt idx="406">
                  <c:v>2.0710000000000264</c:v>
                </c:pt>
                <c:pt idx="407">
                  <c:v>9.0000000000031832E-2</c:v>
                </c:pt>
                <c:pt idx="408">
                  <c:v>0.27599999999995362</c:v>
                </c:pt>
                <c:pt idx="409">
                  <c:v>1.0169999999999391</c:v>
                </c:pt>
                <c:pt idx="410">
                  <c:v>0.17499999999995453</c:v>
                </c:pt>
                <c:pt idx="411">
                  <c:v>0.30799999999999272</c:v>
                </c:pt>
                <c:pt idx="412">
                  <c:v>1.1539999999999964</c:v>
                </c:pt>
                <c:pt idx="413">
                  <c:v>0.94600000000002638</c:v>
                </c:pt>
                <c:pt idx="414">
                  <c:v>0.52800000000002001</c:v>
                </c:pt>
                <c:pt idx="415">
                  <c:v>1.0929999999999609</c:v>
                </c:pt>
                <c:pt idx="416">
                  <c:v>0.13600000000008095</c:v>
                </c:pt>
                <c:pt idx="417">
                  <c:v>0.20900000000006003</c:v>
                </c:pt>
                <c:pt idx="418">
                  <c:v>5.2000000000020918E-2</c:v>
                </c:pt>
                <c:pt idx="419">
                  <c:v>1.3949999999999818</c:v>
                </c:pt>
                <c:pt idx="420">
                  <c:v>1.9549999999999272</c:v>
                </c:pt>
                <c:pt idx="421">
                  <c:v>0.7199999999999136</c:v>
                </c:pt>
                <c:pt idx="422">
                  <c:v>0.32399999999995543</c:v>
                </c:pt>
                <c:pt idx="423">
                  <c:v>0.86099999999999</c:v>
                </c:pt>
                <c:pt idx="424">
                  <c:v>0.14400000000000546</c:v>
                </c:pt>
                <c:pt idx="425">
                  <c:v>1.5230000000000246</c:v>
                </c:pt>
                <c:pt idx="426">
                  <c:v>1.8719999999999573</c:v>
                </c:pt>
                <c:pt idx="427">
                  <c:v>2.0449999999999591</c:v>
                </c:pt>
                <c:pt idx="428">
                  <c:v>2.0800000000000409</c:v>
                </c:pt>
                <c:pt idx="429">
                  <c:v>2.2250000000000227</c:v>
                </c:pt>
                <c:pt idx="430">
                  <c:v>1.3640000000000327</c:v>
                </c:pt>
                <c:pt idx="431">
                  <c:v>1.1900000000000546</c:v>
                </c:pt>
                <c:pt idx="432">
                  <c:v>2.6030000000000655</c:v>
                </c:pt>
                <c:pt idx="433">
                  <c:v>2.5310000000000628</c:v>
                </c:pt>
                <c:pt idx="434">
                  <c:v>0.21600000000000819</c:v>
                </c:pt>
                <c:pt idx="435">
                  <c:v>1.7280000000000655</c:v>
                </c:pt>
                <c:pt idx="436">
                  <c:v>1.5889999999999418</c:v>
                </c:pt>
                <c:pt idx="437">
                  <c:v>0.30100000000004457</c:v>
                </c:pt>
                <c:pt idx="438">
                  <c:v>1.2309999999999945</c:v>
                </c:pt>
                <c:pt idx="439">
                  <c:v>1.0510000000000446</c:v>
                </c:pt>
                <c:pt idx="440">
                  <c:v>0.25300000000004275</c:v>
                </c:pt>
                <c:pt idx="441">
                  <c:v>1.0490000000000919</c:v>
                </c:pt>
                <c:pt idx="442">
                  <c:v>0.61900000000002819</c:v>
                </c:pt>
                <c:pt idx="443">
                  <c:v>0.30399999999997362</c:v>
                </c:pt>
                <c:pt idx="444">
                  <c:v>2.9999999999290594E-3</c:v>
                </c:pt>
                <c:pt idx="445">
                  <c:v>1.4780000000000655</c:v>
                </c:pt>
                <c:pt idx="446">
                  <c:v>0.30299999999999727</c:v>
                </c:pt>
                <c:pt idx="447">
                  <c:v>2.7580000000000382</c:v>
                </c:pt>
                <c:pt idx="448">
                  <c:v>0.74400000000002819</c:v>
                </c:pt>
                <c:pt idx="449">
                  <c:v>1.8000000000029104E-2</c:v>
                </c:pt>
                <c:pt idx="450">
                  <c:v>0.5180000000000291</c:v>
                </c:pt>
                <c:pt idx="451">
                  <c:v>0.8790000000000191</c:v>
                </c:pt>
                <c:pt idx="452">
                  <c:v>1.0099999999999909</c:v>
                </c:pt>
                <c:pt idx="453">
                  <c:v>5.2000000000020918E-2</c:v>
                </c:pt>
                <c:pt idx="454">
                  <c:v>0.32799999999997453</c:v>
                </c:pt>
                <c:pt idx="455">
                  <c:v>3.4999999999968168E-2</c:v>
                </c:pt>
                <c:pt idx="456">
                  <c:v>0.44399999999995998</c:v>
                </c:pt>
                <c:pt idx="457">
                  <c:v>1.0599999999999454</c:v>
                </c:pt>
                <c:pt idx="458">
                  <c:v>0.3449999999999136</c:v>
                </c:pt>
                <c:pt idx="459">
                  <c:v>5.7999999999992724E-2</c:v>
                </c:pt>
                <c:pt idx="460">
                  <c:v>1.5190000000000055</c:v>
                </c:pt>
                <c:pt idx="461">
                  <c:v>1.7010000000000218</c:v>
                </c:pt>
                <c:pt idx="462">
                  <c:v>2.2000000000048203E-2</c:v>
                </c:pt>
                <c:pt idx="463">
                  <c:v>1.4410000000000309</c:v>
                </c:pt>
                <c:pt idx="464">
                  <c:v>2.8509999999999991</c:v>
                </c:pt>
                <c:pt idx="465">
                  <c:v>0.59799999999995634</c:v>
                </c:pt>
                <c:pt idx="466">
                  <c:v>0.62800000000004275</c:v>
                </c:pt>
                <c:pt idx="467">
                  <c:v>0.31600000000003092</c:v>
                </c:pt>
                <c:pt idx="468">
                  <c:v>0.31000000000005912</c:v>
                </c:pt>
                <c:pt idx="469">
                  <c:v>0.58299999999996999</c:v>
                </c:pt>
                <c:pt idx="470">
                  <c:v>0.40099999999995362</c:v>
                </c:pt>
                <c:pt idx="471">
                  <c:v>0.10199999999997544</c:v>
                </c:pt>
                <c:pt idx="472">
                  <c:v>0.28800000000001091</c:v>
                </c:pt>
                <c:pt idx="473">
                  <c:v>0.125</c:v>
                </c:pt>
                <c:pt idx="474">
                  <c:v>0.81299999999998818</c:v>
                </c:pt>
                <c:pt idx="475">
                  <c:v>0.64400000000000546</c:v>
                </c:pt>
                <c:pt idx="476">
                  <c:v>0.24000000000000909</c:v>
                </c:pt>
                <c:pt idx="477">
                  <c:v>2.1779999999999973</c:v>
                </c:pt>
                <c:pt idx="478">
                  <c:v>2.7859999999999445</c:v>
                </c:pt>
                <c:pt idx="479">
                  <c:v>0.22599999999999909</c:v>
                </c:pt>
                <c:pt idx="480">
                  <c:v>0.36199999999996635</c:v>
                </c:pt>
                <c:pt idx="481">
                  <c:v>1.2419999999999618</c:v>
                </c:pt>
                <c:pt idx="482">
                  <c:v>1.0879999999999654</c:v>
                </c:pt>
                <c:pt idx="483">
                  <c:v>1.3279999999999745</c:v>
                </c:pt>
                <c:pt idx="484">
                  <c:v>1.70799999999997</c:v>
                </c:pt>
                <c:pt idx="485">
                  <c:v>2.0900000000000318</c:v>
                </c:pt>
                <c:pt idx="486">
                  <c:v>1.7870000000000346</c:v>
                </c:pt>
                <c:pt idx="487">
                  <c:v>1.7459999999999809</c:v>
                </c:pt>
                <c:pt idx="488">
                  <c:v>0.44700000000000273</c:v>
                </c:pt>
                <c:pt idx="489">
                  <c:v>1.9130000000000109</c:v>
                </c:pt>
                <c:pt idx="490">
                  <c:v>2.5090000000000146</c:v>
                </c:pt>
                <c:pt idx="491">
                  <c:v>0.6430000000000291</c:v>
                </c:pt>
                <c:pt idx="492">
                  <c:v>1.7250000000000227</c:v>
                </c:pt>
                <c:pt idx="493">
                  <c:v>1.4479999999999791</c:v>
                </c:pt>
                <c:pt idx="494">
                  <c:v>1.3450000000000273</c:v>
                </c:pt>
                <c:pt idx="495">
                  <c:v>2.1680000000000064</c:v>
                </c:pt>
                <c:pt idx="496">
                  <c:v>1.6750000000000682</c:v>
                </c:pt>
                <c:pt idx="497">
                  <c:v>2.8830000000000382</c:v>
                </c:pt>
                <c:pt idx="498">
                  <c:v>0.17600000000004457</c:v>
                </c:pt>
                <c:pt idx="499">
                  <c:v>0.375</c:v>
                </c:pt>
                <c:pt idx="500">
                  <c:v>1.3659999999999854</c:v>
                </c:pt>
                <c:pt idx="501">
                  <c:v>2.2169999999999845</c:v>
                </c:pt>
                <c:pt idx="502">
                  <c:v>0.72500000000002274</c:v>
                </c:pt>
                <c:pt idx="503">
                  <c:v>1.5929999999999609</c:v>
                </c:pt>
                <c:pt idx="504">
                  <c:v>1.9639999999999418</c:v>
                </c:pt>
                <c:pt idx="505">
                  <c:v>0.11000000000001364</c:v>
                </c:pt>
                <c:pt idx="506">
                  <c:v>0.2299999999999045</c:v>
                </c:pt>
                <c:pt idx="507">
                  <c:v>0.6089999999999236</c:v>
                </c:pt>
                <c:pt idx="508">
                  <c:v>0.30200000000002092</c:v>
                </c:pt>
                <c:pt idx="509">
                  <c:v>0.44399999999995998</c:v>
                </c:pt>
                <c:pt idx="510">
                  <c:v>0.45000000000004547</c:v>
                </c:pt>
                <c:pt idx="511">
                  <c:v>0.17700000000002092</c:v>
                </c:pt>
                <c:pt idx="512">
                  <c:v>1.0999999999967258E-2</c:v>
                </c:pt>
                <c:pt idx="513">
                  <c:v>0.35399999999992815</c:v>
                </c:pt>
                <c:pt idx="514">
                  <c:v>0.85199999999997544</c:v>
                </c:pt>
                <c:pt idx="515">
                  <c:v>1.1739999999999782</c:v>
                </c:pt>
                <c:pt idx="516">
                  <c:v>0.88600000000008095</c:v>
                </c:pt>
                <c:pt idx="517">
                  <c:v>4.6000000000049113E-2</c:v>
                </c:pt>
                <c:pt idx="518">
                  <c:v>2.0589999999999691</c:v>
                </c:pt>
                <c:pt idx="519">
                  <c:v>3.3000000000015461E-2</c:v>
                </c:pt>
                <c:pt idx="520">
                  <c:v>2.0909999999998945</c:v>
                </c:pt>
                <c:pt idx="521">
                  <c:v>0.18299999999999272</c:v>
                </c:pt>
                <c:pt idx="522">
                  <c:v>4.399999999998272E-2</c:v>
                </c:pt>
                <c:pt idx="523">
                  <c:v>1.0289999999999964</c:v>
                </c:pt>
                <c:pt idx="524">
                  <c:v>0.58000000000004093</c:v>
                </c:pt>
                <c:pt idx="525">
                  <c:v>0.1069999999999709</c:v>
                </c:pt>
                <c:pt idx="526">
                  <c:v>1.0629999999999882</c:v>
                </c:pt>
                <c:pt idx="527">
                  <c:v>0.84699999999997999</c:v>
                </c:pt>
                <c:pt idx="528">
                  <c:v>1.0009999999999764</c:v>
                </c:pt>
                <c:pt idx="529">
                  <c:v>0.53300000000001546</c:v>
                </c:pt>
                <c:pt idx="530">
                  <c:v>0.51900000000000546</c:v>
                </c:pt>
                <c:pt idx="531">
                  <c:v>0.97599999999999909</c:v>
                </c:pt>
                <c:pt idx="532">
                  <c:v>1.0999999999967258E-2</c:v>
                </c:pt>
                <c:pt idx="533">
                  <c:v>9.9999999997635314E-4</c:v>
                </c:pt>
                <c:pt idx="534">
                  <c:v>0.19200000000000728</c:v>
                </c:pt>
                <c:pt idx="535">
                  <c:v>0.18600000000003547</c:v>
                </c:pt>
                <c:pt idx="536">
                  <c:v>1.875</c:v>
                </c:pt>
                <c:pt idx="537">
                  <c:v>2.0300000000000864</c:v>
                </c:pt>
                <c:pt idx="538">
                  <c:v>0.9050000000000864</c:v>
                </c:pt>
                <c:pt idx="539">
                  <c:v>0.82699999999999818</c:v>
                </c:pt>
                <c:pt idx="540">
                  <c:v>1.5120000000000573</c:v>
                </c:pt>
                <c:pt idx="541">
                  <c:v>1.61099999999999</c:v>
                </c:pt>
                <c:pt idx="542">
                  <c:v>1.4180000000000064</c:v>
                </c:pt>
                <c:pt idx="543">
                  <c:v>1.54200000000003</c:v>
                </c:pt>
                <c:pt idx="544">
                  <c:v>2.19399999999996</c:v>
                </c:pt>
                <c:pt idx="545">
                  <c:v>1.6490000000000009</c:v>
                </c:pt>
                <c:pt idx="546">
                  <c:v>1.0230000000000246</c:v>
                </c:pt>
                <c:pt idx="547">
                  <c:v>0.79999999999995453</c:v>
                </c:pt>
                <c:pt idx="548">
                  <c:v>3.4999999999968168E-2</c:v>
                </c:pt>
                <c:pt idx="549">
                  <c:v>0.37599999999997635</c:v>
                </c:pt>
                <c:pt idx="550">
                  <c:v>0.21699999999998454</c:v>
                </c:pt>
                <c:pt idx="551">
                  <c:v>1.0059999999999718</c:v>
                </c:pt>
                <c:pt idx="552">
                  <c:v>0.8589999999999236</c:v>
                </c:pt>
                <c:pt idx="553">
                  <c:v>0.20499999999992724</c:v>
                </c:pt>
                <c:pt idx="554">
                  <c:v>1.1619999999999209</c:v>
                </c:pt>
                <c:pt idx="555">
                  <c:v>0.29800000000000182</c:v>
                </c:pt>
                <c:pt idx="556">
                  <c:v>0.17900000000008731</c:v>
                </c:pt>
                <c:pt idx="557">
                  <c:v>0.76400000000001</c:v>
                </c:pt>
                <c:pt idx="558">
                  <c:v>0.54300000000000637</c:v>
                </c:pt>
                <c:pt idx="559">
                  <c:v>0.15899999999999181</c:v>
                </c:pt>
                <c:pt idx="560">
                  <c:v>0.26499999999998636</c:v>
                </c:pt>
                <c:pt idx="561">
                  <c:v>2.1639999999999873</c:v>
                </c:pt>
                <c:pt idx="562">
                  <c:v>1.5519999999999072</c:v>
                </c:pt>
                <c:pt idx="563">
                  <c:v>0.29800000000000182</c:v>
                </c:pt>
                <c:pt idx="564">
                  <c:v>0.21699999999998454</c:v>
                </c:pt>
                <c:pt idx="565">
                  <c:v>0.20000000000004547</c:v>
                </c:pt>
                <c:pt idx="566">
                  <c:v>1.6309999999999718</c:v>
                </c:pt>
                <c:pt idx="567">
                  <c:v>1.3500000000000227</c:v>
                </c:pt>
                <c:pt idx="568">
                  <c:v>0.53399999999999181</c:v>
                </c:pt>
                <c:pt idx="569">
                  <c:v>0.38099999999997181</c:v>
                </c:pt>
                <c:pt idx="570">
                  <c:v>1.4429999999999836</c:v>
                </c:pt>
                <c:pt idx="571">
                  <c:v>0.82799999999997453</c:v>
                </c:pt>
                <c:pt idx="572">
                  <c:v>0.40300000000002001</c:v>
                </c:pt>
                <c:pt idx="573">
                  <c:v>0.2760000000000673</c:v>
                </c:pt>
                <c:pt idx="574">
                  <c:v>0.71699999999998454</c:v>
                </c:pt>
                <c:pt idx="575">
                  <c:v>1.3370000000001028</c:v>
                </c:pt>
                <c:pt idx="576">
                  <c:v>0.34700000000009368</c:v>
                </c:pt>
                <c:pt idx="577">
                  <c:v>0.15200000000004366</c:v>
                </c:pt>
                <c:pt idx="578">
                  <c:v>1.8229999999999791</c:v>
                </c:pt>
                <c:pt idx="579">
                  <c:v>3.1539999999999964</c:v>
                </c:pt>
                <c:pt idx="580">
                  <c:v>0.51300000000003365</c:v>
                </c:pt>
                <c:pt idx="581">
                  <c:v>0.70000000000004547</c:v>
                </c:pt>
                <c:pt idx="582">
                  <c:v>2.9200000000000728</c:v>
                </c:pt>
                <c:pt idx="583">
                  <c:v>1.6750000000000682</c:v>
                </c:pt>
                <c:pt idx="584">
                  <c:v>0.14900000000000091</c:v>
                </c:pt>
                <c:pt idx="585">
                  <c:v>0.66500000000007731</c:v>
                </c:pt>
                <c:pt idx="586">
                  <c:v>2.8300000000000409</c:v>
                </c:pt>
                <c:pt idx="587">
                  <c:v>0.55100000000004457</c:v>
                </c:pt>
                <c:pt idx="588">
                  <c:v>2.1409999999999627</c:v>
                </c:pt>
                <c:pt idx="589">
                  <c:v>0.20799999999996999</c:v>
                </c:pt>
                <c:pt idx="590">
                  <c:v>0.22200000000009368</c:v>
                </c:pt>
                <c:pt idx="591">
                  <c:v>0.21000000000003638</c:v>
                </c:pt>
                <c:pt idx="592">
                  <c:v>0.30099999999993088</c:v>
                </c:pt>
                <c:pt idx="593">
                  <c:v>0.55499999999994998</c:v>
                </c:pt>
                <c:pt idx="594">
                  <c:v>1.2839999999999918</c:v>
                </c:pt>
                <c:pt idx="595">
                  <c:v>1.7409999999999854</c:v>
                </c:pt>
                <c:pt idx="596">
                  <c:v>0.74500000000000455</c:v>
                </c:pt>
                <c:pt idx="597">
                  <c:v>0.96100000000001273</c:v>
                </c:pt>
                <c:pt idx="598">
                  <c:v>1.7039999999999509</c:v>
                </c:pt>
                <c:pt idx="599">
                  <c:v>0.23599999999999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E0-4A14-860A-3E617E2D7880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Thickness_IMR!$G$13:$G$612</c:f>
              <c:numCache>
                <c:formatCode>0.0000</c:formatCode>
                <c:ptCount val="600"/>
                <c:pt idx="0">
                  <c:v>1.3215777815545913</c:v>
                </c:pt>
                <c:pt idx="1">
                  <c:v>1.0616604361005504</c:v>
                </c:pt>
                <c:pt idx="2" formatCode="0">
                  <c:v>0</c:v>
                </c:pt>
                <c:pt idx="3">
                  <c:v>3.5254911485809703</c:v>
                </c:pt>
                <c:pt idx="4">
                  <c:v>1.0791218697829723</c:v>
                </c:pt>
                <c:pt idx="5">
                  <c:v>0</c:v>
                </c:pt>
                <c:pt idx="6">
                  <c:v>3.5254911485809703</c:v>
                </c:pt>
                <c:pt idx="7">
                  <c:v>3.5254911485809703</c:v>
                </c:pt>
                <c:pt idx="8">
                  <c:v>3.5254911485809703</c:v>
                </c:pt>
                <c:pt idx="9">
                  <c:v>3.5254911485809703</c:v>
                </c:pt>
                <c:pt idx="10">
                  <c:v>3.5254911485809703</c:v>
                </c:pt>
                <c:pt idx="11">
                  <c:v>3.5254911485809703</c:v>
                </c:pt>
                <c:pt idx="12">
                  <c:v>3.5254911485809703</c:v>
                </c:pt>
                <c:pt idx="13">
                  <c:v>3.5254911485809703</c:v>
                </c:pt>
                <c:pt idx="14">
                  <c:v>3.5254911485809703</c:v>
                </c:pt>
                <c:pt idx="15">
                  <c:v>3.5254911485809703</c:v>
                </c:pt>
                <c:pt idx="16">
                  <c:v>3.5254911485809703</c:v>
                </c:pt>
                <c:pt idx="17">
                  <c:v>3.5254911485809703</c:v>
                </c:pt>
                <c:pt idx="18">
                  <c:v>3.5254911485809703</c:v>
                </c:pt>
                <c:pt idx="19">
                  <c:v>3.5254911485809703</c:v>
                </c:pt>
                <c:pt idx="20">
                  <c:v>3.5254911485809703</c:v>
                </c:pt>
                <c:pt idx="21">
                  <c:v>3.5254911485809703</c:v>
                </c:pt>
                <c:pt idx="22">
                  <c:v>3.5254911485809703</c:v>
                </c:pt>
                <c:pt idx="23">
                  <c:v>3.5254911485809703</c:v>
                </c:pt>
                <c:pt idx="24">
                  <c:v>3.5254911485809703</c:v>
                </c:pt>
                <c:pt idx="25">
                  <c:v>3.5254911485809703</c:v>
                </c:pt>
                <c:pt idx="26">
                  <c:v>3.5254911485809703</c:v>
                </c:pt>
                <c:pt idx="27">
                  <c:v>3.5254911485809703</c:v>
                </c:pt>
                <c:pt idx="28">
                  <c:v>3.5254911485809703</c:v>
                </c:pt>
                <c:pt idx="29">
                  <c:v>3.5254911485809703</c:v>
                </c:pt>
                <c:pt idx="30">
                  <c:v>3.5254911485809703</c:v>
                </c:pt>
                <c:pt idx="31">
                  <c:v>3.5254911485809703</c:v>
                </c:pt>
                <c:pt idx="32">
                  <c:v>3.5254911485809703</c:v>
                </c:pt>
                <c:pt idx="33">
                  <c:v>3.5254911485809703</c:v>
                </c:pt>
                <c:pt idx="34">
                  <c:v>3.5254911485809703</c:v>
                </c:pt>
                <c:pt idx="35">
                  <c:v>3.5254911485809703</c:v>
                </c:pt>
                <c:pt idx="36">
                  <c:v>3.5254911485809703</c:v>
                </c:pt>
                <c:pt idx="37">
                  <c:v>3.5254911485809703</c:v>
                </c:pt>
                <c:pt idx="38">
                  <c:v>3.5254911485809703</c:v>
                </c:pt>
                <c:pt idx="39">
                  <c:v>3.5254911485809703</c:v>
                </c:pt>
                <c:pt idx="40">
                  <c:v>3.5254911485809703</c:v>
                </c:pt>
                <c:pt idx="41">
                  <c:v>3.5254911485809703</c:v>
                </c:pt>
                <c:pt idx="42">
                  <c:v>3.5254911485809703</c:v>
                </c:pt>
                <c:pt idx="43">
                  <c:v>3.5254911485809703</c:v>
                </c:pt>
                <c:pt idx="44">
                  <c:v>3.5254911485809703</c:v>
                </c:pt>
                <c:pt idx="45">
                  <c:v>3.5254911485809703</c:v>
                </c:pt>
                <c:pt idx="46">
                  <c:v>3.5254911485809703</c:v>
                </c:pt>
                <c:pt idx="47">
                  <c:v>3.5254911485809703</c:v>
                </c:pt>
                <c:pt idx="48">
                  <c:v>3.5254911485809703</c:v>
                </c:pt>
                <c:pt idx="49">
                  <c:v>3.5254911485809703</c:v>
                </c:pt>
                <c:pt idx="50">
                  <c:v>3.5254911485809703</c:v>
                </c:pt>
                <c:pt idx="51">
                  <c:v>3.5254911485809703</c:v>
                </c:pt>
                <c:pt idx="52">
                  <c:v>3.5254911485809703</c:v>
                </c:pt>
                <c:pt idx="53">
                  <c:v>3.5254911485809703</c:v>
                </c:pt>
                <c:pt idx="54">
                  <c:v>3.5254911485809703</c:v>
                </c:pt>
                <c:pt idx="55">
                  <c:v>3.5254911485809703</c:v>
                </c:pt>
                <c:pt idx="56">
                  <c:v>3.5254911485809703</c:v>
                </c:pt>
                <c:pt idx="57">
                  <c:v>3.5254911485809703</c:v>
                </c:pt>
                <c:pt idx="58">
                  <c:v>3.5254911485809703</c:v>
                </c:pt>
                <c:pt idx="59">
                  <c:v>3.5254911485809703</c:v>
                </c:pt>
                <c:pt idx="60">
                  <c:v>3.5254911485809703</c:v>
                </c:pt>
                <c:pt idx="61">
                  <c:v>3.5254911485809703</c:v>
                </c:pt>
                <c:pt idx="62">
                  <c:v>3.5254911485809703</c:v>
                </c:pt>
                <c:pt idx="63">
                  <c:v>3.5254911485809703</c:v>
                </c:pt>
                <c:pt idx="64">
                  <c:v>3.5254911485809703</c:v>
                </c:pt>
                <c:pt idx="65">
                  <c:v>3.5254911485809703</c:v>
                </c:pt>
                <c:pt idx="66">
                  <c:v>3.5254911485809703</c:v>
                </c:pt>
                <c:pt idx="67">
                  <c:v>3.5254911485809703</c:v>
                </c:pt>
                <c:pt idx="68">
                  <c:v>3.5254911485809703</c:v>
                </c:pt>
                <c:pt idx="69">
                  <c:v>3.5254911485809703</c:v>
                </c:pt>
                <c:pt idx="70">
                  <c:v>3.5254911485809703</c:v>
                </c:pt>
                <c:pt idx="71">
                  <c:v>3.5254911485809703</c:v>
                </c:pt>
                <c:pt idx="72">
                  <c:v>3.5254911485809703</c:v>
                </c:pt>
                <c:pt idx="73">
                  <c:v>3.5254911485809703</c:v>
                </c:pt>
                <c:pt idx="74">
                  <c:v>3.5254911485809703</c:v>
                </c:pt>
                <c:pt idx="75">
                  <c:v>3.5254911485809703</c:v>
                </c:pt>
                <c:pt idx="76">
                  <c:v>3.5254911485809703</c:v>
                </c:pt>
                <c:pt idx="77">
                  <c:v>3.5254911485809703</c:v>
                </c:pt>
                <c:pt idx="78">
                  <c:v>3.5254911485809703</c:v>
                </c:pt>
                <c:pt idx="79">
                  <c:v>3.5254911485809703</c:v>
                </c:pt>
                <c:pt idx="80">
                  <c:v>3.5254911485809703</c:v>
                </c:pt>
                <c:pt idx="81">
                  <c:v>3.5254911485809703</c:v>
                </c:pt>
                <c:pt idx="82">
                  <c:v>3.5254911485809703</c:v>
                </c:pt>
                <c:pt idx="83">
                  <c:v>3.5254911485809703</c:v>
                </c:pt>
                <c:pt idx="84">
                  <c:v>3.5254911485809703</c:v>
                </c:pt>
                <c:pt idx="85">
                  <c:v>3.5254911485809703</c:v>
                </c:pt>
                <c:pt idx="86">
                  <c:v>3.5254911485809703</c:v>
                </c:pt>
                <c:pt idx="87">
                  <c:v>3.5254911485809703</c:v>
                </c:pt>
                <c:pt idx="88">
                  <c:v>3.5254911485809703</c:v>
                </c:pt>
                <c:pt idx="89">
                  <c:v>3.5254911485809703</c:v>
                </c:pt>
                <c:pt idx="90">
                  <c:v>3.5254911485809703</c:v>
                </c:pt>
                <c:pt idx="91">
                  <c:v>3.5254911485809703</c:v>
                </c:pt>
                <c:pt idx="92">
                  <c:v>3.5254911485809703</c:v>
                </c:pt>
                <c:pt idx="93">
                  <c:v>3.5254911485809703</c:v>
                </c:pt>
                <c:pt idx="94">
                  <c:v>3.5254911485809703</c:v>
                </c:pt>
                <c:pt idx="95">
                  <c:v>3.5254911485809703</c:v>
                </c:pt>
                <c:pt idx="96">
                  <c:v>3.5254911485809703</c:v>
                </c:pt>
                <c:pt idx="97">
                  <c:v>3.5254911485809703</c:v>
                </c:pt>
                <c:pt idx="98">
                  <c:v>3.5254911485809703</c:v>
                </c:pt>
                <c:pt idx="99">
                  <c:v>3.5254911485809703</c:v>
                </c:pt>
                <c:pt idx="100">
                  <c:v>3.5254911485809703</c:v>
                </c:pt>
                <c:pt idx="101">
                  <c:v>3.5254911485809703</c:v>
                </c:pt>
                <c:pt idx="102">
                  <c:v>3.5254911485809703</c:v>
                </c:pt>
                <c:pt idx="103">
                  <c:v>3.5254911485809703</c:v>
                </c:pt>
                <c:pt idx="104">
                  <c:v>3.5254911485809703</c:v>
                </c:pt>
                <c:pt idx="105">
                  <c:v>3.5254911485809703</c:v>
                </c:pt>
                <c:pt idx="106">
                  <c:v>3.5254911485809703</c:v>
                </c:pt>
                <c:pt idx="107">
                  <c:v>3.5254911485809703</c:v>
                </c:pt>
                <c:pt idx="108">
                  <c:v>3.5254911485809703</c:v>
                </c:pt>
                <c:pt idx="109">
                  <c:v>3.5254911485809703</c:v>
                </c:pt>
                <c:pt idx="110">
                  <c:v>3.5254911485809703</c:v>
                </c:pt>
                <c:pt idx="111">
                  <c:v>3.5254911485809703</c:v>
                </c:pt>
                <c:pt idx="112">
                  <c:v>3.5254911485809703</c:v>
                </c:pt>
                <c:pt idx="113">
                  <c:v>3.5254911485809703</c:v>
                </c:pt>
                <c:pt idx="114">
                  <c:v>3.5254911485809703</c:v>
                </c:pt>
                <c:pt idx="115">
                  <c:v>3.5254911485809703</c:v>
                </c:pt>
                <c:pt idx="116">
                  <c:v>3.5254911485809703</c:v>
                </c:pt>
                <c:pt idx="117">
                  <c:v>3.5254911485809703</c:v>
                </c:pt>
                <c:pt idx="118">
                  <c:v>3.5254911485809703</c:v>
                </c:pt>
                <c:pt idx="119">
                  <c:v>3.5254911485809703</c:v>
                </c:pt>
                <c:pt idx="120">
                  <c:v>3.5254911485809703</c:v>
                </c:pt>
                <c:pt idx="121">
                  <c:v>3.5254911485809703</c:v>
                </c:pt>
                <c:pt idx="122">
                  <c:v>3.5254911485809703</c:v>
                </c:pt>
                <c:pt idx="123">
                  <c:v>3.5254911485809703</c:v>
                </c:pt>
                <c:pt idx="124">
                  <c:v>3.5254911485809703</c:v>
                </c:pt>
                <c:pt idx="125">
                  <c:v>3.5254911485809703</c:v>
                </c:pt>
                <c:pt idx="126">
                  <c:v>3.5254911485809703</c:v>
                </c:pt>
                <c:pt idx="127">
                  <c:v>3.5254911485809703</c:v>
                </c:pt>
                <c:pt idx="128">
                  <c:v>3.5254911485809703</c:v>
                </c:pt>
                <c:pt idx="129">
                  <c:v>3.5254911485809703</c:v>
                </c:pt>
                <c:pt idx="130">
                  <c:v>3.5254911485809703</c:v>
                </c:pt>
                <c:pt idx="131">
                  <c:v>3.5254911485809703</c:v>
                </c:pt>
                <c:pt idx="132">
                  <c:v>3.5254911485809703</c:v>
                </c:pt>
                <c:pt idx="133">
                  <c:v>3.5254911485809703</c:v>
                </c:pt>
                <c:pt idx="134">
                  <c:v>3.5254911485809703</c:v>
                </c:pt>
                <c:pt idx="135">
                  <c:v>3.5254911485809703</c:v>
                </c:pt>
                <c:pt idx="136">
                  <c:v>3.5254911485809703</c:v>
                </c:pt>
                <c:pt idx="137">
                  <c:v>3.5254911485809703</c:v>
                </c:pt>
                <c:pt idx="138">
                  <c:v>3.5254911485809703</c:v>
                </c:pt>
                <c:pt idx="139">
                  <c:v>3.5254911485809703</c:v>
                </c:pt>
                <c:pt idx="140">
                  <c:v>3.5254911485809703</c:v>
                </c:pt>
                <c:pt idx="141">
                  <c:v>3.5254911485809703</c:v>
                </c:pt>
                <c:pt idx="142">
                  <c:v>3.5254911485809703</c:v>
                </c:pt>
                <c:pt idx="143">
                  <c:v>3.5254911485809703</c:v>
                </c:pt>
                <c:pt idx="144">
                  <c:v>3.5254911485809703</c:v>
                </c:pt>
                <c:pt idx="145">
                  <c:v>3.5254911485809703</c:v>
                </c:pt>
                <c:pt idx="146">
                  <c:v>3.5254911485809703</c:v>
                </c:pt>
                <c:pt idx="147">
                  <c:v>3.5254911485809703</c:v>
                </c:pt>
                <c:pt idx="148">
                  <c:v>3.5254911485809703</c:v>
                </c:pt>
                <c:pt idx="149">
                  <c:v>3.5254911485809703</c:v>
                </c:pt>
                <c:pt idx="150">
                  <c:v>3.5254911485809703</c:v>
                </c:pt>
                <c:pt idx="151">
                  <c:v>3.5254911485809703</c:v>
                </c:pt>
                <c:pt idx="152">
                  <c:v>3.5254911485809703</c:v>
                </c:pt>
                <c:pt idx="153">
                  <c:v>3.5254911485809703</c:v>
                </c:pt>
                <c:pt idx="154">
                  <c:v>3.5254911485809703</c:v>
                </c:pt>
                <c:pt idx="155">
                  <c:v>3.5254911485809703</c:v>
                </c:pt>
                <c:pt idx="156">
                  <c:v>3.5254911485809703</c:v>
                </c:pt>
                <c:pt idx="157">
                  <c:v>3.5254911485809703</c:v>
                </c:pt>
                <c:pt idx="158">
                  <c:v>3.5254911485809703</c:v>
                </c:pt>
                <c:pt idx="159">
                  <c:v>3.5254911485809703</c:v>
                </c:pt>
                <c:pt idx="160">
                  <c:v>3.5254911485809703</c:v>
                </c:pt>
                <c:pt idx="161">
                  <c:v>3.5254911485809703</c:v>
                </c:pt>
                <c:pt idx="162">
                  <c:v>3.5254911485809703</c:v>
                </c:pt>
                <c:pt idx="163">
                  <c:v>3.5254911485809703</c:v>
                </c:pt>
                <c:pt idx="164">
                  <c:v>3.5254911485809703</c:v>
                </c:pt>
                <c:pt idx="165">
                  <c:v>3.5254911485809703</c:v>
                </c:pt>
                <c:pt idx="166">
                  <c:v>3.5254911485809703</c:v>
                </c:pt>
                <c:pt idx="167">
                  <c:v>3.5254911485809703</c:v>
                </c:pt>
                <c:pt idx="168">
                  <c:v>3.5254911485809703</c:v>
                </c:pt>
                <c:pt idx="169">
                  <c:v>3.5254911485809703</c:v>
                </c:pt>
                <c:pt idx="170">
                  <c:v>3.5254911485809703</c:v>
                </c:pt>
                <c:pt idx="171">
                  <c:v>3.5254911485809703</c:v>
                </c:pt>
                <c:pt idx="172">
                  <c:v>3.5254911485809703</c:v>
                </c:pt>
                <c:pt idx="173">
                  <c:v>3.5254911485809703</c:v>
                </c:pt>
                <c:pt idx="174">
                  <c:v>3.5254911485809703</c:v>
                </c:pt>
                <c:pt idx="175">
                  <c:v>3.5254911485809703</c:v>
                </c:pt>
                <c:pt idx="176">
                  <c:v>3.5254911485809703</c:v>
                </c:pt>
                <c:pt idx="177">
                  <c:v>3.5254911485809703</c:v>
                </c:pt>
                <c:pt idx="178">
                  <c:v>3.5254911485809703</c:v>
                </c:pt>
                <c:pt idx="179">
                  <c:v>3.5254911485809703</c:v>
                </c:pt>
                <c:pt idx="180">
                  <c:v>3.5254911485809703</c:v>
                </c:pt>
                <c:pt idx="181">
                  <c:v>3.5254911485809703</c:v>
                </c:pt>
                <c:pt idx="182">
                  <c:v>3.5254911485809703</c:v>
                </c:pt>
                <c:pt idx="183">
                  <c:v>3.5254911485809703</c:v>
                </c:pt>
                <c:pt idx="184">
                  <c:v>3.5254911485809703</c:v>
                </c:pt>
                <c:pt idx="185">
                  <c:v>3.5254911485809703</c:v>
                </c:pt>
                <c:pt idx="186">
                  <c:v>3.5254911485809703</c:v>
                </c:pt>
                <c:pt idx="187">
                  <c:v>3.5254911485809703</c:v>
                </c:pt>
                <c:pt idx="188">
                  <c:v>3.5254911485809703</c:v>
                </c:pt>
                <c:pt idx="189">
                  <c:v>3.5254911485809703</c:v>
                </c:pt>
                <c:pt idx="190">
                  <c:v>3.5254911485809703</c:v>
                </c:pt>
                <c:pt idx="191">
                  <c:v>3.5254911485809703</c:v>
                </c:pt>
                <c:pt idx="192">
                  <c:v>3.5254911485809703</c:v>
                </c:pt>
                <c:pt idx="193">
                  <c:v>3.5254911485809703</c:v>
                </c:pt>
                <c:pt idx="194">
                  <c:v>3.5254911485809703</c:v>
                </c:pt>
                <c:pt idx="195">
                  <c:v>3.5254911485809703</c:v>
                </c:pt>
                <c:pt idx="196">
                  <c:v>3.5254911485809703</c:v>
                </c:pt>
                <c:pt idx="197">
                  <c:v>3.5254911485809703</c:v>
                </c:pt>
                <c:pt idx="198">
                  <c:v>3.5254911485809703</c:v>
                </c:pt>
                <c:pt idx="199">
                  <c:v>3.5254911485809703</c:v>
                </c:pt>
                <c:pt idx="200">
                  <c:v>3.5254911485809703</c:v>
                </c:pt>
                <c:pt idx="201">
                  <c:v>3.5254911485809703</c:v>
                </c:pt>
                <c:pt idx="202">
                  <c:v>3.5254911485809703</c:v>
                </c:pt>
                <c:pt idx="203">
                  <c:v>3.5254911485809703</c:v>
                </c:pt>
                <c:pt idx="204">
                  <c:v>3.5254911485809703</c:v>
                </c:pt>
                <c:pt idx="205">
                  <c:v>3.5254911485809703</c:v>
                </c:pt>
                <c:pt idx="206">
                  <c:v>3.5254911485809703</c:v>
                </c:pt>
                <c:pt idx="207">
                  <c:v>3.5254911485809703</c:v>
                </c:pt>
                <c:pt idx="208">
                  <c:v>3.5254911485809703</c:v>
                </c:pt>
                <c:pt idx="209">
                  <c:v>3.5254911485809703</c:v>
                </c:pt>
                <c:pt idx="210">
                  <c:v>3.5254911485809703</c:v>
                </c:pt>
                <c:pt idx="211">
                  <c:v>3.5254911485809703</c:v>
                </c:pt>
                <c:pt idx="212">
                  <c:v>3.5254911485809703</c:v>
                </c:pt>
                <c:pt idx="213">
                  <c:v>3.5254911485809703</c:v>
                </c:pt>
                <c:pt idx="214">
                  <c:v>3.5254911485809703</c:v>
                </c:pt>
                <c:pt idx="215">
                  <c:v>3.5254911485809703</c:v>
                </c:pt>
                <c:pt idx="216">
                  <c:v>3.5254911485809703</c:v>
                </c:pt>
                <c:pt idx="217">
                  <c:v>3.5254911485809703</c:v>
                </c:pt>
                <c:pt idx="218">
                  <c:v>3.5254911485809703</c:v>
                </c:pt>
                <c:pt idx="219">
                  <c:v>3.5254911485809703</c:v>
                </c:pt>
                <c:pt idx="220">
                  <c:v>3.5254911485809703</c:v>
                </c:pt>
                <c:pt idx="221">
                  <c:v>3.5254911485809703</c:v>
                </c:pt>
                <c:pt idx="222">
                  <c:v>3.5254911485809703</c:v>
                </c:pt>
                <c:pt idx="223">
                  <c:v>3.5254911485809703</c:v>
                </c:pt>
                <c:pt idx="224">
                  <c:v>3.5254911485809703</c:v>
                </c:pt>
                <c:pt idx="225">
                  <c:v>3.5254911485809703</c:v>
                </c:pt>
                <c:pt idx="226">
                  <c:v>3.5254911485809703</c:v>
                </c:pt>
                <c:pt idx="227">
                  <c:v>3.5254911485809703</c:v>
                </c:pt>
                <c:pt idx="228">
                  <c:v>3.5254911485809703</c:v>
                </c:pt>
                <c:pt idx="229">
                  <c:v>3.5254911485809703</c:v>
                </c:pt>
                <c:pt idx="230">
                  <c:v>3.5254911485809703</c:v>
                </c:pt>
                <c:pt idx="231">
                  <c:v>3.5254911485809703</c:v>
                </c:pt>
                <c:pt idx="232">
                  <c:v>3.5254911485809703</c:v>
                </c:pt>
                <c:pt idx="233">
                  <c:v>3.5254911485809703</c:v>
                </c:pt>
                <c:pt idx="234">
                  <c:v>3.5254911485809703</c:v>
                </c:pt>
                <c:pt idx="235">
                  <c:v>3.5254911485809703</c:v>
                </c:pt>
                <c:pt idx="236">
                  <c:v>3.5254911485809703</c:v>
                </c:pt>
                <c:pt idx="237">
                  <c:v>3.5254911485809703</c:v>
                </c:pt>
                <c:pt idx="238">
                  <c:v>3.5254911485809703</c:v>
                </c:pt>
                <c:pt idx="239">
                  <c:v>3.5254911485809703</c:v>
                </c:pt>
                <c:pt idx="240">
                  <c:v>3.5254911485809703</c:v>
                </c:pt>
                <c:pt idx="241">
                  <c:v>3.5254911485809703</c:v>
                </c:pt>
                <c:pt idx="242">
                  <c:v>3.5254911485809703</c:v>
                </c:pt>
                <c:pt idx="243">
                  <c:v>3.5254911485809703</c:v>
                </c:pt>
                <c:pt idx="244">
                  <c:v>3.5254911485809703</c:v>
                </c:pt>
                <c:pt idx="245">
                  <c:v>3.5254911485809703</c:v>
                </c:pt>
                <c:pt idx="246">
                  <c:v>3.5254911485809703</c:v>
                </c:pt>
                <c:pt idx="247">
                  <c:v>3.5254911485809703</c:v>
                </c:pt>
                <c:pt idx="248">
                  <c:v>3.5254911485809703</c:v>
                </c:pt>
                <c:pt idx="249">
                  <c:v>3.5254911485809703</c:v>
                </c:pt>
                <c:pt idx="250">
                  <c:v>3.5254911485809703</c:v>
                </c:pt>
                <c:pt idx="251">
                  <c:v>3.5254911485809703</c:v>
                </c:pt>
                <c:pt idx="252">
                  <c:v>3.5254911485809703</c:v>
                </c:pt>
                <c:pt idx="253">
                  <c:v>3.5254911485809703</c:v>
                </c:pt>
                <c:pt idx="254">
                  <c:v>3.5254911485809703</c:v>
                </c:pt>
                <c:pt idx="255">
                  <c:v>3.5254911485809703</c:v>
                </c:pt>
                <c:pt idx="256">
                  <c:v>3.5254911485809703</c:v>
                </c:pt>
                <c:pt idx="257">
                  <c:v>3.5254911485809703</c:v>
                </c:pt>
                <c:pt idx="258">
                  <c:v>3.5254911485809703</c:v>
                </c:pt>
                <c:pt idx="259">
                  <c:v>3.5254911485809703</c:v>
                </c:pt>
                <c:pt idx="260">
                  <c:v>3.5254911485809703</c:v>
                </c:pt>
                <c:pt idx="261">
                  <c:v>3.5254911485809703</c:v>
                </c:pt>
                <c:pt idx="262">
                  <c:v>3.5254911485809703</c:v>
                </c:pt>
                <c:pt idx="263">
                  <c:v>3.5254911485809703</c:v>
                </c:pt>
                <c:pt idx="264">
                  <c:v>3.5254911485809703</c:v>
                </c:pt>
                <c:pt idx="265">
                  <c:v>3.5254911485809703</c:v>
                </c:pt>
                <c:pt idx="266">
                  <c:v>3.5254911485809703</c:v>
                </c:pt>
                <c:pt idx="267">
                  <c:v>3.5254911485809703</c:v>
                </c:pt>
                <c:pt idx="268">
                  <c:v>3.5254911485809703</c:v>
                </c:pt>
                <c:pt idx="269">
                  <c:v>3.5254911485809703</c:v>
                </c:pt>
                <c:pt idx="270">
                  <c:v>3.5254911485809703</c:v>
                </c:pt>
                <c:pt idx="271">
                  <c:v>3.5254911485809703</c:v>
                </c:pt>
                <c:pt idx="272">
                  <c:v>3.5254911485809703</c:v>
                </c:pt>
                <c:pt idx="273">
                  <c:v>3.5254911485809703</c:v>
                </c:pt>
                <c:pt idx="274">
                  <c:v>3.5254911485809703</c:v>
                </c:pt>
                <c:pt idx="275">
                  <c:v>3.5254911485809703</c:v>
                </c:pt>
                <c:pt idx="276">
                  <c:v>3.5254911485809703</c:v>
                </c:pt>
                <c:pt idx="277">
                  <c:v>3.5254911485809703</c:v>
                </c:pt>
                <c:pt idx="278">
                  <c:v>3.5254911485809703</c:v>
                </c:pt>
                <c:pt idx="279">
                  <c:v>3.5254911485809703</c:v>
                </c:pt>
                <c:pt idx="280">
                  <c:v>3.5254911485809703</c:v>
                </c:pt>
                <c:pt idx="281">
                  <c:v>3.5254911485809703</c:v>
                </c:pt>
                <c:pt idx="282">
                  <c:v>3.5254911485809703</c:v>
                </c:pt>
                <c:pt idx="283">
                  <c:v>3.5254911485809703</c:v>
                </c:pt>
                <c:pt idx="284">
                  <c:v>3.5254911485809703</c:v>
                </c:pt>
                <c:pt idx="285">
                  <c:v>3.5254911485809703</c:v>
                </c:pt>
                <c:pt idx="286">
                  <c:v>3.5254911485809703</c:v>
                </c:pt>
                <c:pt idx="287">
                  <c:v>3.5254911485809703</c:v>
                </c:pt>
                <c:pt idx="288">
                  <c:v>3.5254911485809703</c:v>
                </c:pt>
                <c:pt idx="289">
                  <c:v>3.5254911485809703</c:v>
                </c:pt>
                <c:pt idx="290">
                  <c:v>3.5254911485809703</c:v>
                </c:pt>
                <c:pt idx="291">
                  <c:v>3.5254911485809703</c:v>
                </c:pt>
                <c:pt idx="292">
                  <c:v>3.5254911485809703</c:v>
                </c:pt>
                <c:pt idx="293">
                  <c:v>3.5254911485809703</c:v>
                </c:pt>
                <c:pt idx="294">
                  <c:v>3.5254911485809703</c:v>
                </c:pt>
                <c:pt idx="295">
                  <c:v>3.5254911485809703</c:v>
                </c:pt>
                <c:pt idx="296">
                  <c:v>3.5254911485809703</c:v>
                </c:pt>
                <c:pt idx="297">
                  <c:v>3.5254911485809703</c:v>
                </c:pt>
                <c:pt idx="298">
                  <c:v>3.5254911485809703</c:v>
                </c:pt>
                <c:pt idx="299">
                  <c:v>3.5254911485809703</c:v>
                </c:pt>
                <c:pt idx="300">
                  <c:v>3.5254911485809703</c:v>
                </c:pt>
                <c:pt idx="301">
                  <c:v>3.5254911485809703</c:v>
                </c:pt>
                <c:pt idx="302">
                  <c:v>3.5254911485809703</c:v>
                </c:pt>
                <c:pt idx="303">
                  <c:v>3.5254911485809703</c:v>
                </c:pt>
                <c:pt idx="304">
                  <c:v>3.5254911485809703</c:v>
                </c:pt>
                <c:pt idx="305">
                  <c:v>3.5254911485809703</c:v>
                </c:pt>
                <c:pt idx="306">
                  <c:v>3.5254911485809703</c:v>
                </c:pt>
                <c:pt idx="307">
                  <c:v>3.5254911485809703</c:v>
                </c:pt>
                <c:pt idx="308">
                  <c:v>3.5254911485809703</c:v>
                </c:pt>
                <c:pt idx="309">
                  <c:v>3.5254911485809703</c:v>
                </c:pt>
                <c:pt idx="310">
                  <c:v>3.5254911485809703</c:v>
                </c:pt>
                <c:pt idx="311">
                  <c:v>3.5254911485809703</c:v>
                </c:pt>
                <c:pt idx="312">
                  <c:v>3.5254911485809703</c:v>
                </c:pt>
                <c:pt idx="313">
                  <c:v>3.5254911485809703</c:v>
                </c:pt>
                <c:pt idx="314">
                  <c:v>3.5254911485809703</c:v>
                </c:pt>
                <c:pt idx="315">
                  <c:v>3.5254911485809703</c:v>
                </c:pt>
                <c:pt idx="316">
                  <c:v>3.5254911485809703</c:v>
                </c:pt>
                <c:pt idx="317">
                  <c:v>3.5254911485809703</c:v>
                </c:pt>
                <c:pt idx="318">
                  <c:v>3.5254911485809703</c:v>
                </c:pt>
                <c:pt idx="319">
                  <c:v>3.5254911485809703</c:v>
                </c:pt>
                <c:pt idx="320">
                  <c:v>3.5254911485809703</c:v>
                </c:pt>
                <c:pt idx="321">
                  <c:v>3.5254911485809703</c:v>
                </c:pt>
                <c:pt idx="322">
                  <c:v>3.5254911485809703</c:v>
                </c:pt>
                <c:pt idx="323">
                  <c:v>3.5254911485809703</c:v>
                </c:pt>
                <c:pt idx="324">
                  <c:v>3.5254911485809703</c:v>
                </c:pt>
                <c:pt idx="325">
                  <c:v>3.5254911485809703</c:v>
                </c:pt>
                <c:pt idx="326">
                  <c:v>3.5254911485809703</c:v>
                </c:pt>
                <c:pt idx="327">
                  <c:v>3.5254911485809703</c:v>
                </c:pt>
                <c:pt idx="328">
                  <c:v>3.5254911485809703</c:v>
                </c:pt>
                <c:pt idx="329">
                  <c:v>3.5254911485809703</c:v>
                </c:pt>
                <c:pt idx="330">
                  <c:v>3.5254911485809703</c:v>
                </c:pt>
                <c:pt idx="331">
                  <c:v>3.5254911485809703</c:v>
                </c:pt>
                <c:pt idx="332">
                  <c:v>3.5254911485809703</c:v>
                </c:pt>
                <c:pt idx="333">
                  <c:v>3.5254911485809703</c:v>
                </c:pt>
                <c:pt idx="334">
                  <c:v>3.5254911485809703</c:v>
                </c:pt>
                <c:pt idx="335">
                  <c:v>3.5254911485809703</c:v>
                </c:pt>
                <c:pt idx="336">
                  <c:v>3.5254911485809703</c:v>
                </c:pt>
                <c:pt idx="337">
                  <c:v>3.5254911485809703</c:v>
                </c:pt>
                <c:pt idx="338">
                  <c:v>3.5254911485809703</c:v>
                </c:pt>
                <c:pt idx="339">
                  <c:v>3.5254911485809703</c:v>
                </c:pt>
                <c:pt idx="340">
                  <c:v>3.5254911485809703</c:v>
                </c:pt>
                <c:pt idx="341">
                  <c:v>3.5254911485809703</c:v>
                </c:pt>
                <c:pt idx="342">
                  <c:v>3.5254911485809703</c:v>
                </c:pt>
                <c:pt idx="343">
                  <c:v>3.5254911485809703</c:v>
                </c:pt>
                <c:pt idx="344">
                  <c:v>3.5254911485809703</c:v>
                </c:pt>
                <c:pt idx="345">
                  <c:v>3.5254911485809703</c:v>
                </c:pt>
                <c:pt idx="346">
                  <c:v>3.5254911485809703</c:v>
                </c:pt>
                <c:pt idx="347">
                  <c:v>3.5254911485809703</c:v>
                </c:pt>
                <c:pt idx="348">
                  <c:v>3.5254911485809703</c:v>
                </c:pt>
                <c:pt idx="349">
                  <c:v>3.5254911485809703</c:v>
                </c:pt>
                <c:pt idx="350">
                  <c:v>3.5254911485809703</c:v>
                </c:pt>
                <c:pt idx="351">
                  <c:v>3.5254911485809703</c:v>
                </c:pt>
                <c:pt idx="352">
                  <c:v>3.5254911485809703</c:v>
                </c:pt>
                <c:pt idx="353">
                  <c:v>3.5254911485809703</c:v>
                </c:pt>
                <c:pt idx="354">
                  <c:v>3.5254911485809703</c:v>
                </c:pt>
                <c:pt idx="355">
                  <c:v>3.5254911485809703</c:v>
                </c:pt>
                <c:pt idx="356">
                  <c:v>3.5254911485809703</c:v>
                </c:pt>
                <c:pt idx="357">
                  <c:v>3.5254911485809703</c:v>
                </c:pt>
                <c:pt idx="358">
                  <c:v>3.5254911485809703</c:v>
                </c:pt>
                <c:pt idx="359">
                  <c:v>3.5254911485809703</c:v>
                </c:pt>
                <c:pt idx="360">
                  <c:v>3.5254911485809703</c:v>
                </c:pt>
                <c:pt idx="361">
                  <c:v>3.5254911485809703</c:v>
                </c:pt>
                <c:pt idx="362">
                  <c:v>3.5254911485809703</c:v>
                </c:pt>
                <c:pt idx="363">
                  <c:v>3.5254911485809703</c:v>
                </c:pt>
                <c:pt idx="364">
                  <c:v>3.5254911485809703</c:v>
                </c:pt>
                <c:pt idx="365">
                  <c:v>3.5254911485809703</c:v>
                </c:pt>
                <c:pt idx="366">
                  <c:v>3.5254911485809703</c:v>
                </c:pt>
                <c:pt idx="367">
                  <c:v>3.5254911485809703</c:v>
                </c:pt>
                <c:pt idx="368">
                  <c:v>3.5254911485809703</c:v>
                </c:pt>
                <c:pt idx="369">
                  <c:v>3.5254911485809703</c:v>
                </c:pt>
                <c:pt idx="370">
                  <c:v>3.5254911485809703</c:v>
                </c:pt>
                <c:pt idx="371">
                  <c:v>3.5254911485809703</c:v>
                </c:pt>
                <c:pt idx="372">
                  <c:v>3.5254911485809703</c:v>
                </c:pt>
                <c:pt idx="373">
                  <c:v>3.5254911485809703</c:v>
                </c:pt>
                <c:pt idx="374">
                  <c:v>3.5254911485809703</c:v>
                </c:pt>
                <c:pt idx="375">
                  <c:v>3.5254911485809703</c:v>
                </c:pt>
                <c:pt idx="376">
                  <c:v>3.5254911485809703</c:v>
                </c:pt>
                <c:pt idx="377">
                  <c:v>3.5254911485809703</c:v>
                </c:pt>
                <c:pt idx="378">
                  <c:v>3.5254911485809703</c:v>
                </c:pt>
                <c:pt idx="379">
                  <c:v>3.5254911485809703</c:v>
                </c:pt>
                <c:pt idx="380">
                  <c:v>3.5254911485809703</c:v>
                </c:pt>
                <c:pt idx="381">
                  <c:v>3.5254911485809703</c:v>
                </c:pt>
                <c:pt idx="382">
                  <c:v>3.5254911485809703</c:v>
                </c:pt>
                <c:pt idx="383">
                  <c:v>3.5254911485809703</c:v>
                </c:pt>
                <c:pt idx="384">
                  <c:v>3.5254911485809703</c:v>
                </c:pt>
                <c:pt idx="385">
                  <c:v>3.5254911485809703</c:v>
                </c:pt>
                <c:pt idx="386">
                  <c:v>3.5254911485809703</c:v>
                </c:pt>
                <c:pt idx="387">
                  <c:v>3.5254911485809703</c:v>
                </c:pt>
                <c:pt idx="388">
                  <c:v>3.5254911485809703</c:v>
                </c:pt>
                <c:pt idx="389">
                  <c:v>3.5254911485809703</c:v>
                </c:pt>
                <c:pt idx="390">
                  <c:v>3.5254911485809703</c:v>
                </c:pt>
                <c:pt idx="391">
                  <c:v>3.5254911485809703</c:v>
                </c:pt>
                <c:pt idx="392">
                  <c:v>3.5254911485809703</c:v>
                </c:pt>
                <c:pt idx="393">
                  <c:v>3.5254911485809703</c:v>
                </c:pt>
                <c:pt idx="394">
                  <c:v>3.5254911485809703</c:v>
                </c:pt>
                <c:pt idx="395">
                  <c:v>3.5254911485809703</c:v>
                </c:pt>
                <c:pt idx="396">
                  <c:v>3.5254911485809703</c:v>
                </c:pt>
                <c:pt idx="397">
                  <c:v>3.5254911485809703</c:v>
                </c:pt>
                <c:pt idx="398">
                  <c:v>3.5254911485809703</c:v>
                </c:pt>
                <c:pt idx="399">
                  <c:v>3.5254911485809703</c:v>
                </c:pt>
                <c:pt idx="400">
                  <c:v>3.5254911485809703</c:v>
                </c:pt>
                <c:pt idx="401">
                  <c:v>3.5254911485809703</c:v>
                </c:pt>
                <c:pt idx="402">
                  <c:v>3.5254911485809703</c:v>
                </c:pt>
                <c:pt idx="403">
                  <c:v>3.5254911485809703</c:v>
                </c:pt>
                <c:pt idx="404">
                  <c:v>3.5254911485809703</c:v>
                </c:pt>
                <c:pt idx="405">
                  <c:v>3.5254911485809703</c:v>
                </c:pt>
                <c:pt idx="406">
                  <c:v>3.5254911485809703</c:v>
                </c:pt>
                <c:pt idx="407">
                  <c:v>3.5254911485809703</c:v>
                </c:pt>
                <c:pt idx="408">
                  <c:v>3.5254911485809703</c:v>
                </c:pt>
                <c:pt idx="409">
                  <c:v>3.5254911485809703</c:v>
                </c:pt>
                <c:pt idx="410">
                  <c:v>3.5254911485809703</c:v>
                </c:pt>
                <c:pt idx="411">
                  <c:v>3.5254911485809703</c:v>
                </c:pt>
                <c:pt idx="412">
                  <c:v>3.5254911485809703</c:v>
                </c:pt>
                <c:pt idx="413">
                  <c:v>3.5254911485809703</c:v>
                </c:pt>
                <c:pt idx="414">
                  <c:v>3.5254911485809703</c:v>
                </c:pt>
                <c:pt idx="415">
                  <c:v>3.5254911485809703</c:v>
                </c:pt>
                <c:pt idx="416">
                  <c:v>3.5254911485809703</c:v>
                </c:pt>
                <c:pt idx="417">
                  <c:v>3.5254911485809703</c:v>
                </c:pt>
                <c:pt idx="418">
                  <c:v>3.5254911485809703</c:v>
                </c:pt>
                <c:pt idx="419">
                  <c:v>3.5254911485809703</c:v>
                </c:pt>
                <c:pt idx="420">
                  <c:v>3.5254911485809703</c:v>
                </c:pt>
                <c:pt idx="421">
                  <c:v>3.5254911485809703</c:v>
                </c:pt>
                <c:pt idx="422">
                  <c:v>3.5254911485809703</c:v>
                </c:pt>
                <c:pt idx="423">
                  <c:v>3.5254911485809703</c:v>
                </c:pt>
                <c:pt idx="424">
                  <c:v>3.5254911485809703</c:v>
                </c:pt>
                <c:pt idx="425">
                  <c:v>3.5254911485809703</c:v>
                </c:pt>
                <c:pt idx="426">
                  <c:v>3.5254911485809703</c:v>
                </c:pt>
                <c:pt idx="427">
                  <c:v>3.5254911485809703</c:v>
                </c:pt>
                <c:pt idx="428">
                  <c:v>3.5254911485809703</c:v>
                </c:pt>
                <c:pt idx="429">
                  <c:v>3.5254911485809703</c:v>
                </c:pt>
                <c:pt idx="430">
                  <c:v>3.5254911485809703</c:v>
                </c:pt>
                <c:pt idx="431">
                  <c:v>3.5254911485809703</c:v>
                </c:pt>
                <c:pt idx="432">
                  <c:v>3.5254911485809703</c:v>
                </c:pt>
                <c:pt idx="433">
                  <c:v>3.5254911485809703</c:v>
                </c:pt>
                <c:pt idx="434">
                  <c:v>3.5254911485809703</c:v>
                </c:pt>
                <c:pt idx="435">
                  <c:v>3.5254911485809703</c:v>
                </c:pt>
                <c:pt idx="436">
                  <c:v>3.5254911485809703</c:v>
                </c:pt>
                <c:pt idx="437">
                  <c:v>3.5254911485809703</c:v>
                </c:pt>
                <c:pt idx="438">
                  <c:v>3.5254911485809703</c:v>
                </c:pt>
                <c:pt idx="439">
                  <c:v>3.5254911485809703</c:v>
                </c:pt>
                <c:pt idx="440">
                  <c:v>3.5254911485809703</c:v>
                </c:pt>
                <c:pt idx="441">
                  <c:v>3.5254911485809703</c:v>
                </c:pt>
                <c:pt idx="442">
                  <c:v>3.5254911485809703</c:v>
                </c:pt>
                <c:pt idx="443">
                  <c:v>3.5254911485809703</c:v>
                </c:pt>
                <c:pt idx="444">
                  <c:v>3.5254911485809703</c:v>
                </c:pt>
                <c:pt idx="445">
                  <c:v>3.5254911485809703</c:v>
                </c:pt>
                <c:pt idx="446">
                  <c:v>3.5254911485809703</c:v>
                </c:pt>
                <c:pt idx="447">
                  <c:v>3.5254911485809703</c:v>
                </c:pt>
                <c:pt idx="448">
                  <c:v>3.5254911485809703</c:v>
                </c:pt>
                <c:pt idx="449">
                  <c:v>3.5254911485809703</c:v>
                </c:pt>
                <c:pt idx="450">
                  <c:v>3.5254911485809703</c:v>
                </c:pt>
                <c:pt idx="451">
                  <c:v>3.5254911485809703</c:v>
                </c:pt>
                <c:pt idx="452">
                  <c:v>3.5254911485809703</c:v>
                </c:pt>
                <c:pt idx="453">
                  <c:v>3.5254911485809703</c:v>
                </c:pt>
                <c:pt idx="454">
                  <c:v>3.5254911485809703</c:v>
                </c:pt>
                <c:pt idx="455">
                  <c:v>3.5254911485809703</c:v>
                </c:pt>
                <c:pt idx="456">
                  <c:v>3.5254911485809703</c:v>
                </c:pt>
                <c:pt idx="457">
                  <c:v>3.5254911485809703</c:v>
                </c:pt>
                <c:pt idx="458">
                  <c:v>3.5254911485809703</c:v>
                </c:pt>
                <c:pt idx="459">
                  <c:v>3.5254911485809703</c:v>
                </c:pt>
                <c:pt idx="460">
                  <c:v>3.5254911485809703</c:v>
                </c:pt>
                <c:pt idx="461">
                  <c:v>3.5254911485809703</c:v>
                </c:pt>
                <c:pt idx="462">
                  <c:v>3.5254911485809703</c:v>
                </c:pt>
                <c:pt idx="463">
                  <c:v>3.5254911485809703</c:v>
                </c:pt>
                <c:pt idx="464">
                  <c:v>3.5254911485809703</c:v>
                </c:pt>
                <c:pt idx="465">
                  <c:v>3.5254911485809703</c:v>
                </c:pt>
                <c:pt idx="466">
                  <c:v>3.5254911485809703</c:v>
                </c:pt>
                <c:pt idx="467">
                  <c:v>3.5254911485809703</c:v>
                </c:pt>
                <c:pt idx="468">
                  <c:v>3.5254911485809703</c:v>
                </c:pt>
                <c:pt idx="469">
                  <c:v>3.5254911485809703</c:v>
                </c:pt>
                <c:pt idx="470">
                  <c:v>3.5254911485809703</c:v>
                </c:pt>
                <c:pt idx="471">
                  <c:v>3.5254911485809703</c:v>
                </c:pt>
                <c:pt idx="472">
                  <c:v>3.5254911485809703</c:v>
                </c:pt>
                <c:pt idx="473">
                  <c:v>3.5254911485809703</c:v>
                </c:pt>
                <c:pt idx="474">
                  <c:v>3.5254911485809703</c:v>
                </c:pt>
                <c:pt idx="475">
                  <c:v>3.5254911485809703</c:v>
                </c:pt>
                <c:pt idx="476">
                  <c:v>3.5254911485809703</c:v>
                </c:pt>
                <c:pt idx="477">
                  <c:v>3.5254911485809703</c:v>
                </c:pt>
                <c:pt idx="478">
                  <c:v>3.5254911485809703</c:v>
                </c:pt>
                <c:pt idx="479">
                  <c:v>3.5254911485809703</c:v>
                </c:pt>
                <c:pt idx="480">
                  <c:v>3.5254911485809703</c:v>
                </c:pt>
                <c:pt idx="481">
                  <c:v>3.5254911485809703</c:v>
                </c:pt>
                <c:pt idx="482">
                  <c:v>3.5254911485809703</c:v>
                </c:pt>
                <c:pt idx="483">
                  <c:v>3.5254911485809703</c:v>
                </c:pt>
                <c:pt idx="484">
                  <c:v>3.5254911485809703</c:v>
                </c:pt>
                <c:pt idx="485">
                  <c:v>3.5254911485809703</c:v>
                </c:pt>
                <c:pt idx="486">
                  <c:v>3.5254911485809703</c:v>
                </c:pt>
                <c:pt idx="487">
                  <c:v>3.5254911485809703</c:v>
                </c:pt>
                <c:pt idx="488">
                  <c:v>3.5254911485809703</c:v>
                </c:pt>
                <c:pt idx="489">
                  <c:v>3.5254911485809703</c:v>
                </c:pt>
                <c:pt idx="490">
                  <c:v>3.5254911485809703</c:v>
                </c:pt>
                <c:pt idx="491">
                  <c:v>3.5254911485809703</c:v>
                </c:pt>
                <c:pt idx="492">
                  <c:v>3.5254911485809703</c:v>
                </c:pt>
                <c:pt idx="493">
                  <c:v>3.5254911485809703</c:v>
                </c:pt>
                <c:pt idx="494">
                  <c:v>3.5254911485809703</c:v>
                </c:pt>
                <c:pt idx="495">
                  <c:v>3.5254911485809703</c:v>
                </c:pt>
                <c:pt idx="496">
                  <c:v>3.5254911485809703</c:v>
                </c:pt>
                <c:pt idx="497">
                  <c:v>3.5254911485809703</c:v>
                </c:pt>
                <c:pt idx="498">
                  <c:v>3.5254911485809703</c:v>
                </c:pt>
                <c:pt idx="499">
                  <c:v>3.5254911485809703</c:v>
                </c:pt>
                <c:pt idx="500">
                  <c:v>3.5254911485809703</c:v>
                </c:pt>
                <c:pt idx="501">
                  <c:v>3.5254911485809703</c:v>
                </c:pt>
                <c:pt idx="502">
                  <c:v>3.5254911485809703</c:v>
                </c:pt>
                <c:pt idx="503">
                  <c:v>3.5254911485809703</c:v>
                </c:pt>
                <c:pt idx="504">
                  <c:v>3.5254911485809703</c:v>
                </c:pt>
                <c:pt idx="505">
                  <c:v>3.5254911485809703</c:v>
                </c:pt>
                <c:pt idx="506">
                  <c:v>3.5254911485809703</c:v>
                </c:pt>
                <c:pt idx="507">
                  <c:v>3.5254911485809703</c:v>
                </c:pt>
                <c:pt idx="508">
                  <c:v>3.5254911485809703</c:v>
                </c:pt>
                <c:pt idx="509">
                  <c:v>3.5254911485809703</c:v>
                </c:pt>
                <c:pt idx="510">
                  <c:v>3.5254911485809703</c:v>
                </c:pt>
                <c:pt idx="511">
                  <c:v>3.5254911485809703</c:v>
                </c:pt>
                <c:pt idx="512">
                  <c:v>3.5254911485809703</c:v>
                </c:pt>
                <c:pt idx="513">
                  <c:v>3.5254911485809703</c:v>
                </c:pt>
                <c:pt idx="514">
                  <c:v>3.5254911485809703</c:v>
                </c:pt>
                <c:pt idx="515">
                  <c:v>3.5254911485809703</c:v>
                </c:pt>
                <c:pt idx="516">
                  <c:v>3.5254911485809703</c:v>
                </c:pt>
                <c:pt idx="517">
                  <c:v>3.5254911485809703</c:v>
                </c:pt>
                <c:pt idx="518">
                  <c:v>3.5254911485809703</c:v>
                </c:pt>
                <c:pt idx="519">
                  <c:v>3.5254911485809703</c:v>
                </c:pt>
                <c:pt idx="520">
                  <c:v>3.5254911485809703</c:v>
                </c:pt>
                <c:pt idx="521">
                  <c:v>3.5254911485809703</c:v>
                </c:pt>
                <c:pt idx="522">
                  <c:v>3.5254911485809703</c:v>
                </c:pt>
                <c:pt idx="523">
                  <c:v>3.5254911485809703</c:v>
                </c:pt>
                <c:pt idx="524">
                  <c:v>3.5254911485809703</c:v>
                </c:pt>
                <c:pt idx="525">
                  <c:v>3.5254911485809703</c:v>
                </c:pt>
                <c:pt idx="526">
                  <c:v>3.5254911485809703</c:v>
                </c:pt>
                <c:pt idx="527">
                  <c:v>3.5254911485809703</c:v>
                </c:pt>
                <c:pt idx="528">
                  <c:v>3.5254911485809703</c:v>
                </c:pt>
                <c:pt idx="529">
                  <c:v>3.5254911485809703</c:v>
                </c:pt>
                <c:pt idx="530">
                  <c:v>3.5254911485809703</c:v>
                </c:pt>
                <c:pt idx="531">
                  <c:v>3.5254911485809703</c:v>
                </c:pt>
                <c:pt idx="532">
                  <c:v>3.5254911485809703</c:v>
                </c:pt>
                <c:pt idx="533">
                  <c:v>3.5254911485809703</c:v>
                </c:pt>
                <c:pt idx="534">
                  <c:v>3.5254911485809703</c:v>
                </c:pt>
                <c:pt idx="535">
                  <c:v>3.5254911485809703</c:v>
                </c:pt>
                <c:pt idx="536">
                  <c:v>3.5254911485809703</c:v>
                </c:pt>
                <c:pt idx="537">
                  <c:v>3.5254911485809703</c:v>
                </c:pt>
                <c:pt idx="538">
                  <c:v>3.5254911485809703</c:v>
                </c:pt>
                <c:pt idx="539">
                  <c:v>3.5254911485809703</c:v>
                </c:pt>
                <c:pt idx="540">
                  <c:v>3.5254911485809703</c:v>
                </c:pt>
                <c:pt idx="541">
                  <c:v>3.5254911485809703</c:v>
                </c:pt>
                <c:pt idx="542">
                  <c:v>3.5254911485809703</c:v>
                </c:pt>
                <c:pt idx="543">
                  <c:v>3.5254911485809703</c:v>
                </c:pt>
                <c:pt idx="544">
                  <c:v>3.5254911485809703</c:v>
                </c:pt>
                <c:pt idx="545">
                  <c:v>3.5254911485809703</c:v>
                </c:pt>
                <c:pt idx="546">
                  <c:v>3.5254911485809703</c:v>
                </c:pt>
                <c:pt idx="547">
                  <c:v>3.5254911485809703</c:v>
                </c:pt>
                <c:pt idx="548">
                  <c:v>3.5254911485809703</c:v>
                </c:pt>
                <c:pt idx="549">
                  <c:v>3.5254911485809703</c:v>
                </c:pt>
                <c:pt idx="550">
                  <c:v>3.5254911485809703</c:v>
                </c:pt>
                <c:pt idx="551">
                  <c:v>3.5254911485809703</c:v>
                </c:pt>
                <c:pt idx="552">
                  <c:v>3.5254911485809703</c:v>
                </c:pt>
                <c:pt idx="553">
                  <c:v>3.5254911485809703</c:v>
                </c:pt>
                <c:pt idx="554">
                  <c:v>3.5254911485809703</c:v>
                </c:pt>
                <c:pt idx="555">
                  <c:v>3.5254911485809703</c:v>
                </c:pt>
                <c:pt idx="556">
                  <c:v>3.5254911485809703</c:v>
                </c:pt>
                <c:pt idx="557">
                  <c:v>3.5254911485809703</c:v>
                </c:pt>
                <c:pt idx="558">
                  <c:v>3.5254911485809703</c:v>
                </c:pt>
                <c:pt idx="559">
                  <c:v>3.5254911485809703</c:v>
                </c:pt>
                <c:pt idx="560">
                  <c:v>3.5254911485809703</c:v>
                </c:pt>
                <c:pt idx="561">
                  <c:v>3.5254911485809703</c:v>
                </c:pt>
                <c:pt idx="562">
                  <c:v>3.5254911485809703</c:v>
                </c:pt>
                <c:pt idx="563">
                  <c:v>3.5254911485809703</c:v>
                </c:pt>
                <c:pt idx="564">
                  <c:v>3.5254911485809703</c:v>
                </c:pt>
                <c:pt idx="565">
                  <c:v>3.5254911485809703</c:v>
                </c:pt>
                <c:pt idx="566">
                  <c:v>3.5254911485809703</c:v>
                </c:pt>
                <c:pt idx="567">
                  <c:v>3.5254911485809703</c:v>
                </c:pt>
                <c:pt idx="568">
                  <c:v>3.5254911485809703</c:v>
                </c:pt>
                <c:pt idx="569">
                  <c:v>3.5254911485809703</c:v>
                </c:pt>
                <c:pt idx="570">
                  <c:v>3.5254911485809703</c:v>
                </c:pt>
                <c:pt idx="571">
                  <c:v>3.5254911485809703</c:v>
                </c:pt>
                <c:pt idx="572">
                  <c:v>3.5254911485809703</c:v>
                </c:pt>
                <c:pt idx="573">
                  <c:v>3.5254911485809703</c:v>
                </c:pt>
                <c:pt idx="574">
                  <c:v>3.5254911485809703</c:v>
                </c:pt>
                <c:pt idx="575">
                  <c:v>3.5254911485809703</c:v>
                </c:pt>
                <c:pt idx="576">
                  <c:v>3.5254911485809703</c:v>
                </c:pt>
                <c:pt idx="577">
                  <c:v>3.5254911485809703</c:v>
                </c:pt>
                <c:pt idx="578">
                  <c:v>3.5254911485809703</c:v>
                </c:pt>
                <c:pt idx="579">
                  <c:v>3.5254911485809703</c:v>
                </c:pt>
                <c:pt idx="580">
                  <c:v>3.5254911485809703</c:v>
                </c:pt>
                <c:pt idx="581">
                  <c:v>3.5254911485809703</c:v>
                </c:pt>
                <c:pt idx="582">
                  <c:v>3.5254911485809703</c:v>
                </c:pt>
                <c:pt idx="583">
                  <c:v>3.5254911485809703</c:v>
                </c:pt>
                <c:pt idx="584">
                  <c:v>3.5254911485809703</c:v>
                </c:pt>
                <c:pt idx="585">
                  <c:v>3.5254911485809703</c:v>
                </c:pt>
                <c:pt idx="586">
                  <c:v>3.5254911485809703</c:v>
                </c:pt>
                <c:pt idx="587">
                  <c:v>3.5254911485809703</c:v>
                </c:pt>
                <c:pt idx="588">
                  <c:v>3.5254911485809703</c:v>
                </c:pt>
                <c:pt idx="589">
                  <c:v>3.5254911485809703</c:v>
                </c:pt>
                <c:pt idx="590">
                  <c:v>3.5254911485809703</c:v>
                </c:pt>
                <c:pt idx="591">
                  <c:v>3.5254911485809703</c:v>
                </c:pt>
                <c:pt idx="592">
                  <c:v>3.5254911485809703</c:v>
                </c:pt>
                <c:pt idx="593">
                  <c:v>3.5254911485809703</c:v>
                </c:pt>
                <c:pt idx="594">
                  <c:v>3.5254911485809703</c:v>
                </c:pt>
                <c:pt idx="595">
                  <c:v>3.5254911485809703</c:v>
                </c:pt>
                <c:pt idx="596">
                  <c:v>3.5254911485809703</c:v>
                </c:pt>
                <c:pt idx="597">
                  <c:v>3.5254911485809703</c:v>
                </c:pt>
                <c:pt idx="598">
                  <c:v>3.5254911485809703</c:v>
                </c:pt>
                <c:pt idx="599">
                  <c:v>3.5254911485809703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E0-4A14-860A-3E617E2D7880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Thickness_IMR!$H$13:$H$612</c:f>
              <c:numCache>
                <c:formatCode>0.0000</c:formatCode>
                <c:ptCount val="600"/>
                <c:pt idx="0">
                  <c:v>1.0791218697829723</c:v>
                </c:pt>
                <c:pt idx="1">
                  <c:v>1.0791218697829723</c:v>
                </c:pt>
                <c:pt idx="2">
                  <c:v>1.0791218697829723</c:v>
                </c:pt>
                <c:pt idx="3">
                  <c:v>1.0791218697829723</c:v>
                </c:pt>
                <c:pt idx="4">
                  <c:v>1.0791218697829723</c:v>
                </c:pt>
                <c:pt idx="5">
                  <c:v>1.0791218697829723</c:v>
                </c:pt>
                <c:pt idx="6">
                  <c:v>1.0791218697829723</c:v>
                </c:pt>
                <c:pt idx="7">
                  <c:v>1.0791218697829723</c:v>
                </c:pt>
                <c:pt idx="8">
                  <c:v>1.0791218697829723</c:v>
                </c:pt>
                <c:pt idx="9">
                  <c:v>1.0791218697829723</c:v>
                </c:pt>
                <c:pt idx="10">
                  <c:v>1.0791218697829723</c:v>
                </c:pt>
                <c:pt idx="11">
                  <c:v>1.0791218697829723</c:v>
                </c:pt>
                <c:pt idx="12">
                  <c:v>1.0791218697829723</c:v>
                </c:pt>
                <c:pt idx="13">
                  <c:v>1.0791218697829723</c:v>
                </c:pt>
                <c:pt idx="14">
                  <c:v>1.0791218697829723</c:v>
                </c:pt>
                <c:pt idx="15">
                  <c:v>1.0791218697829723</c:v>
                </c:pt>
                <c:pt idx="16">
                  <c:v>1.0791218697829723</c:v>
                </c:pt>
                <c:pt idx="17">
                  <c:v>1.0791218697829723</c:v>
                </c:pt>
                <c:pt idx="18">
                  <c:v>1.0791218697829723</c:v>
                </c:pt>
                <c:pt idx="19">
                  <c:v>1.0791218697829723</c:v>
                </c:pt>
                <c:pt idx="20">
                  <c:v>1.0791218697829723</c:v>
                </c:pt>
                <c:pt idx="21">
                  <c:v>1.0791218697829723</c:v>
                </c:pt>
                <c:pt idx="22">
                  <c:v>1.0791218697829723</c:v>
                </c:pt>
                <c:pt idx="23">
                  <c:v>1.0791218697829723</c:v>
                </c:pt>
                <c:pt idx="24">
                  <c:v>1.0791218697829723</c:v>
                </c:pt>
                <c:pt idx="25">
                  <c:v>1.0791218697829723</c:v>
                </c:pt>
                <c:pt idx="26">
                  <c:v>1.0791218697829723</c:v>
                </c:pt>
                <c:pt idx="27">
                  <c:v>1.0791218697829723</c:v>
                </c:pt>
                <c:pt idx="28">
                  <c:v>1.0791218697829723</c:v>
                </c:pt>
                <c:pt idx="29">
                  <c:v>1.0791218697829723</c:v>
                </c:pt>
                <c:pt idx="30">
                  <c:v>1.0791218697829723</c:v>
                </c:pt>
                <c:pt idx="31">
                  <c:v>1.0791218697829723</c:v>
                </c:pt>
                <c:pt idx="32">
                  <c:v>1.0791218697829723</c:v>
                </c:pt>
                <c:pt idx="33">
                  <c:v>1.0791218697829723</c:v>
                </c:pt>
                <c:pt idx="34">
                  <c:v>1.0791218697829723</c:v>
                </c:pt>
                <c:pt idx="35">
                  <c:v>1.0791218697829723</c:v>
                </c:pt>
                <c:pt idx="36">
                  <c:v>1.0791218697829723</c:v>
                </c:pt>
                <c:pt idx="37">
                  <c:v>1.0791218697829723</c:v>
                </c:pt>
                <c:pt idx="38">
                  <c:v>1.0791218697829723</c:v>
                </c:pt>
                <c:pt idx="39">
                  <c:v>1.0791218697829723</c:v>
                </c:pt>
                <c:pt idx="40">
                  <c:v>1.0791218697829723</c:v>
                </c:pt>
                <c:pt idx="41">
                  <c:v>1.0791218697829723</c:v>
                </c:pt>
                <c:pt idx="42">
                  <c:v>1.0791218697829723</c:v>
                </c:pt>
                <c:pt idx="43">
                  <c:v>1.0791218697829723</c:v>
                </c:pt>
                <c:pt idx="44">
                  <c:v>1.0791218697829723</c:v>
                </c:pt>
                <c:pt idx="45">
                  <c:v>1.0791218697829723</c:v>
                </c:pt>
                <c:pt idx="46">
                  <c:v>1.0791218697829723</c:v>
                </c:pt>
                <c:pt idx="47">
                  <c:v>1.0791218697829723</c:v>
                </c:pt>
                <c:pt idx="48">
                  <c:v>1.0791218697829723</c:v>
                </c:pt>
                <c:pt idx="49">
                  <c:v>1.0791218697829723</c:v>
                </c:pt>
                <c:pt idx="50">
                  <c:v>1.0791218697829723</c:v>
                </c:pt>
                <c:pt idx="51">
                  <c:v>1.0791218697829723</c:v>
                </c:pt>
                <c:pt idx="52">
                  <c:v>1.0791218697829723</c:v>
                </c:pt>
                <c:pt idx="53">
                  <c:v>1.0791218697829723</c:v>
                </c:pt>
                <c:pt idx="54">
                  <c:v>1.0791218697829723</c:v>
                </c:pt>
                <c:pt idx="55">
                  <c:v>1.0791218697829723</c:v>
                </c:pt>
                <c:pt idx="56">
                  <c:v>1.0791218697829723</c:v>
                </c:pt>
                <c:pt idx="57">
                  <c:v>1.0791218697829723</c:v>
                </c:pt>
                <c:pt idx="58">
                  <c:v>1.0791218697829723</c:v>
                </c:pt>
                <c:pt idx="59">
                  <c:v>1.0791218697829723</c:v>
                </c:pt>
                <c:pt idx="60">
                  <c:v>1.0791218697829723</c:v>
                </c:pt>
                <c:pt idx="61">
                  <c:v>1.0791218697829723</c:v>
                </c:pt>
                <c:pt idx="62">
                  <c:v>1.0791218697829723</c:v>
                </c:pt>
                <c:pt idx="63">
                  <c:v>1.0791218697829723</c:v>
                </c:pt>
                <c:pt idx="64">
                  <c:v>1.0791218697829723</c:v>
                </c:pt>
                <c:pt idx="65">
                  <c:v>1.0791218697829723</c:v>
                </c:pt>
                <c:pt idx="66">
                  <c:v>1.0791218697829723</c:v>
                </c:pt>
                <c:pt idx="67">
                  <c:v>1.0791218697829723</c:v>
                </c:pt>
                <c:pt idx="68">
                  <c:v>1.0791218697829723</c:v>
                </c:pt>
                <c:pt idx="69">
                  <c:v>1.0791218697829723</c:v>
                </c:pt>
                <c:pt idx="70">
                  <c:v>1.0791218697829723</c:v>
                </c:pt>
                <c:pt idx="71">
                  <c:v>1.0791218697829723</c:v>
                </c:pt>
                <c:pt idx="72">
                  <c:v>1.0791218697829723</c:v>
                </c:pt>
                <c:pt idx="73">
                  <c:v>1.0791218697829723</c:v>
                </c:pt>
                <c:pt idx="74">
                  <c:v>1.0791218697829723</c:v>
                </c:pt>
                <c:pt idx="75">
                  <c:v>1.0791218697829723</c:v>
                </c:pt>
                <c:pt idx="76">
                  <c:v>1.0791218697829723</c:v>
                </c:pt>
                <c:pt idx="77">
                  <c:v>1.0791218697829723</c:v>
                </c:pt>
                <c:pt idx="78">
                  <c:v>1.0791218697829723</c:v>
                </c:pt>
                <c:pt idx="79">
                  <c:v>1.0791218697829723</c:v>
                </c:pt>
                <c:pt idx="80">
                  <c:v>1.0791218697829723</c:v>
                </c:pt>
                <c:pt idx="81">
                  <c:v>1.0791218697829723</c:v>
                </c:pt>
                <c:pt idx="82">
                  <c:v>1.0791218697829723</c:v>
                </c:pt>
                <c:pt idx="83">
                  <c:v>1.0791218697829723</c:v>
                </c:pt>
                <c:pt idx="84">
                  <c:v>1.0791218697829723</c:v>
                </c:pt>
                <c:pt idx="85">
                  <c:v>1.0791218697829723</c:v>
                </c:pt>
                <c:pt idx="86">
                  <c:v>1.0791218697829723</c:v>
                </c:pt>
                <c:pt idx="87">
                  <c:v>1.0791218697829723</c:v>
                </c:pt>
                <c:pt idx="88">
                  <c:v>1.0791218697829723</c:v>
                </c:pt>
                <c:pt idx="89">
                  <c:v>1.0791218697829723</c:v>
                </c:pt>
                <c:pt idx="90">
                  <c:v>1.0791218697829723</c:v>
                </c:pt>
                <c:pt idx="91">
                  <c:v>1.0791218697829723</c:v>
                </c:pt>
                <c:pt idx="92">
                  <c:v>1.0791218697829723</c:v>
                </c:pt>
                <c:pt idx="93">
                  <c:v>1.0791218697829723</c:v>
                </c:pt>
                <c:pt idx="94">
                  <c:v>1.0791218697829723</c:v>
                </c:pt>
                <c:pt idx="95">
                  <c:v>1.0791218697829723</c:v>
                </c:pt>
                <c:pt idx="96">
                  <c:v>1.0791218697829723</c:v>
                </c:pt>
                <c:pt idx="97">
                  <c:v>1.0791218697829723</c:v>
                </c:pt>
                <c:pt idx="98">
                  <c:v>1.0791218697829723</c:v>
                </c:pt>
                <c:pt idx="99">
                  <c:v>1.0791218697829723</c:v>
                </c:pt>
                <c:pt idx="100">
                  <c:v>1.0791218697829723</c:v>
                </c:pt>
                <c:pt idx="101">
                  <c:v>1.0791218697829723</c:v>
                </c:pt>
                <c:pt idx="102">
                  <c:v>1.0791218697829723</c:v>
                </c:pt>
                <c:pt idx="103">
                  <c:v>1.0791218697829723</c:v>
                </c:pt>
                <c:pt idx="104">
                  <c:v>1.0791218697829723</c:v>
                </c:pt>
                <c:pt idx="105">
                  <c:v>1.0791218697829723</c:v>
                </c:pt>
                <c:pt idx="106">
                  <c:v>1.0791218697829723</c:v>
                </c:pt>
                <c:pt idx="107">
                  <c:v>1.0791218697829723</c:v>
                </c:pt>
                <c:pt idx="108">
                  <c:v>1.0791218697829723</c:v>
                </c:pt>
                <c:pt idx="109">
                  <c:v>1.0791218697829723</c:v>
                </c:pt>
                <c:pt idx="110">
                  <c:v>1.0791218697829723</c:v>
                </c:pt>
                <c:pt idx="111">
                  <c:v>1.0791218697829723</c:v>
                </c:pt>
                <c:pt idx="112">
                  <c:v>1.0791218697829723</c:v>
                </c:pt>
                <c:pt idx="113">
                  <c:v>1.0791218697829723</c:v>
                </c:pt>
                <c:pt idx="114">
                  <c:v>1.0791218697829723</c:v>
                </c:pt>
                <c:pt idx="115">
                  <c:v>1.0791218697829723</c:v>
                </c:pt>
                <c:pt idx="116">
                  <c:v>1.0791218697829723</c:v>
                </c:pt>
                <c:pt idx="117">
                  <c:v>1.0791218697829723</c:v>
                </c:pt>
                <c:pt idx="118">
                  <c:v>1.0791218697829723</c:v>
                </c:pt>
                <c:pt idx="119">
                  <c:v>1.0791218697829723</c:v>
                </c:pt>
                <c:pt idx="120">
                  <c:v>1.0791218697829723</c:v>
                </c:pt>
                <c:pt idx="121">
                  <c:v>1.0791218697829723</c:v>
                </c:pt>
                <c:pt idx="122">
                  <c:v>1.0791218697829723</c:v>
                </c:pt>
                <c:pt idx="123">
                  <c:v>1.0791218697829723</c:v>
                </c:pt>
                <c:pt idx="124">
                  <c:v>1.0791218697829723</c:v>
                </c:pt>
                <c:pt idx="125">
                  <c:v>1.0791218697829723</c:v>
                </c:pt>
                <c:pt idx="126">
                  <c:v>1.0791218697829723</c:v>
                </c:pt>
                <c:pt idx="127">
                  <c:v>1.0791218697829723</c:v>
                </c:pt>
                <c:pt idx="128">
                  <c:v>1.0791218697829723</c:v>
                </c:pt>
                <c:pt idx="129">
                  <c:v>1.0791218697829723</c:v>
                </c:pt>
                <c:pt idx="130">
                  <c:v>1.0791218697829723</c:v>
                </c:pt>
                <c:pt idx="131">
                  <c:v>1.0791218697829723</c:v>
                </c:pt>
                <c:pt idx="132">
                  <c:v>1.0791218697829723</c:v>
                </c:pt>
                <c:pt idx="133">
                  <c:v>1.0791218697829723</c:v>
                </c:pt>
                <c:pt idx="134">
                  <c:v>1.0791218697829723</c:v>
                </c:pt>
                <c:pt idx="135">
                  <c:v>1.0791218697829723</c:v>
                </c:pt>
                <c:pt idx="136">
                  <c:v>1.0791218697829723</c:v>
                </c:pt>
                <c:pt idx="137">
                  <c:v>1.0791218697829723</c:v>
                </c:pt>
                <c:pt idx="138">
                  <c:v>1.0791218697829723</c:v>
                </c:pt>
                <c:pt idx="139">
                  <c:v>1.0791218697829723</c:v>
                </c:pt>
                <c:pt idx="140">
                  <c:v>1.0791218697829723</c:v>
                </c:pt>
                <c:pt idx="141">
                  <c:v>1.0791218697829723</c:v>
                </c:pt>
                <c:pt idx="142">
                  <c:v>1.0791218697829723</c:v>
                </c:pt>
                <c:pt idx="143">
                  <c:v>1.0791218697829723</c:v>
                </c:pt>
                <c:pt idx="144">
                  <c:v>1.0791218697829723</c:v>
                </c:pt>
                <c:pt idx="145">
                  <c:v>1.0791218697829723</c:v>
                </c:pt>
                <c:pt idx="146">
                  <c:v>1.0791218697829723</c:v>
                </c:pt>
                <c:pt idx="147">
                  <c:v>1.0791218697829723</c:v>
                </c:pt>
                <c:pt idx="148">
                  <c:v>1.0791218697829723</c:v>
                </c:pt>
                <c:pt idx="149">
                  <c:v>1.0791218697829723</c:v>
                </c:pt>
                <c:pt idx="150">
                  <c:v>1.0791218697829723</c:v>
                </c:pt>
                <c:pt idx="151">
                  <c:v>1.0791218697829723</c:v>
                </c:pt>
                <c:pt idx="152">
                  <c:v>1.0791218697829723</c:v>
                </c:pt>
                <c:pt idx="153">
                  <c:v>1.0791218697829723</c:v>
                </c:pt>
                <c:pt idx="154">
                  <c:v>1.0791218697829723</c:v>
                </c:pt>
                <c:pt idx="155">
                  <c:v>1.0791218697829723</c:v>
                </c:pt>
                <c:pt idx="156">
                  <c:v>1.0791218697829723</c:v>
                </c:pt>
                <c:pt idx="157">
                  <c:v>1.0791218697829723</c:v>
                </c:pt>
                <c:pt idx="158">
                  <c:v>1.0791218697829723</c:v>
                </c:pt>
                <c:pt idx="159">
                  <c:v>1.0791218697829723</c:v>
                </c:pt>
                <c:pt idx="160">
                  <c:v>1.0791218697829723</c:v>
                </c:pt>
                <c:pt idx="161">
                  <c:v>1.0791218697829723</c:v>
                </c:pt>
                <c:pt idx="162">
                  <c:v>1.0791218697829723</c:v>
                </c:pt>
                <c:pt idx="163">
                  <c:v>1.0791218697829723</c:v>
                </c:pt>
                <c:pt idx="164">
                  <c:v>1.0791218697829723</c:v>
                </c:pt>
                <c:pt idx="165">
                  <c:v>1.0791218697829723</c:v>
                </c:pt>
                <c:pt idx="166">
                  <c:v>1.0791218697829723</c:v>
                </c:pt>
                <c:pt idx="167">
                  <c:v>1.0791218697829723</c:v>
                </c:pt>
                <c:pt idx="168">
                  <c:v>1.0791218697829723</c:v>
                </c:pt>
                <c:pt idx="169">
                  <c:v>1.0791218697829723</c:v>
                </c:pt>
                <c:pt idx="170">
                  <c:v>1.0791218697829723</c:v>
                </c:pt>
                <c:pt idx="171">
                  <c:v>1.0791218697829723</c:v>
                </c:pt>
                <c:pt idx="172">
                  <c:v>1.0791218697829723</c:v>
                </c:pt>
                <c:pt idx="173">
                  <c:v>1.0791218697829723</c:v>
                </c:pt>
                <c:pt idx="174">
                  <c:v>1.0791218697829723</c:v>
                </c:pt>
                <c:pt idx="175">
                  <c:v>1.0791218697829723</c:v>
                </c:pt>
                <c:pt idx="176">
                  <c:v>1.0791218697829723</c:v>
                </c:pt>
                <c:pt idx="177">
                  <c:v>1.0791218697829723</c:v>
                </c:pt>
                <c:pt idx="178">
                  <c:v>1.0791218697829723</c:v>
                </c:pt>
                <c:pt idx="179">
                  <c:v>1.0791218697829723</c:v>
                </c:pt>
                <c:pt idx="180">
                  <c:v>1.0791218697829723</c:v>
                </c:pt>
                <c:pt idx="181">
                  <c:v>1.0791218697829723</c:v>
                </c:pt>
                <c:pt idx="182">
                  <c:v>1.0791218697829723</c:v>
                </c:pt>
                <c:pt idx="183">
                  <c:v>1.0791218697829723</c:v>
                </c:pt>
                <c:pt idx="184">
                  <c:v>1.0791218697829723</c:v>
                </c:pt>
                <c:pt idx="185">
                  <c:v>1.0791218697829723</c:v>
                </c:pt>
                <c:pt idx="186">
                  <c:v>1.0791218697829723</c:v>
                </c:pt>
                <c:pt idx="187">
                  <c:v>1.0791218697829723</c:v>
                </c:pt>
                <c:pt idx="188">
                  <c:v>1.0791218697829723</c:v>
                </c:pt>
                <c:pt idx="189">
                  <c:v>1.0791218697829723</c:v>
                </c:pt>
                <c:pt idx="190">
                  <c:v>1.0791218697829723</c:v>
                </c:pt>
                <c:pt idx="191">
                  <c:v>1.0791218697829723</c:v>
                </c:pt>
                <c:pt idx="192">
                  <c:v>1.0791218697829723</c:v>
                </c:pt>
                <c:pt idx="193">
                  <c:v>1.0791218697829723</c:v>
                </c:pt>
                <c:pt idx="194">
                  <c:v>1.0791218697829723</c:v>
                </c:pt>
                <c:pt idx="195">
                  <c:v>1.0791218697829723</c:v>
                </c:pt>
                <c:pt idx="196">
                  <c:v>1.0791218697829723</c:v>
                </c:pt>
                <c:pt idx="197">
                  <c:v>1.0791218697829723</c:v>
                </c:pt>
                <c:pt idx="198">
                  <c:v>1.0791218697829723</c:v>
                </c:pt>
                <c:pt idx="199">
                  <c:v>1.0791218697829723</c:v>
                </c:pt>
                <c:pt idx="200">
                  <c:v>1.0791218697829723</c:v>
                </c:pt>
                <c:pt idx="201">
                  <c:v>1.0791218697829723</c:v>
                </c:pt>
                <c:pt idx="202">
                  <c:v>1.0791218697829723</c:v>
                </c:pt>
                <c:pt idx="203">
                  <c:v>1.0791218697829723</c:v>
                </c:pt>
                <c:pt idx="204">
                  <c:v>1.0791218697829723</c:v>
                </c:pt>
                <c:pt idx="205">
                  <c:v>1.0791218697829723</c:v>
                </c:pt>
                <c:pt idx="206">
                  <c:v>1.0791218697829723</c:v>
                </c:pt>
                <c:pt idx="207">
                  <c:v>1.0791218697829723</c:v>
                </c:pt>
                <c:pt idx="208">
                  <c:v>1.0791218697829723</c:v>
                </c:pt>
                <c:pt idx="209">
                  <c:v>1.0791218697829723</c:v>
                </c:pt>
                <c:pt idx="210">
                  <c:v>1.0791218697829723</c:v>
                </c:pt>
                <c:pt idx="211">
                  <c:v>1.0791218697829723</c:v>
                </c:pt>
                <c:pt idx="212">
                  <c:v>1.0791218697829723</c:v>
                </c:pt>
                <c:pt idx="213">
                  <c:v>1.0791218697829723</c:v>
                </c:pt>
                <c:pt idx="214">
                  <c:v>1.0791218697829723</c:v>
                </c:pt>
                <c:pt idx="215">
                  <c:v>1.0791218697829723</c:v>
                </c:pt>
                <c:pt idx="216">
                  <c:v>1.0791218697829723</c:v>
                </c:pt>
                <c:pt idx="217">
                  <c:v>1.0791218697829723</c:v>
                </c:pt>
                <c:pt idx="218">
                  <c:v>1.0791218697829723</c:v>
                </c:pt>
                <c:pt idx="219">
                  <c:v>1.0791218697829723</c:v>
                </c:pt>
                <c:pt idx="220">
                  <c:v>1.0791218697829723</c:v>
                </c:pt>
                <c:pt idx="221">
                  <c:v>1.0791218697829723</c:v>
                </c:pt>
                <c:pt idx="222">
                  <c:v>1.0791218697829723</c:v>
                </c:pt>
                <c:pt idx="223">
                  <c:v>1.0791218697829723</c:v>
                </c:pt>
                <c:pt idx="224">
                  <c:v>1.0791218697829723</c:v>
                </c:pt>
                <c:pt idx="225">
                  <c:v>1.0791218697829723</c:v>
                </c:pt>
                <c:pt idx="226">
                  <c:v>1.0791218697829723</c:v>
                </c:pt>
                <c:pt idx="227">
                  <c:v>1.0791218697829723</c:v>
                </c:pt>
                <c:pt idx="228">
                  <c:v>1.0791218697829723</c:v>
                </c:pt>
                <c:pt idx="229">
                  <c:v>1.0791218697829723</c:v>
                </c:pt>
                <c:pt idx="230">
                  <c:v>1.0791218697829723</c:v>
                </c:pt>
                <c:pt idx="231">
                  <c:v>1.0791218697829723</c:v>
                </c:pt>
                <c:pt idx="232">
                  <c:v>1.0791218697829723</c:v>
                </c:pt>
                <c:pt idx="233">
                  <c:v>1.0791218697829723</c:v>
                </c:pt>
                <c:pt idx="234">
                  <c:v>1.0791218697829723</c:v>
                </c:pt>
                <c:pt idx="235">
                  <c:v>1.0791218697829723</c:v>
                </c:pt>
                <c:pt idx="236">
                  <c:v>1.0791218697829723</c:v>
                </c:pt>
                <c:pt idx="237">
                  <c:v>1.0791218697829723</c:v>
                </c:pt>
                <c:pt idx="238">
                  <c:v>1.0791218697829723</c:v>
                </c:pt>
                <c:pt idx="239">
                  <c:v>1.0791218697829723</c:v>
                </c:pt>
                <c:pt idx="240">
                  <c:v>1.0791218697829723</c:v>
                </c:pt>
                <c:pt idx="241">
                  <c:v>1.0791218697829723</c:v>
                </c:pt>
                <c:pt idx="242">
                  <c:v>1.0791218697829723</c:v>
                </c:pt>
                <c:pt idx="243">
                  <c:v>1.0791218697829723</c:v>
                </c:pt>
                <c:pt idx="244">
                  <c:v>1.0791218697829723</c:v>
                </c:pt>
                <c:pt idx="245">
                  <c:v>1.0791218697829723</c:v>
                </c:pt>
                <c:pt idx="246">
                  <c:v>1.0791218697829723</c:v>
                </c:pt>
                <c:pt idx="247">
                  <c:v>1.0791218697829723</c:v>
                </c:pt>
                <c:pt idx="248">
                  <c:v>1.0791218697829723</c:v>
                </c:pt>
                <c:pt idx="249">
                  <c:v>1.0791218697829723</c:v>
                </c:pt>
                <c:pt idx="250">
                  <c:v>1.0791218697829723</c:v>
                </c:pt>
                <c:pt idx="251">
                  <c:v>1.0791218697829723</c:v>
                </c:pt>
                <c:pt idx="252">
                  <c:v>1.0791218697829723</c:v>
                </c:pt>
                <c:pt idx="253">
                  <c:v>1.0791218697829723</c:v>
                </c:pt>
                <c:pt idx="254">
                  <c:v>1.0791218697829723</c:v>
                </c:pt>
                <c:pt idx="255">
                  <c:v>1.0791218697829723</c:v>
                </c:pt>
                <c:pt idx="256">
                  <c:v>1.0791218697829723</c:v>
                </c:pt>
                <c:pt idx="257">
                  <c:v>1.0791218697829723</c:v>
                </c:pt>
                <c:pt idx="258">
                  <c:v>1.0791218697829723</c:v>
                </c:pt>
                <c:pt idx="259">
                  <c:v>1.0791218697829723</c:v>
                </c:pt>
                <c:pt idx="260">
                  <c:v>1.0791218697829723</c:v>
                </c:pt>
                <c:pt idx="261">
                  <c:v>1.0791218697829723</c:v>
                </c:pt>
                <c:pt idx="262">
                  <c:v>1.0791218697829723</c:v>
                </c:pt>
                <c:pt idx="263">
                  <c:v>1.0791218697829723</c:v>
                </c:pt>
                <c:pt idx="264">
                  <c:v>1.0791218697829723</c:v>
                </c:pt>
                <c:pt idx="265">
                  <c:v>1.0791218697829723</c:v>
                </c:pt>
                <c:pt idx="266">
                  <c:v>1.0791218697829723</c:v>
                </c:pt>
                <c:pt idx="267">
                  <c:v>1.0791218697829723</c:v>
                </c:pt>
                <c:pt idx="268">
                  <c:v>1.0791218697829723</c:v>
                </c:pt>
                <c:pt idx="269">
                  <c:v>1.0791218697829723</c:v>
                </c:pt>
                <c:pt idx="270">
                  <c:v>1.0791218697829723</c:v>
                </c:pt>
                <c:pt idx="271">
                  <c:v>1.0791218697829723</c:v>
                </c:pt>
                <c:pt idx="272">
                  <c:v>1.0791218697829723</c:v>
                </c:pt>
                <c:pt idx="273">
                  <c:v>1.0791218697829723</c:v>
                </c:pt>
                <c:pt idx="274">
                  <c:v>1.0791218697829723</c:v>
                </c:pt>
                <c:pt idx="275">
                  <c:v>1.0791218697829723</c:v>
                </c:pt>
                <c:pt idx="276">
                  <c:v>1.0791218697829723</c:v>
                </c:pt>
                <c:pt idx="277">
                  <c:v>1.0791218697829723</c:v>
                </c:pt>
                <c:pt idx="278">
                  <c:v>1.0791218697829723</c:v>
                </c:pt>
                <c:pt idx="279">
                  <c:v>1.0791218697829723</c:v>
                </c:pt>
                <c:pt idx="280">
                  <c:v>1.0791218697829723</c:v>
                </c:pt>
                <c:pt idx="281">
                  <c:v>1.0791218697829723</c:v>
                </c:pt>
                <c:pt idx="282">
                  <c:v>1.0791218697829723</c:v>
                </c:pt>
                <c:pt idx="283">
                  <c:v>1.0791218697829723</c:v>
                </c:pt>
                <c:pt idx="284">
                  <c:v>1.0791218697829723</c:v>
                </c:pt>
                <c:pt idx="285">
                  <c:v>1.0791218697829723</c:v>
                </c:pt>
                <c:pt idx="286">
                  <c:v>1.0791218697829723</c:v>
                </c:pt>
                <c:pt idx="287">
                  <c:v>1.0791218697829723</c:v>
                </c:pt>
                <c:pt idx="288">
                  <c:v>1.0791218697829723</c:v>
                </c:pt>
                <c:pt idx="289">
                  <c:v>1.0791218697829723</c:v>
                </c:pt>
                <c:pt idx="290">
                  <c:v>1.0791218697829723</c:v>
                </c:pt>
                <c:pt idx="291">
                  <c:v>1.0791218697829723</c:v>
                </c:pt>
                <c:pt idx="292">
                  <c:v>1.0791218697829723</c:v>
                </c:pt>
                <c:pt idx="293">
                  <c:v>1.0791218697829723</c:v>
                </c:pt>
                <c:pt idx="294">
                  <c:v>1.0791218697829723</c:v>
                </c:pt>
                <c:pt idx="295">
                  <c:v>1.0791218697829723</c:v>
                </c:pt>
                <c:pt idx="296">
                  <c:v>1.0791218697829723</c:v>
                </c:pt>
                <c:pt idx="297">
                  <c:v>1.0791218697829723</c:v>
                </c:pt>
                <c:pt idx="298">
                  <c:v>1.0791218697829723</c:v>
                </c:pt>
                <c:pt idx="299">
                  <c:v>1.0791218697829723</c:v>
                </c:pt>
                <c:pt idx="300">
                  <c:v>1.0791218697829723</c:v>
                </c:pt>
                <c:pt idx="301">
                  <c:v>1.0791218697829723</c:v>
                </c:pt>
                <c:pt idx="302">
                  <c:v>1.0791218697829723</c:v>
                </c:pt>
                <c:pt idx="303">
                  <c:v>1.0791218697829723</c:v>
                </c:pt>
                <c:pt idx="304">
                  <c:v>1.0791218697829723</c:v>
                </c:pt>
                <c:pt idx="305">
                  <c:v>1.0791218697829723</c:v>
                </c:pt>
                <c:pt idx="306">
                  <c:v>1.0791218697829723</c:v>
                </c:pt>
                <c:pt idx="307">
                  <c:v>1.0791218697829723</c:v>
                </c:pt>
                <c:pt idx="308">
                  <c:v>1.0791218697829723</c:v>
                </c:pt>
                <c:pt idx="309">
                  <c:v>1.0791218697829723</c:v>
                </c:pt>
                <c:pt idx="310">
                  <c:v>1.0791218697829723</c:v>
                </c:pt>
                <c:pt idx="311">
                  <c:v>1.0791218697829723</c:v>
                </c:pt>
                <c:pt idx="312">
                  <c:v>1.0791218697829723</c:v>
                </c:pt>
                <c:pt idx="313">
                  <c:v>1.0791218697829723</c:v>
                </c:pt>
                <c:pt idx="314">
                  <c:v>1.0791218697829723</c:v>
                </c:pt>
                <c:pt idx="315">
                  <c:v>1.0791218697829723</c:v>
                </c:pt>
                <c:pt idx="316">
                  <c:v>1.0791218697829723</c:v>
                </c:pt>
                <c:pt idx="317">
                  <c:v>1.0791218697829723</c:v>
                </c:pt>
                <c:pt idx="318">
                  <c:v>1.0791218697829723</c:v>
                </c:pt>
                <c:pt idx="319">
                  <c:v>1.0791218697829723</c:v>
                </c:pt>
                <c:pt idx="320">
                  <c:v>1.0791218697829723</c:v>
                </c:pt>
                <c:pt idx="321">
                  <c:v>1.0791218697829723</c:v>
                </c:pt>
                <c:pt idx="322">
                  <c:v>1.0791218697829723</c:v>
                </c:pt>
                <c:pt idx="323">
                  <c:v>1.0791218697829723</c:v>
                </c:pt>
                <c:pt idx="324">
                  <c:v>1.0791218697829723</c:v>
                </c:pt>
                <c:pt idx="325">
                  <c:v>1.0791218697829723</c:v>
                </c:pt>
                <c:pt idx="326">
                  <c:v>1.0791218697829723</c:v>
                </c:pt>
                <c:pt idx="327">
                  <c:v>1.0791218697829723</c:v>
                </c:pt>
                <c:pt idx="328">
                  <c:v>1.0791218697829723</c:v>
                </c:pt>
                <c:pt idx="329">
                  <c:v>1.0791218697829723</c:v>
                </c:pt>
                <c:pt idx="330">
                  <c:v>1.0791218697829723</c:v>
                </c:pt>
                <c:pt idx="331">
                  <c:v>1.0791218697829723</c:v>
                </c:pt>
                <c:pt idx="332">
                  <c:v>1.0791218697829723</c:v>
                </c:pt>
                <c:pt idx="333">
                  <c:v>1.0791218697829723</c:v>
                </c:pt>
                <c:pt idx="334">
                  <c:v>1.0791218697829723</c:v>
                </c:pt>
                <c:pt idx="335">
                  <c:v>1.0791218697829723</c:v>
                </c:pt>
                <c:pt idx="336">
                  <c:v>1.0791218697829723</c:v>
                </c:pt>
                <c:pt idx="337">
                  <c:v>1.0791218697829723</c:v>
                </c:pt>
                <c:pt idx="338">
                  <c:v>1.0791218697829723</c:v>
                </c:pt>
                <c:pt idx="339">
                  <c:v>1.0791218697829723</c:v>
                </c:pt>
                <c:pt idx="340">
                  <c:v>1.0791218697829723</c:v>
                </c:pt>
                <c:pt idx="341">
                  <c:v>1.0791218697829723</c:v>
                </c:pt>
                <c:pt idx="342">
                  <c:v>1.0791218697829723</c:v>
                </c:pt>
                <c:pt idx="343">
                  <c:v>1.0791218697829723</c:v>
                </c:pt>
                <c:pt idx="344">
                  <c:v>1.0791218697829723</c:v>
                </c:pt>
                <c:pt idx="345">
                  <c:v>1.0791218697829723</c:v>
                </c:pt>
                <c:pt idx="346">
                  <c:v>1.0791218697829723</c:v>
                </c:pt>
                <c:pt idx="347">
                  <c:v>1.0791218697829723</c:v>
                </c:pt>
                <c:pt idx="348">
                  <c:v>1.0791218697829723</c:v>
                </c:pt>
                <c:pt idx="349">
                  <c:v>1.0791218697829723</c:v>
                </c:pt>
                <c:pt idx="350">
                  <c:v>1.0791218697829723</c:v>
                </c:pt>
                <c:pt idx="351">
                  <c:v>1.0791218697829723</c:v>
                </c:pt>
                <c:pt idx="352">
                  <c:v>1.0791218697829723</c:v>
                </c:pt>
                <c:pt idx="353">
                  <c:v>1.0791218697829723</c:v>
                </c:pt>
                <c:pt idx="354">
                  <c:v>1.0791218697829723</c:v>
                </c:pt>
                <c:pt idx="355">
                  <c:v>1.0791218697829723</c:v>
                </c:pt>
                <c:pt idx="356">
                  <c:v>1.0791218697829723</c:v>
                </c:pt>
                <c:pt idx="357">
                  <c:v>1.0791218697829723</c:v>
                </c:pt>
                <c:pt idx="358">
                  <c:v>1.0791218697829723</c:v>
                </c:pt>
                <c:pt idx="359">
                  <c:v>1.0791218697829723</c:v>
                </c:pt>
                <c:pt idx="360">
                  <c:v>1.0791218697829723</c:v>
                </c:pt>
                <c:pt idx="361">
                  <c:v>1.0791218697829723</c:v>
                </c:pt>
                <c:pt idx="362">
                  <c:v>1.0791218697829723</c:v>
                </c:pt>
                <c:pt idx="363">
                  <c:v>1.0791218697829723</c:v>
                </c:pt>
                <c:pt idx="364">
                  <c:v>1.0791218697829723</c:v>
                </c:pt>
                <c:pt idx="365">
                  <c:v>1.0791218697829723</c:v>
                </c:pt>
                <c:pt idx="366">
                  <c:v>1.0791218697829723</c:v>
                </c:pt>
                <c:pt idx="367">
                  <c:v>1.0791218697829723</c:v>
                </c:pt>
                <c:pt idx="368">
                  <c:v>1.0791218697829723</c:v>
                </c:pt>
                <c:pt idx="369">
                  <c:v>1.0791218697829723</c:v>
                </c:pt>
                <c:pt idx="370">
                  <c:v>1.0791218697829723</c:v>
                </c:pt>
                <c:pt idx="371">
                  <c:v>1.0791218697829723</c:v>
                </c:pt>
                <c:pt idx="372">
                  <c:v>1.0791218697829723</c:v>
                </c:pt>
                <c:pt idx="373">
                  <c:v>1.0791218697829723</c:v>
                </c:pt>
                <c:pt idx="374">
                  <c:v>1.0791218697829723</c:v>
                </c:pt>
                <c:pt idx="375">
                  <c:v>1.0791218697829723</c:v>
                </c:pt>
                <c:pt idx="376">
                  <c:v>1.0791218697829723</c:v>
                </c:pt>
                <c:pt idx="377">
                  <c:v>1.0791218697829723</c:v>
                </c:pt>
                <c:pt idx="378">
                  <c:v>1.0791218697829723</c:v>
                </c:pt>
                <c:pt idx="379">
                  <c:v>1.0791218697829723</c:v>
                </c:pt>
                <c:pt idx="380">
                  <c:v>1.0791218697829723</c:v>
                </c:pt>
                <c:pt idx="381">
                  <c:v>1.0791218697829723</c:v>
                </c:pt>
                <c:pt idx="382">
                  <c:v>1.0791218697829723</c:v>
                </c:pt>
                <c:pt idx="383">
                  <c:v>1.0791218697829723</c:v>
                </c:pt>
                <c:pt idx="384">
                  <c:v>1.0791218697829723</c:v>
                </c:pt>
                <c:pt idx="385">
                  <c:v>1.0791218697829723</c:v>
                </c:pt>
                <c:pt idx="386">
                  <c:v>1.0791218697829723</c:v>
                </c:pt>
                <c:pt idx="387">
                  <c:v>1.0791218697829723</c:v>
                </c:pt>
                <c:pt idx="388">
                  <c:v>1.0791218697829723</c:v>
                </c:pt>
                <c:pt idx="389">
                  <c:v>1.0791218697829723</c:v>
                </c:pt>
                <c:pt idx="390">
                  <c:v>1.0791218697829723</c:v>
                </c:pt>
                <c:pt idx="391">
                  <c:v>1.0791218697829723</c:v>
                </c:pt>
                <c:pt idx="392">
                  <c:v>1.0791218697829723</c:v>
                </c:pt>
                <c:pt idx="393">
                  <c:v>1.0791218697829723</c:v>
                </c:pt>
                <c:pt idx="394">
                  <c:v>1.0791218697829723</c:v>
                </c:pt>
                <c:pt idx="395">
                  <c:v>1.0791218697829723</c:v>
                </c:pt>
                <c:pt idx="396">
                  <c:v>1.0791218697829723</c:v>
                </c:pt>
                <c:pt idx="397">
                  <c:v>1.0791218697829723</c:v>
                </c:pt>
                <c:pt idx="398">
                  <c:v>1.0791218697829723</c:v>
                </c:pt>
                <c:pt idx="399">
                  <c:v>1.0791218697829723</c:v>
                </c:pt>
                <c:pt idx="400">
                  <c:v>1.0791218697829723</c:v>
                </c:pt>
                <c:pt idx="401">
                  <c:v>1.0791218697829723</c:v>
                </c:pt>
                <c:pt idx="402">
                  <c:v>1.0791218697829723</c:v>
                </c:pt>
                <c:pt idx="403">
                  <c:v>1.0791218697829723</c:v>
                </c:pt>
                <c:pt idx="404">
                  <c:v>1.0791218697829723</c:v>
                </c:pt>
                <c:pt idx="405">
                  <c:v>1.0791218697829723</c:v>
                </c:pt>
                <c:pt idx="406">
                  <c:v>1.0791218697829723</c:v>
                </c:pt>
                <c:pt idx="407">
                  <c:v>1.0791218697829723</c:v>
                </c:pt>
                <c:pt idx="408">
                  <c:v>1.0791218697829723</c:v>
                </c:pt>
                <c:pt idx="409">
                  <c:v>1.0791218697829723</c:v>
                </c:pt>
                <c:pt idx="410">
                  <c:v>1.0791218697829723</c:v>
                </c:pt>
                <c:pt idx="411">
                  <c:v>1.0791218697829723</c:v>
                </c:pt>
                <c:pt idx="412">
                  <c:v>1.0791218697829723</c:v>
                </c:pt>
                <c:pt idx="413">
                  <c:v>1.0791218697829723</c:v>
                </c:pt>
                <c:pt idx="414">
                  <c:v>1.0791218697829723</c:v>
                </c:pt>
                <c:pt idx="415">
                  <c:v>1.0791218697829723</c:v>
                </c:pt>
                <c:pt idx="416">
                  <c:v>1.0791218697829723</c:v>
                </c:pt>
                <c:pt idx="417">
                  <c:v>1.0791218697829723</c:v>
                </c:pt>
                <c:pt idx="418">
                  <c:v>1.0791218697829723</c:v>
                </c:pt>
                <c:pt idx="419">
                  <c:v>1.0791218697829723</c:v>
                </c:pt>
                <c:pt idx="420">
                  <c:v>1.0791218697829723</c:v>
                </c:pt>
                <c:pt idx="421">
                  <c:v>1.0791218697829723</c:v>
                </c:pt>
                <c:pt idx="422">
                  <c:v>1.0791218697829723</c:v>
                </c:pt>
                <c:pt idx="423">
                  <c:v>1.0791218697829723</c:v>
                </c:pt>
                <c:pt idx="424">
                  <c:v>1.0791218697829723</c:v>
                </c:pt>
                <c:pt idx="425">
                  <c:v>1.0791218697829723</c:v>
                </c:pt>
                <c:pt idx="426">
                  <c:v>1.0791218697829723</c:v>
                </c:pt>
                <c:pt idx="427">
                  <c:v>1.0791218697829723</c:v>
                </c:pt>
                <c:pt idx="428">
                  <c:v>1.0791218697829723</c:v>
                </c:pt>
                <c:pt idx="429">
                  <c:v>1.0791218697829723</c:v>
                </c:pt>
                <c:pt idx="430">
                  <c:v>1.0791218697829723</c:v>
                </c:pt>
                <c:pt idx="431">
                  <c:v>1.0791218697829723</c:v>
                </c:pt>
                <c:pt idx="432">
                  <c:v>1.0791218697829723</c:v>
                </c:pt>
                <c:pt idx="433">
                  <c:v>1.0791218697829723</c:v>
                </c:pt>
                <c:pt idx="434">
                  <c:v>1.0791218697829723</c:v>
                </c:pt>
                <c:pt idx="435">
                  <c:v>1.0791218697829723</c:v>
                </c:pt>
                <c:pt idx="436">
                  <c:v>1.0791218697829723</c:v>
                </c:pt>
                <c:pt idx="437">
                  <c:v>1.0791218697829723</c:v>
                </c:pt>
                <c:pt idx="438">
                  <c:v>1.0791218697829723</c:v>
                </c:pt>
                <c:pt idx="439">
                  <c:v>1.0791218697829723</c:v>
                </c:pt>
                <c:pt idx="440">
                  <c:v>1.0791218697829723</c:v>
                </c:pt>
                <c:pt idx="441">
                  <c:v>1.0791218697829723</c:v>
                </c:pt>
                <c:pt idx="442">
                  <c:v>1.0791218697829723</c:v>
                </c:pt>
                <c:pt idx="443">
                  <c:v>1.0791218697829723</c:v>
                </c:pt>
                <c:pt idx="444">
                  <c:v>1.0791218697829723</c:v>
                </c:pt>
                <c:pt idx="445">
                  <c:v>1.0791218697829723</c:v>
                </c:pt>
                <c:pt idx="446">
                  <c:v>1.0791218697829723</c:v>
                </c:pt>
                <c:pt idx="447">
                  <c:v>1.0791218697829723</c:v>
                </c:pt>
                <c:pt idx="448">
                  <c:v>1.0791218697829723</c:v>
                </c:pt>
                <c:pt idx="449">
                  <c:v>1.0791218697829723</c:v>
                </c:pt>
                <c:pt idx="450">
                  <c:v>1.0791218697829723</c:v>
                </c:pt>
                <c:pt idx="451">
                  <c:v>1.0791218697829723</c:v>
                </c:pt>
                <c:pt idx="452">
                  <c:v>1.0791218697829723</c:v>
                </c:pt>
                <c:pt idx="453">
                  <c:v>1.0791218697829723</c:v>
                </c:pt>
                <c:pt idx="454">
                  <c:v>1.0791218697829723</c:v>
                </c:pt>
                <c:pt idx="455">
                  <c:v>1.0791218697829723</c:v>
                </c:pt>
                <c:pt idx="456">
                  <c:v>1.0791218697829723</c:v>
                </c:pt>
                <c:pt idx="457">
                  <c:v>1.0791218697829723</c:v>
                </c:pt>
                <c:pt idx="458">
                  <c:v>1.0791218697829723</c:v>
                </c:pt>
                <c:pt idx="459">
                  <c:v>1.0791218697829723</c:v>
                </c:pt>
                <c:pt idx="460">
                  <c:v>1.0791218697829723</c:v>
                </c:pt>
                <c:pt idx="461">
                  <c:v>1.0791218697829723</c:v>
                </c:pt>
                <c:pt idx="462">
                  <c:v>1.0791218697829723</c:v>
                </c:pt>
                <c:pt idx="463">
                  <c:v>1.0791218697829723</c:v>
                </c:pt>
                <c:pt idx="464">
                  <c:v>1.0791218697829723</c:v>
                </c:pt>
                <c:pt idx="465">
                  <c:v>1.0791218697829723</c:v>
                </c:pt>
                <c:pt idx="466">
                  <c:v>1.0791218697829723</c:v>
                </c:pt>
                <c:pt idx="467">
                  <c:v>1.0791218697829723</c:v>
                </c:pt>
                <c:pt idx="468">
                  <c:v>1.0791218697829723</c:v>
                </c:pt>
                <c:pt idx="469">
                  <c:v>1.0791218697829723</c:v>
                </c:pt>
                <c:pt idx="470">
                  <c:v>1.0791218697829723</c:v>
                </c:pt>
                <c:pt idx="471">
                  <c:v>1.0791218697829723</c:v>
                </c:pt>
                <c:pt idx="472">
                  <c:v>1.0791218697829723</c:v>
                </c:pt>
                <c:pt idx="473">
                  <c:v>1.0791218697829723</c:v>
                </c:pt>
                <c:pt idx="474">
                  <c:v>1.0791218697829723</c:v>
                </c:pt>
                <c:pt idx="475">
                  <c:v>1.0791218697829723</c:v>
                </c:pt>
                <c:pt idx="476">
                  <c:v>1.0791218697829723</c:v>
                </c:pt>
                <c:pt idx="477">
                  <c:v>1.0791218697829723</c:v>
                </c:pt>
                <c:pt idx="478">
                  <c:v>1.0791218697829723</c:v>
                </c:pt>
                <c:pt idx="479">
                  <c:v>1.0791218697829723</c:v>
                </c:pt>
                <c:pt idx="480">
                  <c:v>1.0791218697829723</c:v>
                </c:pt>
                <c:pt idx="481">
                  <c:v>1.0791218697829723</c:v>
                </c:pt>
                <c:pt idx="482">
                  <c:v>1.0791218697829723</c:v>
                </c:pt>
                <c:pt idx="483">
                  <c:v>1.0791218697829723</c:v>
                </c:pt>
                <c:pt idx="484">
                  <c:v>1.0791218697829723</c:v>
                </c:pt>
                <c:pt idx="485">
                  <c:v>1.0791218697829723</c:v>
                </c:pt>
                <c:pt idx="486">
                  <c:v>1.0791218697829723</c:v>
                </c:pt>
                <c:pt idx="487">
                  <c:v>1.0791218697829723</c:v>
                </c:pt>
                <c:pt idx="488">
                  <c:v>1.0791218697829723</c:v>
                </c:pt>
                <c:pt idx="489">
                  <c:v>1.0791218697829723</c:v>
                </c:pt>
                <c:pt idx="490">
                  <c:v>1.0791218697829723</c:v>
                </c:pt>
                <c:pt idx="491">
                  <c:v>1.0791218697829723</c:v>
                </c:pt>
                <c:pt idx="492">
                  <c:v>1.0791218697829723</c:v>
                </c:pt>
                <c:pt idx="493">
                  <c:v>1.0791218697829723</c:v>
                </c:pt>
                <c:pt idx="494">
                  <c:v>1.0791218697829723</c:v>
                </c:pt>
                <c:pt idx="495">
                  <c:v>1.0791218697829723</c:v>
                </c:pt>
                <c:pt idx="496">
                  <c:v>1.0791218697829723</c:v>
                </c:pt>
                <c:pt idx="497">
                  <c:v>1.0791218697829723</c:v>
                </c:pt>
                <c:pt idx="498">
                  <c:v>1.0791218697829723</c:v>
                </c:pt>
                <c:pt idx="499">
                  <c:v>1.0791218697829723</c:v>
                </c:pt>
                <c:pt idx="500">
                  <c:v>1.0791218697829723</c:v>
                </c:pt>
                <c:pt idx="501">
                  <c:v>1.0791218697829723</c:v>
                </c:pt>
                <c:pt idx="502">
                  <c:v>1.0791218697829723</c:v>
                </c:pt>
                <c:pt idx="503">
                  <c:v>1.0791218697829723</c:v>
                </c:pt>
                <c:pt idx="504">
                  <c:v>1.0791218697829723</c:v>
                </c:pt>
                <c:pt idx="505">
                  <c:v>1.0791218697829723</c:v>
                </c:pt>
                <c:pt idx="506">
                  <c:v>1.0791218697829723</c:v>
                </c:pt>
                <c:pt idx="507">
                  <c:v>1.0791218697829723</c:v>
                </c:pt>
                <c:pt idx="508">
                  <c:v>1.0791218697829723</c:v>
                </c:pt>
                <c:pt idx="509">
                  <c:v>1.0791218697829723</c:v>
                </c:pt>
                <c:pt idx="510">
                  <c:v>1.0791218697829723</c:v>
                </c:pt>
                <c:pt idx="511">
                  <c:v>1.0791218697829723</c:v>
                </c:pt>
                <c:pt idx="512">
                  <c:v>1.0791218697829723</c:v>
                </c:pt>
                <c:pt idx="513">
                  <c:v>1.0791218697829723</c:v>
                </c:pt>
                <c:pt idx="514">
                  <c:v>1.0791218697829723</c:v>
                </c:pt>
                <c:pt idx="515">
                  <c:v>1.0791218697829723</c:v>
                </c:pt>
                <c:pt idx="516">
                  <c:v>1.0791218697829723</c:v>
                </c:pt>
                <c:pt idx="517">
                  <c:v>1.0791218697829723</c:v>
                </c:pt>
                <c:pt idx="518">
                  <c:v>1.0791218697829723</c:v>
                </c:pt>
                <c:pt idx="519">
                  <c:v>1.0791218697829723</c:v>
                </c:pt>
                <c:pt idx="520">
                  <c:v>1.0791218697829723</c:v>
                </c:pt>
                <c:pt idx="521">
                  <c:v>1.0791218697829723</c:v>
                </c:pt>
                <c:pt idx="522">
                  <c:v>1.0791218697829723</c:v>
                </c:pt>
                <c:pt idx="523">
                  <c:v>1.0791218697829723</c:v>
                </c:pt>
                <c:pt idx="524">
                  <c:v>1.0791218697829723</c:v>
                </c:pt>
                <c:pt idx="525">
                  <c:v>1.0791218697829723</c:v>
                </c:pt>
                <c:pt idx="526">
                  <c:v>1.0791218697829723</c:v>
                </c:pt>
                <c:pt idx="527">
                  <c:v>1.0791218697829723</c:v>
                </c:pt>
                <c:pt idx="528">
                  <c:v>1.0791218697829723</c:v>
                </c:pt>
                <c:pt idx="529">
                  <c:v>1.0791218697829723</c:v>
                </c:pt>
                <c:pt idx="530">
                  <c:v>1.0791218697829723</c:v>
                </c:pt>
                <c:pt idx="531">
                  <c:v>1.0791218697829723</c:v>
                </c:pt>
                <c:pt idx="532">
                  <c:v>1.0791218697829723</c:v>
                </c:pt>
                <c:pt idx="533">
                  <c:v>1.0791218697829723</c:v>
                </c:pt>
                <c:pt idx="534">
                  <c:v>1.0791218697829723</c:v>
                </c:pt>
                <c:pt idx="535">
                  <c:v>1.0791218697829723</c:v>
                </c:pt>
                <c:pt idx="536">
                  <c:v>1.0791218697829723</c:v>
                </c:pt>
                <c:pt idx="537">
                  <c:v>1.0791218697829723</c:v>
                </c:pt>
                <c:pt idx="538">
                  <c:v>1.0791218697829723</c:v>
                </c:pt>
                <c:pt idx="539">
                  <c:v>1.0791218697829723</c:v>
                </c:pt>
                <c:pt idx="540">
                  <c:v>1.0791218697829723</c:v>
                </c:pt>
                <c:pt idx="541">
                  <c:v>1.0791218697829723</c:v>
                </c:pt>
                <c:pt idx="542">
                  <c:v>1.0791218697829723</c:v>
                </c:pt>
                <c:pt idx="543">
                  <c:v>1.0791218697829723</c:v>
                </c:pt>
                <c:pt idx="544">
                  <c:v>1.0791218697829723</c:v>
                </c:pt>
                <c:pt idx="545">
                  <c:v>1.0791218697829723</c:v>
                </c:pt>
                <c:pt idx="546">
                  <c:v>1.0791218697829723</c:v>
                </c:pt>
                <c:pt idx="547">
                  <c:v>1.0791218697829723</c:v>
                </c:pt>
                <c:pt idx="548">
                  <c:v>1.0791218697829723</c:v>
                </c:pt>
                <c:pt idx="549">
                  <c:v>1.0791218697829723</c:v>
                </c:pt>
                <c:pt idx="550">
                  <c:v>1.0791218697829723</c:v>
                </c:pt>
                <c:pt idx="551">
                  <c:v>1.0791218697829723</c:v>
                </c:pt>
                <c:pt idx="552">
                  <c:v>1.0791218697829723</c:v>
                </c:pt>
                <c:pt idx="553">
                  <c:v>1.0791218697829723</c:v>
                </c:pt>
                <c:pt idx="554">
                  <c:v>1.0791218697829723</c:v>
                </c:pt>
                <c:pt idx="555">
                  <c:v>1.0791218697829723</c:v>
                </c:pt>
                <c:pt idx="556">
                  <c:v>1.0791218697829723</c:v>
                </c:pt>
                <c:pt idx="557">
                  <c:v>1.0791218697829723</c:v>
                </c:pt>
                <c:pt idx="558">
                  <c:v>1.0791218697829723</c:v>
                </c:pt>
                <c:pt idx="559">
                  <c:v>1.0791218697829723</c:v>
                </c:pt>
                <c:pt idx="560">
                  <c:v>1.0791218697829723</c:v>
                </c:pt>
                <c:pt idx="561">
                  <c:v>1.0791218697829723</c:v>
                </c:pt>
                <c:pt idx="562">
                  <c:v>1.0791218697829723</c:v>
                </c:pt>
                <c:pt idx="563">
                  <c:v>1.0791218697829723</c:v>
                </c:pt>
                <c:pt idx="564">
                  <c:v>1.0791218697829723</c:v>
                </c:pt>
                <c:pt idx="565">
                  <c:v>1.0791218697829723</c:v>
                </c:pt>
                <c:pt idx="566">
                  <c:v>1.0791218697829723</c:v>
                </c:pt>
                <c:pt idx="567">
                  <c:v>1.0791218697829723</c:v>
                </c:pt>
                <c:pt idx="568">
                  <c:v>1.0791218697829723</c:v>
                </c:pt>
                <c:pt idx="569">
                  <c:v>1.0791218697829723</c:v>
                </c:pt>
                <c:pt idx="570">
                  <c:v>1.0791218697829723</c:v>
                </c:pt>
                <c:pt idx="571">
                  <c:v>1.0791218697829723</c:v>
                </c:pt>
                <c:pt idx="572">
                  <c:v>1.0791218697829723</c:v>
                </c:pt>
                <c:pt idx="573">
                  <c:v>1.0791218697829723</c:v>
                </c:pt>
                <c:pt idx="574">
                  <c:v>1.0791218697829723</c:v>
                </c:pt>
                <c:pt idx="575">
                  <c:v>1.0791218697829723</c:v>
                </c:pt>
                <c:pt idx="576">
                  <c:v>1.0791218697829723</c:v>
                </c:pt>
                <c:pt idx="577">
                  <c:v>1.0791218697829723</c:v>
                </c:pt>
                <c:pt idx="578">
                  <c:v>1.0791218697829723</c:v>
                </c:pt>
                <c:pt idx="579">
                  <c:v>1.0791218697829723</c:v>
                </c:pt>
                <c:pt idx="580">
                  <c:v>1.0791218697829723</c:v>
                </c:pt>
                <c:pt idx="581">
                  <c:v>1.0791218697829723</c:v>
                </c:pt>
                <c:pt idx="582">
                  <c:v>1.0791218697829723</c:v>
                </c:pt>
                <c:pt idx="583">
                  <c:v>1.0791218697829723</c:v>
                </c:pt>
                <c:pt idx="584">
                  <c:v>1.0791218697829723</c:v>
                </c:pt>
                <c:pt idx="585">
                  <c:v>1.0791218697829723</c:v>
                </c:pt>
                <c:pt idx="586">
                  <c:v>1.0791218697829723</c:v>
                </c:pt>
                <c:pt idx="587">
                  <c:v>1.0791218697829723</c:v>
                </c:pt>
                <c:pt idx="588">
                  <c:v>1.0791218697829723</c:v>
                </c:pt>
                <c:pt idx="589">
                  <c:v>1.0791218697829723</c:v>
                </c:pt>
                <c:pt idx="590">
                  <c:v>1.0791218697829723</c:v>
                </c:pt>
                <c:pt idx="591">
                  <c:v>1.0791218697829723</c:v>
                </c:pt>
                <c:pt idx="592">
                  <c:v>1.0791218697829723</c:v>
                </c:pt>
                <c:pt idx="593">
                  <c:v>1.0791218697829723</c:v>
                </c:pt>
                <c:pt idx="594">
                  <c:v>1.0791218697829723</c:v>
                </c:pt>
                <c:pt idx="595">
                  <c:v>1.0791218697829723</c:v>
                </c:pt>
                <c:pt idx="596">
                  <c:v>1.0791218697829723</c:v>
                </c:pt>
                <c:pt idx="597">
                  <c:v>1.0791218697829723</c:v>
                </c:pt>
                <c:pt idx="598">
                  <c:v>1.0791218697829723</c:v>
                </c:pt>
                <c:pt idx="599">
                  <c:v>1.0791218697829723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E0-4A14-860A-3E617E2D7880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Thickness_IMR!$A$13:$A$612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Thickness_IMR!$I$13:$I$612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DE0-4A14-860A-3E617E2D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I Chart - TTV(um)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TTV(um)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TTV_IMR!$B$13:$B$612</c:f>
              <c:numCache>
                <c:formatCode>0.0000</c:formatCode>
                <c:ptCount val="600"/>
                <c:pt idx="0">
                  <c:v>0.72199999999999998</c:v>
                </c:pt>
                <c:pt idx="1">
                  <c:v>0.159</c:v>
                </c:pt>
                <c:pt idx="2">
                  <c:v>6.6000000000000003E-2</c:v>
                </c:pt>
                <c:pt idx="3">
                  <c:v>0.36099999999999999</c:v>
                </c:pt>
                <c:pt idx="4">
                  <c:v>0.27900000000000003</c:v>
                </c:pt>
                <c:pt idx="5">
                  <c:v>0.28299999999999997</c:v>
                </c:pt>
                <c:pt idx="6">
                  <c:v>0.29899999999999999</c:v>
                </c:pt>
                <c:pt idx="7">
                  <c:v>0.55200000000000005</c:v>
                </c:pt>
                <c:pt idx="8">
                  <c:v>0.40799999999999997</c:v>
                </c:pt>
                <c:pt idx="9">
                  <c:v>0.51800000000000002</c:v>
                </c:pt>
                <c:pt idx="10">
                  <c:v>0.495</c:v>
                </c:pt>
                <c:pt idx="11">
                  <c:v>0.45300000000000001</c:v>
                </c:pt>
                <c:pt idx="12">
                  <c:v>0.33</c:v>
                </c:pt>
                <c:pt idx="13">
                  <c:v>0.51900000000000002</c:v>
                </c:pt>
                <c:pt idx="14">
                  <c:v>0.34100000000000003</c:v>
                </c:pt>
                <c:pt idx="15">
                  <c:v>0.996</c:v>
                </c:pt>
                <c:pt idx="16">
                  <c:v>0.252</c:v>
                </c:pt>
                <c:pt idx="17">
                  <c:v>0.13</c:v>
                </c:pt>
                <c:pt idx="18">
                  <c:v>0.44800000000000001</c:v>
                </c:pt>
                <c:pt idx="19">
                  <c:v>0.434</c:v>
                </c:pt>
                <c:pt idx="20">
                  <c:v>0.215</c:v>
                </c:pt>
                <c:pt idx="21">
                  <c:v>0.309</c:v>
                </c:pt>
                <c:pt idx="22">
                  <c:v>0.125</c:v>
                </c:pt>
                <c:pt idx="23">
                  <c:v>0.27200000000000002</c:v>
                </c:pt>
                <c:pt idx="24">
                  <c:v>0.309</c:v>
                </c:pt>
                <c:pt idx="25">
                  <c:v>0.43099999999999999</c:v>
                </c:pt>
                <c:pt idx="26">
                  <c:v>0.23499999999999999</c:v>
                </c:pt>
                <c:pt idx="27">
                  <c:v>0.249</c:v>
                </c:pt>
                <c:pt idx="28">
                  <c:v>0.311</c:v>
                </c:pt>
                <c:pt idx="29">
                  <c:v>0.26200000000000001</c:v>
                </c:pt>
                <c:pt idx="30">
                  <c:v>0.33300000000000002</c:v>
                </c:pt>
                <c:pt idx="31">
                  <c:v>0.26400000000000001</c:v>
                </c:pt>
                <c:pt idx="32">
                  <c:v>0.58899999999999997</c:v>
                </c:pt>
                <c:pt idx="33">
                  <c:v>1.044</c:v>
                </c:pt>
                <c:pt idx="34">
                  <c:v>0.57099999999999995</c:v>
                </c:pt>
                <c:pt idx="35">
                  <c:v>0.80500000000000005</c:v>
                </c:pt>
                <c:pt idx="36">
                  <c:v>0.40699999999999997</c:v>
                </c:pt>
                <c:pt idx="37">
                  <c:v>1.1319999999999999</c:v>
                </c:pt>
                <c:pt idx="38">
                  <c:v>0.46100000000000002</c:v>
                </c:pt>
                <c:pt idx="39">
                  <c:v>0.44900000000000001</c:v>
                </c:pt>
                <c:pt idx="40">
                  <c:v>0.443</c:v>
                </c:pt>
                <c:pt idx="41">
                  <c:v>0.41899999999999998</c:v>
                </c:pt>
                <c:pt idx="42">
                  <c:v>0.45700000000000002</c:v>
                </c:pt>
                <c:pt idx="43">
                  <c:v>0.437</c:v>
                </c:pt>
                <c:pt idx="44">
                  <c:v>0.502</c:v>
                </c:pt>
                <c:pt idx="45">
                  <c:v>0.23799999999999999</c:v>
                </c:pt>
                <c:pt idx="46">
                  <c:v>0.17</c:v>
                </c:pt>
                <c:pt idx="47">
                  <c:v>0.35599999999999998</c:v>
                </c:pt>
                <c:pt idx="48">
                  <c:v>0.33100000000000002</c:v>
                </c:pt>
                <c:pt idx="49">
                  <c:v>0.58599999999999997</c:v>
                </c:pt>
                <c:pt idx="50">
                  <c:v>0.14599999999999999</c:v>
                </c:pt>
                <c:pt idx="51">
                  <c:v>0.432</c:v>
                </c:pt>
                <c:pt idx="52">
                  <c:v>0.26400000000000001</c:v>
                </c:pt>
                <c:pt idx="53">
                  <c:v>0.33400000000000002</c:v>
                </c:pt>
                <c:pt idx="54">
                  <c:v>0.36899999999999999</c:v>
                </c:pt>
                <c:pt idx="55">
                  <c:v>0.23599999999999999</c:v>
                </c:pt>
                <c:pt idx="56">
                  <c:v>0.60299999999999998</c:v>
                </c:pt>
                <c:pt idx="57">
                  <c:v>0.41099999999999998</c:v>
                </c:pt>
                <c:pt idx="58">
                  <c:v>0.38900000000000001</c:v>
                </c:pt>
                <c:pt idx="59">
                  <c:v>0.27</c:v>
                </c:pt>
                <c:pt idx="60">
                  <c:v>0.43</c:v>
                </c:pt>
                <c:pt idx="61">
                  <c:v>0.496</c:v>
                </c:pt>
                <c:pt idx="62">
                  <c:v>0.29899999999999999</c:v>
                </c:pt>
                <c:pt idx="63">
                  <c:v>0.31</c:v>
                </c:pt>
                <c:pt idx="64">
                  <c:v>0.34100000000000003</c:v>
                </c:pt>
                <c:pt idx="65">
                  <c:v>0.86</c:v>
                </c:pt>
                <c:pt idx="66">
                  <c:v>0.879</c:v>
                </c:pt>
                <c:pt idx="67">
                  <c:v>0.246</c:v>
                </c:pt>
                <c:pt idx="68">
                  <c:v>0.14699999999999999</c:v>
                </c:pt>
                <c:pt idx="69">
                  <c:v>0.34200000000000003</c:v>
                </c:pt>
                <c:pt idx="70">
                  <c:v>0.313</c:v>
                </c:pt>
                <c:pt idx="71">
                  <c:v>0.27200000000000002</c:v>
                </c:pt>
                <c:pt idx="72">
                  <c:v>0.34</c:v>
                </c:pt>
                <c:pt idx="73">
                  <c:v>0.35699999999999998</c:v>
                </c:pt>
                <c:pt idx="74">
                  <c:v>0.32100000000000001</c:v>
                </c:pt>
                <c:pt idx="75">
                  <c:v>0.24</c:v>
                </c:pt>
                <c:pt idx="76">
                  <c:v>0.159</c:v>
                </c:pt>
                <c:pt idx="77">
                  <c:v>0.16300000000000001</c:v>
                </c:pt>
                <c:pt idx="78">
                  <c:v>0.48499999999999999</c:v>
                </c:pt>
                <c:pt idx="79">
                  <c:v>0.34499999999999997</c:v>
                </c:pt>
                <c:pt idx="80">
                  <c:v>0.156</c:v>
                </c:pt>
                <c:pt idx="81">
                  <c:v>0.318</c:v>
                </c:pt>
                <c:pt idx="82">
                  <c:v>1.2749999999999999</c:v>
                </c:pt>
                <c:pt idx="83">
                  <c:v>1.256</c:v>
                </c:pt>
                <c:pt idx="84">
                  <c:v>1.2410000000000001</c:v>
                </c:pt>
                <c:pt idx="85">
                  <c:v>1.286</c:v>
                </c:pt>
                <c:pt idx="86">
                  <c:v>1.3440000000000001</c:v>
                </c:pt>
                <c:pt idx="87">
                  <c:v>1.1539999999999999</c:v>
                </c:pt>
                <c:pt idx="88">
                  <c:v>1.2669999999999999</c:v>
                </c:pt>
                <c:pt idx="89">
                  <c:v>0.23100000000000001</c:v>
                </c:pt>
                <c:pt idx="90">
                  <c:v>0.25700000000000001</c:v>
                </c:pt>
                <c:pt idx="91">
                  <c:v>0.372</c:v>
                </c:pt>
                <c:pt idx="92">
                  <c:v>0.20899999999999999</c:v>
                </c:pt>
                <c:pt idx="93">
                  <c:v>0.35</c:v>
                </c:pt>
                <c:pt idx="94">
                  <c:v>0.66700000000000004</c:v>
                </c:pt>
                <c:pt idx="95">
                  <c:v>0.40600000000000003</c:v>
                </c:pt>
                <c:pt idx="96">
                  <c:v>0.14099999999999999</c:v>
                </c:pt>
                <c:pt idx="97">
                  <c:v>0.246</c:v>
                </c:pt>
                <c:pt idx="98">
                  <c:v>0.20300000000000001</c:v>
                </c:pt>
                <c:pt idx="99">
                  <c:v>0.4</c:v>
                </c:pt>
                <c:pt idx="100">
                  <c:v>0.20399999999999999</c:v>
                </c:pt>
                <c:pt idx="101">
                  <c:v>0.20699999999999999</c:v>
                </c:pt>
                <c:pt idx="102">
                  <c:v>0.36</c:v>
                </c:pt>
                <c:pt idx="103">
                  <c:v>0.34499999999999997</c:v>
                </c:pt>
                <c:pt idx="104">
                  <c:v>0.33900000000000002</c:v>
                </c:pt>
                <c:pt idx="105">
                  <c:v>0.35899999999999999</c:v>
                </c:pt>
                <c:pt idx="106">
                  <c:v>0.38400000000000001</c:v>
                </c:pt>
                <c:pt idx="107">
                  <c:v>0.25600000000000001</c:v>
                </c:pt>
                <c:pt idx="108">
                  <c:v>0.30599999999999999</c:v>
                </c:pt>
                <c:pt idx="109">
                  <c:v>0.48499999999999999</c:v>
                </c:pt>
                <c:pt idx="110">
                  <c:v>0.59799999999999998</c:v>
                </c:pt>
                <c:pt idx="111">
                  <c:v>0.57999999999999996</c:v>
                </c:pt>
                <c:pt idx="112">
                  <c:v>0.57899999999999996</c:v>
                </c:pt>
                <c:pt idx="113">
                  <c:v>0.57399999999999995</c:v>
                </c:pt>
                <c:pt idx="114">
                  <c:v>0.33200000000000002</c:v>
                </c:pt>
                <c:pt idx="115">
                  <c:v>0.374</c:v>
                </c:pt>
                <c:pt idx="116">
                  <c:v>0.36299999999999999</c:v>
                </c:pt>
                <c:pt idx="117">
                  <c:v>0.33300000000000002</c:v>
                </c:pt>
                <c:pt idx="118">
                  <c:v>0.18</c:v>
                </c:pt>
                <c:pt idx="119">
                  <c:v>0.19900000000000001</c:v>
                </c:pt>
                <c:pt idx="120">
                  <c:v>0.377</c:v>
                </c:pt>
                <c:pt idx="121">
                  <c:v>0.28499999999999998</c:v>
                </c:pt>
                <c:pt idx="122">
                  <c:v>0.27300000000000002</c:v>
                </c:pt>
                <c:pt idx="123">
                  <c:v>0.16600000000000001</c:v>
                </c:pt>
                <c:pt idx="124">
                  <c:v>0.32800000000000001</c:v>
                </c:pt>
                <c:pt idx="125">
                  <c:v>0.27700000000000002</c:v>
                </c:pt>
                <c:pt idx="126">
                  <c:v>6.7000000000000004E-2</c:v>
                </c:pt>
                <c:pt idx="127">
                  <c:v>0.105</c:v>
                </c:pt>
                <c:pt idx="128">
                  <c:v>0.187</c:v>
                </c:pt>
                <c:pt idx="129">
                  <c:v>0.45100000000000001</c:v>
                </c:pt>
                <c:pt idx="130">
                  <c:v>0.35899999999999999</c:v>
                </c:pt>
                <c:pt idx="131">
                  <c:v>0.28000000000000003</c:v>
                </c:pt>
                <c:pt idx="132">
                  <c:v>0.38</c:v>
                </c:pt>
                <c:pt idx="133">
                  <c:v>0.42699999999999999</c:v>
                </c:pt>
                <c:pt idx="134">
                  <c:v>0.46100000000000002</c:v>
                </c:pt>
                <c:pt idx="135">
                  <c:v>0.25</c:v>
                </c:pt>
                <c:pt idx="136">
                  <c:v>0.49099999999999999</c:v>
                </c:pt>
                <c:pt idx="137">
                  <c:v>0.44900000000000001</c:v>
                </c:pt>
                <c:pt idx="138">
                  <c:v>0.51200000000000001</c:v>
                </c:pt>
                <c:pt idx="139">
                  <c:v>0.496</c:v>
                </c:pt>
                <c:pt idx="140">
                  <c:v>0.316</c:v>
                </c:pt>
                <c:pt idx="141">
                  <c:v>0.34</c:v>
                </c:pt>
                <c:pt idx="142">
                  <c:v>0.47599999999999998</c:v>
                </c:pt>
                <c:pt idx="143">
                  <c:v>0.14599999999999999</c:v>
                </c:pt>
                <c:pt idx="144">
                  <c:v>0.27300000000000002</c:v>
                </c:pt>
                <c:pt idx="145">
                  <c:v>0.09</c:v>
                </c:pt>
                <c:pt idx="146">
                  <c:v>0.38700000000000001</c:v>
                </c:pt>
                <c:pt idx="147">
                  <c:v>0.373</c:v>
                </c:pt>
                <c:pt idx="148">
                  <c:v>0.39700000000000002</c:v>
                </c:pt>
                <c:pt idx="149">
                  <c:v>0.309</c:v>
                </c:pt>
                <c:pt idx="150">
                  <c:v>0.38300000000000001</c:v>
                </c:pt>
                <c:pt idx="151">
                  <c:v>0.315</c:v>
                </c:pt>
                <c:pt idx="152">
                  <c:v>0.21</c:v>
                </c:pt>
                <c:pt idx="153">
                  <c:v>1.208</c:v>
                </c:pt>
                <c:pt idx="154">
                  <c:v>0.27700000000000002</c:v>
                </c:pt>
                <c:pt idx="155">
                  <c:v>0.48199999999999998</c:v>
                </c:pt>
                <c:pt idx="156">
                  <c:v>0.33500000000000002</c:v>
                </c:pt>
                <c:pt idx="157">
                  <c:v>0.309</c:v>
                </c:pt>
                <c:pt idx="158">
                  <c:v>0.248</c:v>
                </c:pt>
                <c:pt idx="159">
                  <c:v>0.47599999999999998</c:v>
                </c:pt>
                <c:pt idx="160">
                  <c:v>0.34899999999999998</c:v>
                </c:pt>
                <c:pt idx="161">
                  <c:v>0.95199999999999996</c:v>
                </c:pt>
                <c:pt idx="162">
                  <c:v>0.31900000000000001</c:v>
                </c:pt>
                <c:pt idx="163">
                  <c:v>0.157</c:v>
                </c:pt>
                <c:pt idx="164">
                  <c:v>0.26</c:v>
                </c:pt>
                <c:pt idx="165">
                  <c:v>0.14499999999999999</c:v>
                </c:pt>
                <c:pt idx="166">
                  <c:v>0.20899999999999999</c:v>
                </c:pt>
                <c:pt idx="167">
                  <c:v>0.216</c:v>
                </c:pt>
                <c:pt idx="168">
                  <c:v>0.221</c:v>
                </c:pt>
                <c:pt idx="169">
                  <c:v>0.34300000000000003</c:v>
                </c:pt>
                <c:pt idx="170">
                  <c:v>0.29499999999999998</c:v>
                </c:pt>
                <c:pt idx="171">
                  <c:v>0.3</c:v>
                </c:pt>
                <c:pt idx="172">
                  <c:v>0.17699999999999999</c:v>
                </c:pt>
                <c:pt idx="173">
                  <c:v>0.159</c:v>
                </c:pt>
                <c:pt idx="174">
                  <c:v>0.156</c:v>
                </c:pt>
                <c:pt idx="175">
                  <c:v>1.1619999999999999</c:v>
                </c:pt>
                <c:pt idx="176">
                  <c:v>0.47399999999999998</c:v>
                </c:pt>
                <c:pt idx="177">
                  <c:v>0.34599999999999997</c:v>
                </c:pt>
                <c:pt idx="178">
                  <c:v>0.46</c:v>
                </c:pt>
                <c:pt idx="179">
                  <c:v>0.51</c:v>
                </c:pt>
                <c:pt idx="180">
                  <c:v>0.32</c:v>
                </c:pt>
                <c:pt idx="181">
                  <c:v>0.74099999999999999</c:v>
                </c:pt>
                <c:pt idx="182">
                  <c:v>0.312</c:v>
                </c:pt>
                <c:pt idx="183">
                  <c:v>0.80900000000000005</c:v>
                </c:pt>
                <c:pt idx="184">
                  <c:v>0.629</c:v>
                </c:pt>
                <c:pt idx="185">
                  <c:v>0.33600000000000002</c:v>
                </c:pt>
                <c:pt idx="186">
                  <c:v>0.32200000000000001</c:v>
                </c:pt>
                <c:pt idx="187">
                  <c:v>0.14599999999999999</c:v>
                </c:pt>
                <c:pt idx="188">
                  <c:v>0.26</c:v>
                </c:pt>
                <c:pt idx="189">
                  <c:v>0.27700000000000002</c:v>
                </c:pt>
                <c:pt idx="190">
                  <c:v>0.26300000000000001</c:v>
                </c:pt>
                <c:pt idx="191">
                  <c:v>0.23499999999999999</c:v>
                </c:pt>
                <c:pt idx="192">
                  <c:v>0.309</c:v>
                </c:pt>
                <c:pt idx="193">
                  <c:v>0.13900000000000001</c:v>
                </c:pt>
                <c:pt idx="194">
                  <c:v>0.35899999999999999</c:v>
                </c:pt>
                <c:pt idx="195">
                  <c:v>0.247</c:v>
                </c:pt>
                <c:pt idx="196">
                  <c:v>0.222</c:v>
                </c:pt>
                <c:pt idx="197">
                  <c:v>1.1619999999999999</c:v>
                </c:pt>
                <c:pt idx="198">
                  <c:v>0.45500000000000002</c:v>
                </c:pt>
                <c:pt idx="199">
                  <c:v>0.31</c:v>
                </c:pt>
                <c:pt idx="200">
                  <c:v>0.35099999999999998</c:v>
                </c:pt>
                <c:pt idx="201">
                  <c:v>9.6000000000000002E-2</c:v>
                </c:pt>
                <c:pt idx="202">
                  <c:v>0.13900000000000001</c:v>
                </c:pt>
                <c:pt idx="203">
                  <c:v>0.159</c:v>
                </c:pt>
                <c:pt idx="204">
                  <c:v>0.156</c:v>
                </c:pt>
                <c:pt idx="205">
                  <c:v>0.19</c:v>
                </c:pt>
                <c:pt idx="206">
                  <c:v>0.22700000000000001</c:v>
                </c:pt>
                <c:pt idx="207">
                  <c:v>0.26200000000000001</c:v>
                </c:pt>
                <c:pt idx="208">
                  <c:v>0.214</c:v>
                </c:pt>
                <c:pt idx="209">
                  <c:v>0.115</c:v>
                </c:pt>
                <c:pt idx="210">
                  <c:v>0.223</c:v>
                </c:pt>
                <c:pt idx="211">
                  <c:v>6.0999999999999999E-2</c:v>
                </c:pt>
                <c:pt idx="212">
                  <c:v>0.14199999999999999</c:v>
                </c:pt>
                <c:pt idx="213">
                  <c:v>0.23799999999999999</c:v>
                </c:pt>
                <c:pt idx="214">
                  <c:v>0.17199999999999999</c:v>
                </c:pt>
                <c:pt idx="215">
                  <c:v>0.111</c:v>
                </c:pt>
                <c:pt idx="216">
                  <c:v>0.21199999999999999</c:v>
                </c:pt>
                <c:pt idx="217">
                  <c:v>0.20499999999999999</c:v>
                </c:pt>
                <c:pt idx="218">
                  <c:v>0.19800000000000001</c:v>
                </c:pt>
                <c:pt idx="219">
                  <c:v>0.193</c:v>
                </c:pt>
                <c:pt idx="220">
                  <c:v>0.16700000000000001</c:v>
                </c:pt>
                <c:pt idx="221">
                  <c:v>9.8000000000000004E-2</c:v>
                </c:pt>
                <c:pt idx="222">
                  <c:v>0.15</c:v>
                </c:pt>
                <c:pt idx="223">
                  <c:v>0.214</c:v>
                </c:pt>
                <c:pt idx="224">
                  <c:v>0.495</c:v>
                </c:pt>
                <c:pt idx="225">
                  <c:v>0.22</c:v>
                </c:pt>
                <c:pt idx="226">
                  <c:v>0.38100000000000001</c:v>
                </c:pt>
                <c:pt idx="227">
                  <c:v>0.35899999999999999</c:v>
                </c:pt>
                <c:pt idx="228">
                  <c:v>0.39700000000000002</c:v>
                </c:pt>
                <c:pt idx="229">
                  <c:v>0.30199999999999999</c:v>
                </c:pt>
                <c:pt idx="230">
                  <c:v>0.13300000000000001</c:v>
                </c:pt>
                <c:pt idx="231">
                  <c:v>0.496</c:v>
                </c:pt>
                <c:pt idx="232">
                  <c:v>0.28199999999999997</c:v>
                </c:pt>
                <c:pt idx="233">
                  <c:v>0.27400000000000002</c:v>
                </c:pt>
                <c:pt idx="234">
                  <c:v>0.376</c:v>
                </c:pt>
                <c:pt idx="235">
                  <c:v>0.373</c:v>
                </c:pt>
                <c:pt idx="236">
                  <c:v>0.253</c:v>
                </c:pt>
                <c:pt idx="237">
                  <c:v>1.204</c:v>
                </c:pt>
                <c:pt idx="238">
                  <c:v>0.56699999999999995</c:v>
                </c:pt>
                <c:pt idx="239">
                  <c:v>0.221</c:v>
                </c:pt>
                <c:pt idx="240">
                  <c:v>0.442</c:v>
                </c:pt>
                <c:pt idx="241">
                  <c:v>0.78800000000000003</c:v>
                </c:pt>
                <c:pt idx="242">
                  <c:v>0.14199999999999999</c:v>
                </c:pt>
                <c:pt idx="243">
                  <c:v>0.77900000000000003</c:v>
                </c:pt>
                <c:pt idx="244">
                  <c:v>0.23200000000000001</c:v>
                </c:pt>
                <c:pt idx="245">
                  <c:v>0.153</c:v>
                </c:pt>
                <c:pt idx="246">
                  <c:v>0.67800000000000005</c:v>
                </c:pt>
                <c:pt idx="247">
                  <c:v>0.32900000000000001</c:v>
                </c:pt>
                <c:pt idx="248">
                  <c:v>0.46300000000000002</c:v>
                </c:pt>
                <c:pt idx="249">
                  <c:v>0.41</c:v>
                </c:pt>
                <c:pt idx="250">
                  <c:v>0.29199999999999998</c:v>
                </c:pt>
                <c:pt idx="251">
                  <c:v>0.253</c:v>
                </c:pt>
                <c:pt idx="252">
                  <c:v>0.58099999999999996</c:v>
                </c:pt>
                <c:pt idx="253">
                  <c:v>0.223</c:v>
                </c:pt>
                <c:pt idx="254">
                  <c:v>0.307</c:v>
                </c:pt>
                <c:pt idx="255">
                  <c:v>0.19600000000000001</c:v>
                </c:pt>
                <c:pt idx="256">
                  <c:v>0.54900000000000004</c:v>
                </c:pt>
                <c:pt idx="257">
                  <c:v>0.52100000000000002</c:v>
                </c:pt>
                <c:pt idx="258">
                  <c:v>0.221</c:v>
                </c:pt>
                <c:pt idx="259">
                  <c:v>0.34799999999999998</c:v>
                </c:pt>
                <c:pt idx="260">
                  <c:v>0.23599999999999999</c:v>
                </c:pt>
                <c:pt idx="261">
                  <c:v>0.32600000000000001</c:v>
                </c:pt>
                <c:pt idx="262">
                  <c:v>0.38700000000000001</c:v>
                </c:pt>
                <c:pt idx="263">
                  <c:v>0.42199999999999999</c:v>
                </c:pt>
                <c:pt idx="264">
                  <c:v>0.442</c:v>
                </c:pt>
                <c:pt idx="265">
                  <c:v>0.254</c:v>
                </c:pt>
                <c:pt idx="266">
                  <c:v>0.27300000000000002</c:v>
                </c:pt>
                <c:pt idx="267">
                  <c:v>0.33100000000000002</c:v>
                </c:pt>
                <c:pt idx="268">
                  <c:v>0.34399999999999997</c:v>
                </c:pt>
                <c:pt idx="269">
                  <c:v>0.16</c:v>
                </c:pt>
                <c:pt idx="270">
                  <c:v>0.42799999999999999</c:v>
                </c:pt>
                <c:pt idx="271">
                  <c:v>0.42099999999999999</c:v>
                </c:pt>
                <c:pt idx="272">
                  <c:v>0.41299999999999998</c:v>
                </c:pt>
                <c:pt idx="273">
                  <c:v>0.41299999999999998</c:v>
                </c:pt>
                <c:pt idx="274">
                  <c:v>0.31</c:v>
                </c:pt>
                <c:pt idx="275">
                  <c:v>0.36099999999999999</c:v>
                </c:pt>
                <c:pt idx="276">
                  <c:v>0.39600000000000002</c:v>
                </c:pt>
                <c:pt idx="277">
                  <c:v>0.23699999999999999</c:v>
                </c:pt>
                <c:pt idx="278">
                  <c:v>0.29799999999999999</c:v>
                </c:pt>
                <c:pt idx="279">
                  <c:v>0.372</c:v>
                </c:pt>
                <c:pt idx="280">
                  <c:v>0.26800000000000002</c:v>
                </c:pt>
                <c:pt idx="281">
                  <c:v>0.27400000000000002</c:v>
                </c:pt>
                <c:pt idx="282">
                  <c:v>0.42499999999999999</c:v>
                </c:pt>
                <c:pt idx="283">
                  <c:v>0.56499999999999995</c:v>
                </c:pt>
                <c:pt idx="284">
                  <c:v>0.78</c:v>
                </c:pt>
                <c:pt idx="285">
                  <c:v>0.108</c:v>
                </c:pt>
                <c:pt idx="286">
                  <c:v>0.64700000000000002</c:v>
                </c:pt>
                <c:pt idx="287">
                  <c:v>0.27300000000000002</c:v>
                </c:pt>
                <c:pt idx="288">
                  <c:v>0.80900000000000005</c:v>
                </c:pt>
                <c:pt idx="289">
                  <c:v>0.161</c:v>
                </c:pt>
                <c:pt idx="290">
                  <c:v>0.435</c:v>
                </c:pt>
                <c:pt idx="291">
                  <c:v>0.254</c:v>
                </c:pt>
                <c:pt idx="292">
                  <c:v>0.22500000000000001</c:v>
                </c:pt>
                <c:pt idx="293">
                  <c:v>0.247</c:v>
                </c:pt>
                <c:pt idx="294">
                  <c:v>0.753</c:v>
                </c:pt>
                <c:pt idx="295">
                  <c:v>1.5289999999999999</c:v>
                </c:pt>
                <c:pt idx="296">
                  <c:v>0.38600000000000001</c:v>
                </c:pt>
                <c:pt idx="297">
                  <c:v>0.432</c:v>
                </c:pt>
                <c:pt idx="298">
                  <c:v>0.73299999999999998</c:v>
                </c:pt>
                <c:pt idx="299">
                  <c:v>0.51500000000000001</c:v>
                </c:pt>
                <c:pt idx="300">
                  <c:v>9.9000000000000005E-2</c:v>
                </c:pt>
                <c:pt idx="301">
                  <c:v>0.59599999999999997</c:v>
                </c:pt>
                <c:pt idx="302">
                  <c:v>0.218</c:v>
                </c:pt>
                <c:pt idx="303">
                  <c:v>0.311</c:v>
                </c:pt>
                <c:pt idx="304">
                  <c:v>0.24299999999999999</c:v>
                </c:pt>
                <c:pt idx="305">
                  <c:v>0.17</c:v>
                </c:pt>
                <c:pt idx="306">
                  <c:v>0.223</c:v>
                </c:pt>
                <c:pt idx="307">
                  <c:v>0.11600000000000001</c:v>
                </c:pt>
                <c:pt idx="308">
                  <c:v>0.21299999999999999</c:v>
                </c:pt>
                <c:pt idx="309">
                  <c:v>0.34399999999999997</c:v>
                </c:pt>
                <c:pt idx="310">
                  <c:v>0.128</c:v>
                </c:pt>
                <c:pt idx="311">
                  <c:v>0.21199999999999999</c:v>
                </c:pt>
                <c:pt idx="312">
                  <c:v>0.188</c:v>
                </c:pt>
                <c:pt idx="313">
                  <c:v>0.27700000000000002</c:v>
                </c:pt>
                <c:pt idx="314">
                  <c:v>0.29699999999999999</c:v>
                </c:pt>
                <c:pt idx="315">
                  <c:v>0.57599999999999996</c:v>
                </c:pt>
                <c:pt idx="316">
                  <c:v>0.30499999999999999</c:v>
                </c:pt>
                <c:pt idx="317">
                  <c:v>0.433</c:v>
                </c:pt>
                <c:pt idx="318">
                  <c:v>0.14199999999999999</c:v>
                </c:pt>
                <c:pt idx="319">
                  <c:v>0.27700000000000002</c:v>
                </c:pt>
                <c:pt idx="320">
                  <c:v>0.18</c:v>
                </c:pt>
                <c:pt idx="321">
                  <c:v>0.26800000000000002</c:v>
                </c:pt>
                <c:pt idx="322">
                  <c:v>0.23899999999999999</c:v>
                </c:pt>
                <c:pt idx="323">
                  <c:v>0.41199999999999998</c:v>
                </c:pt>
                <c:pt idx="324">
                  <c:v>0.23200000000000001</c:v>
                </c:pt>
                <c:pt idx="325">
                  <c:v>0.30199999999999999</c:v>
                </c:pt>
                <c:pt idx="326">
                  <c:v>0.438</c:v>
                </c:pt>
                <c:pt idx="327">
                  <c:v>0.39800000000000002</c:v>
                </c:pt>
                <c:pt idx="328">
                  <c:v>9.0999999999999998E-2</c:v>
                </c:pt>
                <c:pt idx="329">
                  <c:v>0.182</c:v>
                </c:pt>
                <c:pt idx="330">
                  <c:v>0.34200000000000003</c:v>
                </c:pt>
                <c:pt idx="331">
                  <c:v>0.28999999999999998</c:v>
                </c:pt>
                <c:pt idx="332">
                  <c:v>0.26600000000000001</c:v>
                </c:pt>
                <c:pt idx="333">
                  <c:v>0.13800000000000001</c:v>
                </c:pt>
                <c:pt idx="334">
                  <c:v>0.35199999999999998</c:v>
                </c:pt>
                <c:pt idx="335">
                  <c:v>0.33400000000000002</c:v>
                </c:pt>
                <c:pt idx="336">
                  <c:v>0.30499999999999999</c:v>
                </c:pt>
                <c:pt idx="337">
                  <c:v>0.28499999999999998</c:v>
                </c:pt>
                <c:pt idx="338">
                  <c:v>9.7000000000000003E-2</c:v>
                </c:pt>
                <c:pt idx="339">
                  <c:v>0.223</c:v>
                </c:pt>
                <c:pt idx="340">
                  <c:v>0.216</c:v>
                </c:pt>
                <c:pt idx="341">
                  <c:v>0.19800000000000001</c:v>
                </c:pt>
                <c:pt idx="342">
                  <c:v>0.113</c:v>
                </c:pt>
                <c:pt idx="343">
                  <c:v>0.371</c:v>
                </c:pt>
                <c:pt idx="344">
                  <c:v>0.29599999999999999</c:v>
                </c:pt>
                <c:pt idx="345">
                  <c:v>0.33800000000000002</c:v>
                </c:pt>
                <c:pt idx="346">
                  <c:v>1.1000000000000001</c:v>
                </c:pt>
                <c:pt idx="347">
                  <c:v>0.63200000000000001</c:v>
                </c:pt>
                <c:pt idx="348">
                  <c:v>0.378</c:v>
                </c:pt>
                <c:pt idx="349">
                  <c:v>0.34</c:v>
                </c:pt>
                <c:pt idx="350">
                  <c:v>0.218</c:v>
                </c:pt>
                <c:pt idx="351">
                  <c:v>0.35599999999999998</c:v>
                </c:pt>
                <c:pt idx="352">
                  <c:v>0.55300000000000005</c:v>
                </c:pt>
                <c:pt idx="353">
                  <c:v>0.22900000000000001</c:v>
                </c:pt>
                <c:pt idx="354">
                  <c:v>8.7999999999999995E-2</c:v>
                </c:pt>
                <c:pt idx="355">
                  <c:v>0.214</c:v>
                </c:pt>
                <c:pt idx="356">
                  <c:v>0.14000000000000001</c:v>
                </c:pt>
                <c:pt idx="357">
                  <c:v>0.39300000000000002</c:v>
                </c:pt>
                <c:pt idx="358">
                  <c:v>0.373</c:v>
                </c:pt>
                <c:pt idx="359">
                  <c:v>0.312</c:v>
                </c:pt>
                <c:pt idx="360">
                  <c:v>0.26700000000000002</c:v>
                </c:pt>
                <c:pt idx="361">
                  <c:v>0.33100000000000002</c:v>
                </c:pt>
                <c:pt idx="362">
                  <c:v>0.29799999999999999</c:v>
                </c:pt>
                <c:pt idx="363">
                  <c:v>0.42299999999999999</c:v>
                </c:pt>
                <c:pt idx="364">
                  <c:v>0.28100000000000003</c:v>
                </c:pt>
                <c:pt idx="365">
                  <c:v>0.27800000000000002</c:v>
                </c:pt>
                <c:pt idx="366">
                  <c:v>0.374</c:v>
                </c:pt>
                <c:pt idx="367">
                  <c:v>0.17</c:v>
                </c:pt>
                <c:pt idx="368">
                  <c:v>0.23200000000000001</c:v>
                </c:pt>
                <c:pt idx="369">
                  <c:v>0.38500000000000001</c:v>
                </c:pt>
                <c:pt idx="370">
                  <c:v>0.246</c:v>
                </c:pt>
                <c:pt idx="371">
                  <c:v>0.60099999999999998</c:v>
                </c:pt>
                <c:pt idx="372">
                  <c:v>9.7000000000000003E-2</c:v>
                </c:pt>
                <c:pt idx="373">
                  <c:v>0.24</c:v>
                </c:pt>
                <c:pt idx="374">
                  <c:v>0.23599999999999999</c:v>
                </c:pt>
                <c:pt idx="375">
                  <c:v>0.28100000000000003</c:v>
                </c:pt>
                <c:pt idx="376">
                  <c:v>0.20899999999999999</c:v>
                </c:pt>
                <c:pt idx="377">
                  <c:v>0.8</c:v>
                </c:pt>
                <c:pt idx="378">
                  <c:v>0.13</c:v>
                </c:pt>
                <c:pt idx="379">
                  <c:v>0.36799999999999999</c:v>
                </c:pt>
                <c:pt idx="380">
                  <c:v>0.11899999999999999</c:v>
                </c:pt>
                <c:pt idx="381">
                  <c:v>0.14099999999999999</c:v>
                </c:pt>
                <c:pt idx="382">
                  <c:v>0.39500000000000002</c:v>
                </c:pt>
                <c:pt idx="383">
                  <c:v>0.246</c:v>
                </c:pt>
                <c:pt idx="384">
                  <c:v>0.27300000000000002</c:v>
                </c:pt>
                <c:pt idx="385">
                  <c:v>0.152</c:v>
                </c:pt>
                <c:pt idx="386">
                  <c:v>0.27900000000000003</c:v>
                </c:pt>
                <c:pt idx="387">
                  <c:v>0.372</c:v>
                </c:pt>
                <c:pt idx="388">
                  <c:v>0.88300000000000001</c:v>
                </c:pt>
                <c:pt idx="389">
                  <c:v>0.40600000000000003</c:v>
                </c:pt>
                <c:pt idx="390">
                  <c:v>0.25600000000000001</c:v>
                </c:pt>
                <c:pt idx="391">
                  <c:v>0.24299999999999999</c:v>
                </c:pt>
                <c:pt idx="392">
                  <c:v>0.40799999999999997</c:v>
                </c:pt>
                <c:pt idx="393">
                  <c:v>0.123</c:v>
                </c:pt>
                <c:pt idx="394">
                  <c:v>0.16300000000000001</c:v>
                </c:pt>
                <c:pt idx="395">
                  <c:v>0.33500000000000002</c:v>
                </c:pt>
                <c:pt idx="396">
                  <c:v>0.34499999999999997</c:v>
                </c:pt>
                <c:pt idx="397">
                  <c:v>0.25</c:v>
                </c:pt>
                <c:pt idx="398">
                  <c:v>0.32800000000000001</c:v>
                </c:pt>
                <c:pt idx="399">
                  <c:v>0.32400000000000001</c:v>
                </c:pt>
                <c:pt idx="400">
                  <c:v>0.216</c:v>
                </c:pt>
                <c:pt idx="401">
                  <c:v>0.19900000000000001</c:v>
                </c:pt>
                <c:pt idx="402">
                  <c:v>0.315</c:v>
                </c:pt>
                <c:pt idx="403">
                  <c:v>0.318</c:v>
                </c:pt>
                <c:pt idx="404">
                  <c:v>0.252</c:v>
                </c:pt>
                <c:pt idx="405">
                  <c:v>0.47299999999999998</c:v>
                </c:pt>
                <c:pt idx="406">
                  <c:v>0.44500000000000001</c:v>
                </c:pt>
                <c:pt idx="407">
                  <c:v>0.27100000000000002</c:v>
                </c:pt>
                <c:pt idx="408">
                  <c:v>0.437</c:v>
                </c:pt>
                <c:pt idx="409">
                  <c:v>0.35899999999999999</c:v>
                </c:pt>
                <c:pt idx="410">
                  <c:v>0.432</c:v>
                </c:pt>
                <c:pt idx="411">
                  <c:v>0.32200000000000001</c:v>
                </c:pt>
                <c:pt idx="412">
                  <c:v>0.46700000000000003</c:v>
                </c:pt>
                <c:pt idx="413">
                  <c:v>0.54900000000000004</c:v>
                </c:pt>
                <c:pt idx="414">
                  <c:v>0.16700000000000001</c:v>
                </c:pt>
                <c:pt idx="415">
                  <c:v>0.42799999999999999</c:v>
                </c:pt>
                <c:pt idx="416">
                  <c:v>0.40400000000000003</c:v>
                </c:pt>
                <c:pt idx="417">
                  <c:v>0.25700000000000001</c:v>
                </c:pt>
                <c:pt idx="418">
                  <c:v>0.314</c:v>
                </c:pt>
                <c:pt idx="419">
                  <c:v>0.54600000000000004</c:v>
                </c:pt>
                <c:pt idx="420">
                  <c:v>0.33200000000000002</c:v>
                </c:pt>
                <c:pt idx="421">
                  <c:v>0.13700000000000001</c:v>
                </c:pt>
                <c:pt idx="422">
                  <c:v>1.345</c:v>
                </c:pt>
                <c:pt idx="423">
                  <c:v>0.188</c:v>
                </c:pt>
                <c:pt idx="424">
                  <c:v>0.376</c:v>
                </c:pt>
                <c:pt idx="425">
                  <c:v>1.232</c:v>
                </c:pt>
                <c:pt idx="426">
                  <c:v>0.52100000000000002</c:v>
                </c:pt>
                <c:pt idx="427">
                  <c:v>0.22900000000000001</c:v>
                </c:pt>
                <c:pt idx="428">
                  <c:v>0.625</c:v>
                </c:pt>
                <c:pt idx="429">
                  <c:v>0.222</c:v>
                </c:pt>
                <c:pt idx="430">
                  <c:v>0.57599999999999996</c:v>
                </c:pt>
                <c:pt idx="431">
                  <c:v>0.105</c:v>
                </c:pt>
                <c:pt idx="432">
                  <c:v>0.76400000000000001</c:v>
                </c:pt>
                <c:pt idx="433">
                  <c:v>0.308</c:v>
                </c:pt>
                <c:pt idx="434">
                  <c:v>0.24199999999999999</c:v>
                </c:pt>
                <c:pt idx="435">
                  <c:v>0.30199999999999999</c:v>
                </c:pt>
                <c:pt idx="436">
                  <c:v>0.26100000000000001</c:v>
                </c:pt>
                <c:pt idx="437">
                  <c:v>0.33400000000000002</c:v>
                </c:pt>
                <c:pt idx="438">
                  <c:v>0.26900000000000002</c:v>
                </c:pt>
                <c:pt idx="439">
                  <c:v>0.46899999999999997</c:v>
                </c:pt>
                <c:pt idx="440">
                  <c:v>0.40200000000000002</c:v>
                </c:pt>
                <c:pt idx="441">
                  <c:v>0.39800000000000002</c:v>
                </c:pt>
                <c:pt idx="442">
                  <c:v>0.49099999999999999</c:v>
                </c:pt>
                <c:pt idx="443">
                  <c:v>0.29199999999999998</c:v>
                </c:pt>
                <c:pt idx="444">
                  <c:v>0.39</c:v>
                </c:pt>
                <c:pt idx="445">
                  <c:v>0.44800000000000001</c:v>
                </c:pt>
                <c:pt idx="446">
                  <c:v>4.8000000000000001E-2</c:v>
                </c:pt>
                <c:pt idx="447">
                  <c:v>0.30499999999999999</c:v>
                </c:pt>
                <c:pt idx="448">
                  <c:v>0.49099999999999999</c:v>
                </c:pt>
                <c:pt idx="449">
                  <c:v>0.20699999999999999</c:v>
                </c:pt>
                <c:pt idx="450">
                  <c:v>0.377</c:v>
                </c:pt>
                <c:pt idx="451">
                  <c:v>0.309</c:v>
                </c:pt>
                <c:pt idx="452">
                  <c:v>0.24099999999999999</c:v>
                </c:pt>
                <c:pt idx="453">
                  <c:v>0.33800000000000002</c:v>
                </c:pt>
                <c:pt idx="454">
                  <c:v>0.72599999999999998</c:v>
                </c:pt>
                <c:pt idx="455">
                  <c:v>0.504</c:v>
                </c:pt>
                <c:pt idx="456">
                  <c:v>0.66200000000000003</c:v>
                </c:pt>
                <c:pt idx="457">
                  <c:v>0.46100000000000002</c:v>
                </c:pt>
                <c:pt idx="458">
                  <c:v>0.183</c:v>
                </c:pt>
                <c:pt idx="459">
                  <c:v>0.36</c:v>
                </c:pt>
                <c:pt idx="460">
                  <c:v>0.30499999999999999</c:v>
                </c:pt>
                <c:pt idx="461">
                  <c:v>1.0349999999999999</c:v>
                </c:pt>
                <c:pt idx="462">
                  <c:v>0.34499999999999997</c:v>
                </c:pt>
                <c:pt idx="463">
                  <c:v>0.27300000000000002</c:v>
                </c:pt>
                <c:pt idx="464">
                  <c:v>0.26700000000000002</c:v>
                </c:pt>
                <c:pt idx="465">
                  <c:v>0.33500000000000002</c:v>
                </c:pt>
                <c:pt idx="466">
                  <c:v>0.28199999999999997</c:v>
                </c:pt>
                <c:pt idx="467">
                  <c:v>1.02</c:v>
                </c:pt>
                <c:pt idx="468">
                  <c:v>0.311</c:v>
                </c:pt>
                <c:pt idx="469">
                  <c:v>0.38400000000000001</c:v>
                </c:pt>
                <c:pt idx="470">
                  <c:v>0.29099999999999998</c:v>
                </c:pt>
                <c:pt idx="471">
                  <c:v>0.317</c:v>
                </c:pt>
                <c:pt idx="472">
                  <c:v>0.44900000000000001</c:v>
                </c:pt>
                <c:pt idx="473">
                  <c:v>0.38600000000000001</c:v>
                </c:pt>
                <c:pt idx="474">
                  <c:v>0.41</c:v>
                </c:pt>
                <c:pt idx="475">
                  <c:v>0.47799999999999998</c:v>
                </c:pt>
                <c:pt idx="476">
                  <c:v>0.29499999999999998</c:v>
                </c:pt>
                <c:pt idx="477">
                  <c:v>0.46400000000000002</c:v>
                </c:pt>
                <c:pt idx="478">
                  <c:v>0.28899999999999998</c:v>
                </c:pt>
                <c:pt idx="479">
                  <c:v>0.4</c:v>
                </c:pt>
                <c:pt idx="480">
                  <c:v>0.189</c:v>
                </c:pt>
                <c:pt idx="481">
                  <c:v>0.17199999999999999</c:v>
                </c:pt>
                <c:pt idx="482">
                  <c:v>0.19900000000000001</c:v>
                </c:pt>
                <c:pt idx="483">
                  <c:v>0.23799999999999999</c:v>
                </c:pt>
                <c:pt idx="484">
                  <c:v>0.254</c:v>
                </c:pt>
                <c:pt idx="485">
                  <c:v>0.54</c:v>
                </c:pt>
                <c:pt idx="486">
                  <c:v>0.34899999999999998</c:v>
                </c:pt>
                <c:pt idx="487">
                  <c:v>0.38200000000000001</c:v>
                </c:pt>
                <c:pt idx="488">
                  <c:v>0.188</c:v>
                </c:pt>
                <c:pt idx="489">
                  <c:v>0.115</c:v>
                </c:pt>
                <c:pt idx="490">
                  <c:v>0.437</c:v>
                </c:pt>
                <c:pt idx="491">
                  <c:v>0.48599999999999999</c:v>
                </c:pt>
                <c:pt idx="492">
                  <c:v>0.26200000000000001</c:v>
                </c:pt>
                <c:pt idx="493">
                  <c:v>0.26100000000000001</c:v>
                </c:pt>
                <c:pt idx="494">
                  <c:v>0.20699999999999999</c:v>
                </c:pt>
                <c:pt idx="495">
                  <c:v>0.46400000000000002</c:v>
                </c:pt>
                <c:pt idx="496">
                  <c:v>0.34699999999999998</c:v>
                </c:pt>
                <c:pt idx="497">
                  <c:v>0.51400000000000001</c:v>
                </c:pt>
                <c:pt idx="498">
                  <c:v>0.42199999999999999</c:v>
                </c:pt>
                <c:pt idx="499">
                  <c:v>0.40799999999999997</c:v>
                </c:pt>
                <c:pt idx="500">
                  <c:v>0.34399999999999997</c:v>
                </c:pt>
                <c:pt idx="501">
                  <c:v>0.374</c:v>
                </c:pt>
                <c:pt idx="502">
                  <c:v>0.30299999999999999</c:v>
                </c:pt>
                <c:pt idx="503">
                  <c:v>0.17699999999999999</c:v>
                </c:pt>
                <c:pt idx="504">
                  <c:v>0.41399999999999998</c:v>
                </c:pt>
                <c:pt idx="505">
                  <c:v>0.40899999999999997</c:v>
                </c:pt>
                <c:pt idx="506">
                  <c:v>0.32400000000000001</c:v>
                </c:pt>
                <c:pt idx="507">
                  <c:v>0.41399999999999998</c:v>
                </c:pt>
                <c:pt idx="508">
                  <c:v>0.44900000000000001</c:v>
                </c:pt>
                <c:pt idx="509">
                  <c:v>0.41299999999999998</c:v>
                </c:pt>
                <c:pt idx="510">
                  <c:v>0.35499999999999998</c:v>
                </c:pt>
                <c:pt idx="511">
                  <c:v>0.51800000000000002</c:v>
                </c:pt>
                <c:pt idx="512">
                  <c:v>0.45600000000000002</c:v>
                </c:pt>
                <c:pt idx="513">
                  <c:v>0.47399999999999998</c:v>
                </c:pt>
                <c:pt idx="514">
                  <c:v>0.376</c:v>
                </c:pt>
                <c:pt idx="515">
                  <c:v>0.22900000000000001</c:v>
                </c:pt>
                <c:pt idx="516">
                  <c:v>0.35199999999999998</c:v>
                </c:pt>
                <c:pt idx="517">
                  <c:v>0.20599999999999999</c:v>
                </c:pt>
                <c:pt idx="518">
                  <c:v>0.33900000000000002</c:v>
                </c:pt>
                <c:pt idx="519">
                  <c:v>0.35899999999999999</c:v>
                </c:pt>
                <c:pt idx="520">
                  <c:v>0.24099999999999999</c:v>
                </c:pt>
                <c:pt idx="521">
                  <c:v>0.28899999999999998</c:v>
                </c:pt>
                <c:pt idx="522">
                  <c:v>0.27200000000000002</c:v>
                </c:pt>
                <c:pt idx="523">
                  <c:v>0.22</c:v>
                </c:pt>
                <c:pt idx="524">
                  <c:v>0.39900000000000002</c:v>
                </c:pt>
                <c:pt idx="525">
                  <c:v>0.55900000000000005</c:v>
                </c:pt>
                <c:pt idx="526">
                  <c:v>0.435</c:v>
                </c:pt>
                <c:pt idx="527">
                  <c:v>0.40500000000000003</c:v>
                </c:pt>
                <c:pt idx="528">
                  <c:v>0.36499999999999999</c:v>
                </c:pt>
                <c:pt idx="529">
                  <c:v>0.14399999999999999</c:v>
                </c:pt>
                <c:pt idx="530">
                  <c:v>0.44900000000000001</c:v>
                </c:pt>
                <c:pt idx="531">
                  <c:v>0.89</c:v>
                </c:pt>
                <c:pt idx="532">
                  <c:v>0.42199999999999999</c:v>
                </c:pt>
                <c:pt idx="533">
                  <c:v>0.81899999999999995</c:v>
                </c:pt>
                <c:pt idx="534">
                  <c:v>0.73499999999999999</c:v>
                </c:pt>
                <c:pt idx="535">
                  <c:v>0.443</c:v>
                </c:pt>
                <c:pt idx="536">
                  <c:v>0.26500000000000001</c:v>
                </c:pt>
                <c:pt idx="537">
                  <c:v>0.32400000000000001</c:v>
                </c:pt>
                <c:pt idx="538">
                  <c:v>0.44600000000000001</c:v>
                </c:pt>
                <c:pt idx="539">
                  <c:v>0.26400000000000001</c:v>
                </c:pt>
                <c:pt idx="540">
                  <c:v>0.27</c:v>
                </c:pt>
                <c:pt idx="541">
                  <c:v>0.29299999999999998</c:v>
                </c:pt>
                <c:pt idx="542">
                  <c:v>0.45700000000000002</c:v>
                </c:pt>
                <c:pt idx="543">
                  <c:v>0.55000000000000004</c:v>
                </c:pt>
                <c:pt idx="544">
                  <c:v>0.28599999999999998</c:v>
                </c:pt>
                <c:pt idx="545">
                  <c:v>0.193</c:v>
                </c:pt>
                <c:pt idx="546">
                  <c:v>0.39200000000000002</c:v>
                </c:pt>
                <c:pt idx="547">
                  <c:v>0.27200000000000002</c:v>
                </c:pt>
                <c:pt idx="548">
                  <c:v>0.314</c:v>
                </c:pt>
                <c:pt idx="549">
                  <c:v>0.28199999999999997</c:v>
                </c:pt>
                <c:pt idx="550">
                  <c:v>0.54400000000000004</c:v>
                </c:pt>
                <c:pt idx="551">
                  <c:v>0.60399999999999998</c:v>
                </c:pt>
                <c:pt idx="552">
                  <c:v>0.26200000000000001</c:v>
                </c:pt>
                <c:pt idx="553">
                  <c:v>0.32900000000000001</c:v>
                </c:pt>
                <c:pt idx="554">
                  <c:v>0.316</c:v>
                </c:pt>
                <c:pt idx="555">
                  <c:v>0.39700000000000002</c:v>
                </c:pt>
                <c:pt idx="556">
                  <c:v>0.35899999999999999</c:v>
                </c:pt>
                <c:pt idx="557">
                  <c:v>0.36599999999999999</c:v>
                </c:pt>
                <c:pt idx="558">
                  <c:v>0.24199999999999999</c:v>
                </c:pt>
                <c:pt idx="559">
                  <c:v>0.30199999999999999</c:v>
                </c:pt>
                <c:pt idx="560">
                  <c:v>0.33600000000000002</c:v>
                </c:pt>
                <c:pt idx="561">
                  <c:v>0.41699999999999998</c:v>
                </c:pt>
                <c:pt idx="562">
                  <c:v>0.52500000000000002</c:v>
                </c:pt>
                <c:pt idx="563">
                  <c:v>0.46500000000000002</c:v>
                </c:pt>
                <c:pt idx="564">
                  <c:v>0.48199999999999998</c:v>
                </c:pt>
                <c:pt idx="565">
                  <c:v>0.38300000000000001</c:v>
                </c:pt>
                <c:pt idx="566">
                  <c:v>0.41499999999999998</c:v>
                </c:pt>
                <c:pt idx="567">
                  <c:v>0.26300000000000001</c:v>
                </c:pt>
                <c:pt idx="568">
                  <c:v>0.19500000000000001</c:v>
                </c:pt>
                <c:pt idx="569">
                  <c:v>0.39300000000000002</c:v>
                </c:pt>
                <c:pt idx="570">
                  <c:v>0.437</c:v>
                </c:pt>
                <c:pt idx="571">
                  <c:v>0.26900000000000002</c:v>
                </c:pt>
                <c:pt idx="572">
                  <c:v>0.318</c:v>
                </c:pt>
                <c:pt idx="573">
                  <c:v>0.33200000000000002</c:v>
                </c:pt>
                <c:pt idx="574">
                  <c:v>0.47899999999999998</c:v>
                </c:pt>
                <c:pt idx="575">
                  <c:v>0.32100000000000001</c:v>
                </c:pt>
                <c:pt idx="576">
                  <c:v>0.624</c:v>
                </c:pt>
                <c:pt idx="577">
                  <c:v>0.52900000000000003</c:v>
                </c:pt>
                <c:pt idx="578">
                  <c:v>0.34799999999999998</c:v>
                </c:pt>
                <c:pt idx="579">
                  <c:v>0.27400000000000002</c:v>
                </c:pt>
                <c:pt idx="580">
                  <c:v>0.311</c:v>
                </c:pt>
                <c:pt idx="581">
                  <c:v>0.40300000000000002</c:v>
                </c:pt>
                <c:pt idx="582">
                  <c:v>0.40899999999999997</c:v>
                </c:pt>
                <c:pt idx="583">
                  <c:v>0.47599999999999998</c:v>
                </c:pt>
                <c:pt idx="584">
                  <c:v>0.55900000000000005</c:v>
                </c:pt>
                <c:pt idx="585">
                  <c:v>0.14199999999999999</c:v>
                </c:pt>
                <c:pt idx="586">
                  <c:v>0.33900000000000002</c:v>
                </c:pt>
                <c:pt idx="587">
                  <c:v>0.30199999999999999</c:v>
                </c:pt>
                <c:pt idx="588">
                  <c:v>0.20399999999999999</c:v>
                </c:pt>
                <c:pt idx="589">
                  <c:v>0.25700000000000001</c:v>
                </c:pt>
                <c:pt idx="590">
                  <c:v>0.29799999999999999</c:v>
                </c:pt>
                <c:pt idx="591">
                  <c:v>0.26</c:v>
                </c:pt>
                <c:pt idx="592">
                  <c:v>0.34599999999999997</c:v>
                </c:pt>
                <c:pt idx="593">
                  <c:v>0.312</c:v>
                </c:pt>
                <c:pt idx="594">
                  <c:v>0.41799999999999998</c:v>
                </c:pt>
                <c:pt idx="595">
                  <c:v>0.46100000000000002</c:v>
                </c:pt>
                <c:pt idx="596">
                  <c:v>0.41699999999999998</c:v>
                </c:pt>
                <c:pt idx="597">
                  <c:v>0.39400000000000002</c:v>
                </c:pt>
                <c:pt idx="598">
                  <c:v>0.223</c:v>
                </c:pt>
                <c:pt idx="599">
                  <c:v>0.44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0E-499A-AFD3-82E787357187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TTV_IMR!$D$13:$D$612</c:f>
              <c:numCache>
                <c:formatCode>0.0000</c:formatCode>
                <c:ptCount val="600"/>
                <c:pt idx="0">
                  <c:v>1.5554284590900538</c:v>
                </c:pt>
                <c:pt idx="1">
                  <c:v>1.5554284590900538</c:v>
                </c:pt>
                <c:pt idx="2">
                  <c:v>1.5554284590900538</c:v>
                </c:pt>
                <c:pt idx="3">
                  <c:v>1.5554284590900538</c:v>
                </c:pt>
                <c:pt idx="4">
                  <c:v>1.5554284590900538</c:v>
                </c:pt>
                <c:pt idx="5">
                  <c:v>1.5554284590900538</c:v>
                </c:pt>
                <c:pt idx="6">
                  <c:v>1.5554284590900538</c:v>
                </c:pt>
                <c:pt idx="7">
                  <c:v>1.5554284590900538</c:v>
                </c:pt>
                <c:pt idx="8">
                  <c:v>1.5554284590900538</c:v>
                </c:pt>
                <c:pt idx="9">
                  <c:v>1.5554284590900538</c:v>
                </c:pt>
                <c:pt idx="10">
                  <c:v>1.5554284590900538</c:v>
                </c:pt>
                <c:pt idx="11">
                  <c:v>1.5554284590900538</c:v>
                </c:pt>
                <c:pt idx="12">
                  <c:v>1.5554284590900538</c:v>
                </c:pt>
                <c:pt idx="13">
                  <c:v>1.5554284590900538</c:v>
                </c:pt>
                <c:pt idx="14">
                  <c:v>1.5554284590900538</c:v>
                </c:pt>
                <c:pt idx="15">
                  <c:v>1.5554284590900538</c:v>
                </c:pt>
                <c:pt idx="16">
                  <c:v>1.5554284590900538</c:v>
                </c:pt>
                <c:pt idx="17">
                  <c:v>1.5554284590900538</c:v>
                </c:pt>
                <c:pt idx="18">
                  <c:v>1.5554284590900538</c:v>
                </c:pt>
                <c:pt idx="19">
                  <c:v>1.5554284590900538</c:v>
                </c:pt>
                <c:pt idx="20">
                  <c:v>1.5554284590900538</c:v>
                </c:pt>
                <c:pt idx="21">
                  <c:v>1.5554284590900538</c:v>
                </c:pt>
                <c:pt idx="22">
                  <c:v>1.5554284590900538</c:v>
                </c:pt>
                <c:pt idx="23">
                  <c:v>1.5554284590900538</c:v>
                </c:pt>
                <c:pt idx="24">
                  <c:v>1.5554284590900538</c:v>
                </c:pt>
                <c:pt idx="25">
                  <c:v>1.5554284590900538</c:v>
                </c:pt>
                <c:pt idx="26">
                  <c:v>1.5554284590900538</c:v>
                </c:pt>
                <c:pt idx="27">
                  <c:v>1.5554284590900538</c:v>
                </c:pt>
                <c:pt idx="28">
                  <c:v>1.5554284590900538</c:v>
                </c:pt>
                <c:pt idx="29">
                  <c:v>1.5554284590900538</c:v>
                </c:pt>
                <c:pt idx="30">
                  <c:v>1.5554284590900538</c:v>
                </c:pt>
                <c:pt idx="31">
                  <c:v>1.5554284590900538</c:v>
                </c:pt>
                <c:pt idx="32">
                  <c:v>1.5554284590900538</c:v>
                </c:pt>
                <c:pt idx="33">
                  <c:v>1.5554284590900538</c:v>
                </c:pt>
                <c:pt idx="34">
                  <c:v>1.5554284590900538</c:v>
                </c:pt>
                <c:pt idx="35">
                  <c:v>1.5554284590900538</c:v>
                </c:pt>
                <c:pt idx="36">
                  <c:v>1.5554284590900538</c:v>
                </c:pt>
                <c:pt idx="37">
                  <c:v>1.5554284590900538</c:v>
                </c:pt>
                <c:pt idx="38">
                  <c:v>1.5554284590900538</c:v>
                </c:pt>
                <c:pt idx="39">
                  <c:v>1.5554284590900538</c:v>
                </c:pt>
                <c:pt idx="40">
                  <c:v>1.5554284590900538</c:v>
                </c:pt>
                <c:pt idx="41">
                  <c:v>1.5554284590900538</c:v>
                </c:pt>
                <c:pt idx="42">
                  <c:v>1.5554284590900538</c:v>
                </c:pt>
                <c:pt idx="43">
                  <c:v>1.5554284590900538</c:v>
                </c:pt>
                <c:pt idx="44">
                  <c:v>1.5554284590900538</c:v>
                </c:pt>
                <c:pt idx="45">
                  <c:v>1.5554284590900538</c:v>
                </c:pt>
                <c:pt idx="46">
                  <c:v>1.5554284590900538</c:v>
                </c:pt>
                <c:pt idx="47">
                  <c:v>1.5554284590900538</c:v>
                </c:pt>
                <c:pt idx="48">
                  <c:v>1.5554284590900538</c:v>
                </c:pt>
                <c:pt idx="49">
                  <c:v>1.5554284590900538</c:v>
                </c:pt>
                <c:pt idx="50">
                  <c:v>1.5554284590900538</c:v>
                </c:pt>
                <c:pt idx="51">
                  <c:v>1.5554284590900538</c:v>
                </c:pt>
                <c:pt idx="52">
                  <c:v>1.5554284590900538</c:v>
                </c:pt>
                <c:pt idx="53">
                  <c:v>1.5554284590900538</c:v>
                </c:pt>
                <c:pt idx="54">
                  <c:v>1.5554284590900538</c:v>
                </c:pt>
                <c:pt idx="55">
                  <c:v>1.5554284590900538</c:v>
                </c:pt>
                <c:pt idx="56">
                  <c:v>1.5554284590900538</c:v>
                </c:pt>
                <c:pt idx="57">
                  <c:v>1.5554284590900538</c:v>
                </c:pt>
                <c:pt idx="58">
                  <c:v>1.5554284590900538</c:v>
                </c:pt>
                <c:pt idx="59">
                  <c:v>1.5554284590900538</c:v>
                </c:pt>
                <c:pt idx="60">
                  <c:v>1.5554284590900538</c:v>
                </c:pt>
                <c:pt idx="61">
                  <c:v>1.5554284590900538</c:v>
                </c:pt>
                <c:pt idx="62">
                  <c:v>1.5554284590900538</c:v>
                </c:pt>
                <c:pt idx="63">
                  <c:v>1.5554284590900538</c:v>
                </c:pt>
                <c:pt idx="64">
                  <c:v>1.5554284590900538</c:v>
                </c:pt>
                <c:pt idx="65">
                  <c:v>1.5554284590900538</c:v>
                </c:pt>
                <c:pt idx="66">
                  <c:v>1.5554284590900538</c:v>
                </c:pt>
                <c:pt idx="67">
                  <c:v>1.5554284590900538</c:v>
                </c:pt>
                <c:pt idx="68">
                  <c:v>1.5554284590900538</c:v>
                </c:pt>
                <c:pt idx="69">
                  <c:v>1.5554284590900538</c:v>
                </c:pt>
                <c:pt idx="70">
                  <c:v>1.5554284590900538</c:v>
                </c:pt>
                <c:pt idx="71">
                  <c:v>1.5554284590900538</c:v>
                </c:pt>
                <c:pt idx="72">
                  <c:v>1.5554284590900538</c:v>
                </c:pt>
                <c:pt idx="73">
                  <c:v>1.5554284590900538</c:v>
                </c:pt>
                <c:pt idx="74">
                  <c:v>1.5554284590900538</c:v>
                </c:pt>
                <c:pt idx="75">
                  <c:v>1.5554284590900538</c:v>
                </c:pt>
                <c:pt idx="76">
                  <c:v>1.5554284590900538</c:v>
                </c:pt>
                <c:pt idx="77">
                  <c:v>1.5554284590900538</c:v>
                </c:pt>
                <c:pt idx="78">
                  <c:v>1.5554284590900538</c:v>
                </c:pt>
                <c:pt idx="79">
                  <c:v>1.5554284590900538</c:v>
                </c:pt>
                <c:pt idx="80">
                  <c:v>1.5554284590900538</c:v>
                </c:pt>
                <c:pt idx="81">
                  <c:v>1.5554284590900538</c:v>
                </c:pt>
                <c:pt idx="82">
                  <c:v>1.5554284590900538</c:v>
                </c:pt>
                <c:pt idx="83">
                  <c:v>1.5554284590900538</c:v>
                </c:pt>
                <c:pt idx="84">
                  <c:v>1.5554284590900538</c:v>
                </c:pt>
                <c:pt idx="85">
                  <c:v>1.5554284590900538</c:v>
                </c:pt>
                <c:pt idx="86">
                  <c:v>1.5554284590900538</c:v>
                </c:pt>
                <c:pt idx="87">
                  <c:v>1.5554284590900538</c:v>
                </c:pt>
                <c:pt idx="88">
                  <c:v>1.5554284590900538</c:v>
                </c:pt>
                <c:pt idx="89">
                  <c:v>1.5554284590900538</c:v>
                </c:pt>
                <c:pt idx="90">
                  <c:v>1.5554284590900538</c:v>
                </c:pt>
                <c:pt idx="91">
                  <c:v>1.5554284590900538</c:v>
                </c:pt>
                <c:pt idx="92">
                  <c:v>1.5554284590900538</c:v>
                </c:pt>
                <c:pt idx="93">
                  <c:v>1.5554284590900538</c:v>
                </c:pt>
                <c:pt idx="94">
                  <c:v>1.5554284590900538</c:v>
                </c:pt>
                <c:pt idx="95">
                  <c:v>1.5554284590900538</c:v>
                </c:pt>
                <c:pt idx="96">
                  <c:v>1.5554284590900538</c:v>
                </c:pt>
                <c:pt idx="97">
                  <c:v>1.5554284590900538</c:v>
                </c:pt>
                <c:pt idx="98">
                  <c:v>1.5554284590900538</c:v>
                </c:pt>
                <c:pt idx="99">
                  <c:v>1.5554284590900538</c:v>
                </c:pt>
                <c:pt idx="100">
                  <c:v>1.5554284590900538</c:v>
                </c:pt>
                <c:pt idx="101">
                  <c:v>1.5554284590900538</c:v>
                </c:pt>
                <c:pt idx="102">
                  <c:v>1.5554284590900538</c:v>
                </c:pt>
                <c:pt idx="103">
                  <c:v>1.5554284590900538</c:v>
                </c:pt>
                <c:pt idx="104">
                  <c:v>1.5554284590900538</c:v>
                </c:pt>
                <c:pt idx="105">
                  <c:v>1.5554284590900538</c:v>
                </c:pt>
                <c:pt idx="106">
                  <c:v>1.5554284590900538</c:v>
                </c:pt>
                <c:pt idx="107">
                  <c:v>1.5554284590900538</c:v>
                </c:pt>
                <c:pt idx="108">
                  <c:v>1.5554284590900538</c:v>
                </c:pt>
                <c:pt idx="109">
                  <c:v>1.5554284590900538</c:v>
                </c:pt>
                <c:pt idx="110">
                  <c:v>1.5554284590900538</c:v>
                </c:pt>
                <c:pt idx="111">
                  <c:v>1.5554284590900538</c:v>
                </c:pt>
                <c:pt idx="112">
                  <c:v>1.5554284590900538</c:v>
                </c:pt>
                <c:pt idx="113">
                  <c:v>1.5554284590900538</c:v>
                </c:pt>
                <c:pt idx="114">
                  <c:v>1.5554284590900538</c:v>
                </c:pt>
                <c:pt idx="115">
                  <c:v>1.5554284590900538</c:v>
                </c:pt>
                <c:pt idx="116">
                  <c:v>1.5554284590900538</c:v>
                </c:pt>
                <c:pt idx="117">
                  <c:v>1.5554284590900538</c:v>
                </c:pt>
                <c:pt idx="118">
                  <c:v>1.5554284590900538</c:v>
                </c:pt>
                <c:pt idx="119">
                  <c:v>1.5554284590900538</c:v>
                </c:pt>
                <c:pt idx="120">
                  <c:v>1.5554284590900538</c:v>
                </c:pt>
                <c:pt idx="121">
                  <c:v>1.5554284590900538</c:v>
                </c:pt>
                <c:pt idx="122">
                  <c:v>1.5554284590900538</c:v>
                </c:pt>
                <c:pt idx="123">
                  <c:v>1.5554284590900538</c:v>
                </c:pt>
                <c:pt idx="124">
                  <c:v>1.5554284590900538</c:v>
                </c:pt>
                <c:pt idx="125">
                  <c:v>1.5554284590900538</c:v>
                </c:pt>
                <c:pt idx="126">
                  <c:v>1.5554284590900538</c:v>
                </c:pt>
                <c:pt idx="127">
                  <c:v>1.5554284590900538</c:v>
                </c:pt>
                <c:pt idx="128">
                  <c:v>1.5554284590900538</c:v>
                </c:pt>
                <c:pt idx="129">
                  <c:v>1.5554284590900538</c:v>
                </c:pt>
                <c:pt idx="130">
                  <c:v>1.5554284590900538</c:v>
                </c:pt>
                <c:pt idx="131">
                  <c:v>1.5554284590900538</c:v>
                </c:pt>
                <c:pt idx="132">
                  <c:v>1.5554284590900538</c:v>
                </c:pt>
                <c:pt idx="133">
                  <c:v>1.5554284590900538</c:v>
                </c:pt>
                <c:pt idx="134">
                  <c:v>1.5554284590900538</c:v>
                </c:pt>
                <c:pt idx="135">
                  <c:v>1.5554284590900538</c:v>
                </c:pt>
                <c:pt idx="136">
                  <c:v>1.5554284590900538</c:v>
                </c:pt>
                <c:pt idx="137">
                  <c:v>1.5554284590900538</c:v>
                </c:pt>
                <c:pt idx="138">
                  <c:v>1.5554284590900538</c:v>
                </c:pt>
                <c:pt idx="139">
                  <c:v>1.5554284590900538</c:v>
                </c:pt>
                <c:pt idx="140">
                  <c:v>1.5554284590900538</c:v>
                </c:pt>
                <c:pt idx="141">
                  <c:v>1.5554284590900538</c:v>
                </c:pt>
                <c:pt idx="142">
                  <c:v>1.5554284590900538</c:v>
                </c:pt>
                <c:pt idx="143">
                  <c:v>1.5554284590900538</c:v>
                </c:pt>
                <c:pt idx="144">
                  <c:v>1.5554284590900538</c:v>
                </c:pt>
                <c:pt idx="145">
                  <c:v>1.5554284590900538</c:v>
                </c:pt>
                <c:pt idx="146">
                  <c:v>1.5554284590900538</c:v>
                </c:pt>
                <c:pt idx="147">
                  <c:v>1.5554284590900538</c:v>
                </c:pt>
                <c:pt idx="148">
                  <c:v>1.5554284590900538</c:v>
                </c:pt>
                <c:pt idx="149">
                  <c:v>1.5554284590900538</c:v>
                </c:pt>
                <c:pt idx="150">
                  <c:v>1.5554284590900538</c:v>
                </c:pt>
                <c:pt idx="151">
                  <c:v>1.5554284590900538</c:v>
                </c:pt>
                <c:pt idx="152">
                  <c:v>1.5554284590900538</c:v>
                </c:pt>
                <c:pt idx="153">
                  <c:v>1.5554284590900538</c:v>
                </c:pt>
                <c:pt idx="154">
                  <c:v>1.5554284590900538</c:v>
                </c:pt>
                <c:pt idx="155">
                  <c:v>1.5554284590900538</c:v>
                </c:pt>
                <c:pt idx="156">
                  <c:v>1.5554284590900538</c:v>
                </c:pt>
                <c:pt idx="157">
                  <c:v>1.5554284590900538</c:v>
                </c:pt>
                <c:pt idx="158">
                  <c:v>1.5554284590900538</c:v>
                </c:pt>
                <c:pt idx="159">
                  <c:v>1.5554284590900538</c:v>
                </c:pt>
                <c:pt idx="160">
                  <c:v>1.5554284590900538</c:v>
                </c:pt>
                <c:pt idx="161">
                  <c:v>1.5554284590900538</c:v>
                </c:pt>
                <c:pt idx="162">
                  <c:v>1.5554284590900538</c:v>
                </c:pt>
                <c:pt idx="163">
                  <c:v>1.5554284590900538</c:v>
                </c:pt>
                <c:pt idx="164">
                  <c:v>1.5554284590900538</c:v>
                </c:pt>
                <c:pt idx="165">
                  <c:v>1.5554284590900538</c:v>
                </c:pt>
                <c:pt idx="166">
                  <c:v>1.5554284590900538</c:v>
                </c:pt>
                <c:pt idx="167">
                  <c:v>1.5554284590900538</c:v>
                </c:pt>
                <c:pt idx="168">
                  <c:v>1.5554284590900538</c:v>
                </c:pt>
                <c:pt idx="169">
                  <c:v>1.5554284590900538</c:v>
                </c:pt>
                <c:pt idx="170">
                  <c:v>1.5554284590900538</c:v>
                </c:pt>
                <c:pt idx="171">
                  <c:v>1.5554284590900538</c:v>
                </c:pt>
                <c:pt idx="172">
                  <c:v>1.5554284590900538</c:v>
                </c:pt>
                <c:pt idx="173">
                  <c:v>1.5554284590900538</c:v>
                </c:pt>
                <c:pt idx="174">
                  <c:v>1.5554284590900538</c:v>
                </c:pt>
                <c:pt idx="175">
                  <c:v>1.5554284590900538</c:v>
                </c:pt>
                <c:pt idx="176">
                  <c:v>1.5554284590900538</c:v>
                </c:pt>
                <c:pt idx="177">
                  <c:v>1.5554284590900538</c:v>
                </c:pt>
                <c:pt idx="178">
                  <c:v>1.5554284590900538</c:v>
                </c:pt>
                <c:pt idx="179">
                  <c:v>1.5554284590900538</c:v>
                </c:pt>
                <c:pt idx="180">
                  <c:v>1.5554284590900538</c:v>
                </c:pt>
                <c:pt idx="181">
                  <c:v>1.5554284590900538</c:v>
                </c:pt>
                <c:pt idx="182">
                  <c:v>1.5554284590900538</c:v>
                </c:pt>
                <c:pt idx="183">
                  <c:v>1.5554284590900538</c:v>
                </c:pt>
                <c:pt idx="184">
                  <c:v>1.5554284590900538</c:v>
                </c:pt>
                <c:pt idx="185">
                  <c:v>1.5554284590900538</c:v>
                </c:pt>
                <c:pt idx="186">
                  <c:v>1.5554284590900538</c:v>
                </c:pt>
                <c:pt idx="187">
                  <c:v>1.5554284590900538</c:v>
                </c:pt>
                <c:pt idx="188">
                  <c:v>1.5554284590900538</c:v>
                </c:pt>
                <c:pt idx="189">
                  <c:v>1.5554284590900538</c:v>
                </c:pt>
                <c:pt idx="190">
                  <c:v>1.5554284590900538</c:v>
                </c:pt>
                <c:pt idx="191">
                  <c:v>1.5554284590900538</c:v>
                </c:pt>
                <c:pt idx="192">
                  <c:v>1.5554284590900538</c:v>
                </c:pt>
                <c:pt idx="193">
                  <c:v>1.5554284590900538</c:v>
                </c:pt>
                <c:pt idx="194">
                  <c:v>1.5554284590900538</c:v>
                </c:pt>
                <c:pt idx="195">
                  <c:v>1.5554284590900538</c:v>
                </c:pt>
                <c:pt idx="196">
                  <c:v>1.5554284590900538</c:v>
                </c:pt>
                <c:pt idx="197">
                  <c:v>1.5554284590900538</c:v>
                </c:pt>
                <c:pt idx="198">
                  <c:v>1.5554284590900538</c:v>
                </c:pt>
                <c:pt idx="199">
                  <c:v>1.5554284590900538</c:v>
                </c:pt>
                <c:pt idx="200">
                  <c:v>1.5554284590900538</c:v>
                </c:pt>
                <c:pt idx="201">
                  <c:v>1.5554284590900538</c:v>
                </c:pt>
                <c:pt idx="202">
                  <c:v>1.5554284590900538</c:v>
                </c:pt>
                <c:pt idx="203">
                  <c:v>1.5554284590900538</c:v>
                </c:pt>
                <c:pt idx="204">
                  <c:v>1.5554284590900538</c:v>
                </c:pt>
                <c:pt idx="205">
                  <c:v>1.5554284590900538</c:v>
                </c:pt>
                <c:pt idx="206">
                  <c:v>1.5554284590900538</c:v>
                </c:pt>
                <c:pt idx="207">
                  <c:v>1.5554284590900538</c:v>
                </c:pt>
                <c:pt idx="208">
                  <c:v>1.5554284590900538</c:v>
                </c:pt>
                <c:pt idx="209">
                  <c:v>1.5554284590900538</c:v>
                </c:pt>
                <c:pt idx="210">
                  <c:v>1.5554284590900538</c:v>
                </c:pt>
                <c:pt idx="211">
                  <c:v>1.5554284590900538</c:v>
                </c:pt>
                <c:pt idx="212">
                  <c:v>1.5554284590900538</c:v>
                </c:pt>
                <c:pt idx="213">
                  <c:v>1.5554284590900538</c:v>
                </c:pt>
                <c:pt idx="214">
                  <c:v>1.5554284590900538</c:v>
                </c:pt>
                <c:pt idx="215">
                  <c:v>1.5554284590900538</c:v>
                </c:pt>
                <c:pt idx="216">
                  <c:v>1.5554284590900538</c:v>
                </c:pt>
                <c:pt idx="217">
                  <c:v>1.5554284590900538</c:v>
                </c:pt>
                <c:pt idx="218">
                  <c:v>1.5554284590900538</c:v>
                </c:pt>
                <c:pt idx="219">
                  <c:v>1.5554284590900538</c:v>
                </c:pt>
                <c:pt idx="220">
                  <c:v>1.5554284590900538</c:v>
                </c:pt>
                <c:pt idx="221">
                  <c:v>1.5554284590900538</c:v>
                </c:pt>
                <c:pt idx="222">
                  <c:v>1.5554284590900538</c:v>
                </c:pt>
                <c:pt idx="223">
                  <c:v>1.5554284590900538</c:v>
                </c:pt>
                <c:pt idx="224">
                  <c:v>1.5554284590900538</c:v>
                </c:pt>
                <c:pt idx="225">
                  <c:v>1.5554284590900538</c:v>
                </c:pt>
                <c:pt idx="226">
                  <c:v>1.5554284590900538</c:v>
                </c:pt>
                <c:pt idx="227">
                  <c:v>1.5554284590900538</c:v>
                </c:pt>
                <c:pt idx="228">
                  <c:v>1.5554284590900538</c:v>
                </c:pt>
                <c:pt idx="229">
                  <c:v>1.5554284590900538</c:v>
                </c:pt>
                <c:pt idx="230">
                  <c:v>1.5554284590900538</c:v>
                </c:pt>
                <c:pt idx="231">
                  <c:v>1.5554284590900538</c:v>
                </c:pt>
                <c:pt idx="232">
                  <c:v>1.5554284590900538</c:v>
                </c:pt>
                <c:pt idx="233">
                  <c:v>1.5554284590900538</c:v>
                </c:pt>
                <c:pt idx="234">
                  <c:v>1.5554284590900538</c:v>
                </c:pt>
                <c:pt idx="235">
                  <c:v>1.5554284590900538</c:v>
                </c:pt>
                <c:pt idx="236">
                  <c:v>1.5554284590900538</c:v>
                </c:pt>
                <c:pt idx="237">
                  <c:v>1.5554284590900538</c:v>
                </c:pt>
                <c:pt idx="238">
                  <c:v>1.5554284590900538</c:v>
                </c:pt>
                <c:pt idx="239">
                  <c:v>1.5554284590900538</c:v>
                </c:pt>
                <c:pt idx="240">
                  <c:v>1.5554284590900538</c:v>
                </c:pt>
                <c:pt idx="241">
                  <c:v>1.5554284590900538</c:v>
                </c:pt>
                <c:pt idx="242">
                  <c:v>1.5554284590900538</c:v>
                </c:pt>
                <c:pt idx="243">
                  <c:v>1.5554284590900538</c:v>
                </c:pt>
                <c:pt idx="244">
                  <c:v>1.5554284590900538</c:v>
                </c:pt>
                <c:pt idx="245">
                  <c:v>1.5554284590900538</c:v>
                </c:pt>
                <c:pt idx="246">
                  <c:v>1.5554284590900538</c:v>
                </c:pt>
                <c:pt idx="247">
                  <c:v>1.5554284590900538</c:v>
                </c:pt>
                <c:pt idx="248">
                  <c:v>1.5554284590900538</c:v>
                </c:pt>
                <c:pt idx="249">
                  <c:v>1.5554284590900538</c:v>
                </c:pt>
                <c:pt idx="250">
                  <c:v>1.5554284590900538</c:v>
                </c:pt>
                <c:pt idx="251">
                  <c:v>1.5554284590900538</c:v>
                </c:pt>
                <c:pt idx="252">
                  <c:v>1.5554284590900538</c:v>
                </c:pt>
                <c:pt idx="253">
                  <c:v>1.5554284590900538</c:v>
                </c:pt>
                <c:pt idx="254">
                  <c:v>1.5554284590900538</c:v>
                </c:pt>
                <c:pt idx="255">
                  <c:v>1.5554284590900538</c:v>
                </c:pt>
                <c:pt idx="256">
                  <c:v>1.5554284590900538</c:v>
                </c:pt>
                <c:pt idx="257">
                  <c:v>1.5554284590900538</c:v>
                </c:pt>
                <c:pt idx="258">
                  <c:v>1.5554284590900538</c:v>
                </c:pt>
                <c:pt idx="259">
                  <c:v>1.5554284590900538</c:v>
                </c:pt>
                <c:pt idx="260">
                  <c:v>1.5554284590900538</c:v>
                </c:pt>
                <c:pt idx="261">
                  <c:v>1.5554284590900538</c:v>
                </c:pt>
                <c:pt idx="262">
                  <c:v>1.5554284590900538</c:v>
                </c:pt>
                <c:pt idx="263">
                  <c:v>1.5554284590900538</c:v>
                </c:pt>
                <c:pt idx="264">
                  <c:v>1.5554284590900538</c:v>
                </c:pt>
                <c:pt idx="265">
                  <c:v>1.5554284590900538</c:v>
                </c:pt>
                <c:pt idx="266">
                  <c:v>1.5554284590900538</c:v>
                </c:pt>
                <c:pt idx="267">
                  <c:v>1.5554284590900538</c:v>
                </c:pt>
                <c:pt idx="268">
                  <c:v>1.5554284590900538</c:v>
                </c:pt>
                <c:pt idx="269">
                  <c:v>1.5554284590900538</c:v>
                </c:pt>
                <c:pt idx="270">
                  <c:v>1.5554284590900538</c:v>
                </c:pt>
                <c:pt idx="271">
                  <c:v>1.5554284590900538</c:v>
                </c:pt>
                <c:pt idx="272">
                  <c:v>1.5554284590900538</c:v>
                </c:pt>
                <c:pt idx="273">
                  <c:v>1.5554284590900538</c:v>
                </c:pt>
                <c:pt idx="274">
                  <c:v>1.5554284590900538</c:v>
                </c:pt>
                <c:pt idx="275">
                  <c:v>1.5554284590900538</c:v>
                </c:pt>
                <c:pt idx="276">
                  <c:v>1.5554284590900538</c:v>
                </c:pt>
                <c:pt idx="277">
                  <c:v>1.5554284590900538</c:v>
                </c:pt>
                <c:pt idx="278">
                  <c:v>1.5554284590900538</c:v>
                </c:pt>
                <c:pt idx="279">
                  <c:v>1.5554284590900538</c:v>
                </c:pt>
                <c:pt idx="280">
                  <c:v>1.5554284590900538</c:v>
                </c:pt>
                <c:pt idx="281">
                  <c:v>1.5554284590900538</c:v>
                </c:pt>
                <c:pt idx="282">
                  <c:v>1.5554284590900538</c:v>
                </c:pt>
                <c:pt idx="283">
                  <c:v>1.5554284590900538</c:v>
                </c:pt>
                <c:pt idx="284">
                  <c:v>1.5554284590900538</c:v>
                </c:pt>
                <c:pt idx="285">
                  <c:v>1.5554284590900538</c:v>
                </c:pt>
                <c:pt idx="286">
                  <c:v>1.5554284590900538</c:v>
                </c:pt>
                <c:pt idx="287">
                  <c:v>1.5554284590900538</c:v>
                </c:pt>
                <c:pt idx="288">
                  <c:v>1.5554284590900538</c:v>
                </c:pt>
                <c:pt idx="289">
                  <c:v>1.5554284590900538</c:v>
                </c:pt>
                <c:pt idx="290">
                  <c:v>1.5554284590900538</c:v>
                </c:pt>
                <c:pt idx="291">
                  <c:v>1.5554284590900538</c:v>
                </c:pt>
                <c:pt idx="292">
                  <c:v>1.5554284590900538</c:v>
                </c:pt>
                <c:pt idx="293">
                  <c:v>1.5554284590900538</c:v>
                </c:pt>
                <c:pt idx="294">
                  <c:v>1.5554284590900538</c:v>
                </c:pt>
                <c:pt idx="295">
                  <c:v>1.5554284590900538</c:v>
                </c:pt>
                <c:pt idx="296">
                  <c:v>1.5554284590900538</c:v>
                </c:pt>
                <c:pt idx="297">
                  <c:v>1.5554284590900538</c:v>
                </c:pt>
                <c:pt idx="298">
                  <c:v>1.5554284590900538</c:v>
                </c:pt>
                <c:pt idx="299">
                  <c:v>1.5554284590900538</c:v>
                </c:pt>
                <c:pt idx="300">
                  <c:v>1.5554284590900538</c:v>
                </c:pt>
                <c:pt idx="301">
                  <c:v>1.5554284590900538</c:v>
                </c:pt>
                <c:pt idx="302">
                  <c:v>1.5554284590900538</c:v>
                </c:pt>
                <c:pt idx="303">
                  <c:v>1.5554284590900538</c:v>
                </c:pt>
                <c:pt idx="304">
                  <c:v>1.5554284590900538</c:v>
                </c:pt>
                <c:pt idx="305">
                  <c:v>1.5554284590900538</c:v>
                </c:pt>
                <c:pt idx="306">
                  <c:v>1.5554284590900538</c:v>
                </c:pt>
                <c:pt idx="307">
                  <c:v>1.5554284590900538</c:v>
                </c:pt>
                <c:pt idx="308">
                  <c:v>1.5554284590900538</c:v>
                </c:pt>
                <c:pt idx="309">
                  <c:v>1.5554284590900538</c:v>
                </c:pt>
                <c:pt idx="310">
                  <c:v>1.5554284590900538</c:v>
                </c:pt>
                <c:pt idx="311">
                  <c:v>1.5554284590900538</c:v>
                </c:pt>
                <c:pt idx="312">
                  <c:v>1.5554284590900538</c:v>
                </c:pt>
                <c:pt idx="313">
                  <c:v>1.5554284590900538</c:v>
                </c:pt>
                <c:pt idx="314">
                  <c:v>1.5554284590900538</c:v>
                </c:pt>
                <c:pt idx="315">
                  <c:v>1.5554284590900538</c:v>
                </c:pt>
                <c:pt idx="316">
                  <c:v>1.5554284590900538</c:v>
                </c:pt>
                <c:pt idx="317">
                  <c:v>1.5554284590900538</c:v>
                </c:pt>
                <c:pt idx="318">
                  <c:v>1.5554284590900538</c:v>
                </c:pt>
                <c:pt idx="319">
                  <c:v>1.5554284590900538</c:v>
                </c:pt>
                <c:pt idx="320">
                  <c:v>1.5554284590900538</c:v>
                </c:pt>
                <c:pt idx="321">
                  <c:v>1.5554284590900538</c:v>
                </c:pt>
                <c:pt idx="322">
                  <c:v>1.5554284590900538</c:v>
                </c:pt>
                <c:pt idx="323">
                  <c:v>1.5554284590900538</c:v>
                </c:pt>
                <c:pt idx="324">
                  <c:v>1.5554284590900538</c:v>
                </c:pt>
                <c:pt idx="325">
                  <c:v>1.5554284590900538</c:v>
                </c:pt>
                <c:pt idx="326">
                  <c:v>1.5554284590900538</c:v>
                </c:pt>
                <c:pt idx="327">
                  <c:v>1.5554284590900538</c:v>
                </c:pt>
                <c:pt idx="328">
                  <c:v>1.5554284590900538</c:v>
                </c:pt>
                <c:pt idx="329">
                  <c:v>1.5554284590900538</c:v>
                </c:pt>
                <c:pt idx="330">
                  <c:v>1.5554284590900538</c:v>
                </c:pt>
                <c:pt idx="331">
                  <c:v>1.5554284590900538</c:v>
                </c:pt>
                <c:pt idx="332">
                  <c:v>1.5554284590900538</c:v>
                </c:pt>
                <c:pt idx="333">
                  <c:v>1.5554284590900538</c:v>
                </c:pt>
                <c:pt idx="334">
                  <c:v>1.5554284590900538</c:v>
                </c:pt>
                <c:pt idx="335">
                  <c:v>1.5554284590900538</c:v>
                </c:pt>
                <c:pt idx="336">
                  <c:v>1.5554284590900538</c:v>
                </c:pt>
                <c:pt idx="337">
                  <c:v>1.5554284590900538</c:v>
                </c:pt>
                <c:pt idx="338">
                  <c:v>1.5554284590900538</c:v>
                </c:pt>
                <c:pt idx="339">
                  <c:v>1.5554284590900538</c:v>
                </c:pt>
                <c:pt idx="340">
                  <c:v>1.5554284590900538</c:v>
                </c:pt>
                <c:pt idx="341">
                  <c:v>1.5554284590900538</c:v>
                </c:pt>
                <c:pt idx="342">
                  <c:v>1.5554284590900538</c:v>
                </c:pt>
                <c:pt idx="343">
                  <c:v>1.5554284590900538</c:v>
                </c:pt>
                <c:pt idx="344">
                  <c:v>1.5554284590900538</c:v>
                </c:pt>
                <c:pt idx="345">
                  <c:v>1.5554284590900538</c:v>
                </c:pt>
                <c:pt idx="346">
                  <c:v>1.5554284590900538</c:v>
                </c:pt>
                <c:pt idx="347">
                  <c:v>1.5554284590900538</c:v>
                </c:pt>
                <c:pt idx="348">
                  <c:v>1.5554284590900538</c:v>
                </c:pt>
                <c:pt idx="349">
                  <c:v>1.5554284590900538</c:v>
                </c:pt>
                <c:pt idx="350">
                  <c:v>1.5554284590900538</c:v>
                </c:pt>
                <c:pt idx="351">
                  <c:v>1.5554284590900538</c:v>
                </c:pt>
                <c:pt idx="352">
                  <c:v>1.5554284590900538</c:v>
                </c:pt>
                <c:pt idx="353">
                  <c:v>1.5554284590900538</c:v>
                </c:pt>
                <c:pt idx="354">
                  <c:v>1.5554284590900538</c:v>
                </c:pt>
                <c:pt idx="355">
                  <c:v>1.5554284590900538</c:v>
                </c:pt>
                <c:pt idx="356">
                  <c:v>1.5554284590900538</c:v>
                </c:pt>
                <c:pt idx="357">
                  <c:v>1.5554284590900538</c:v>
                </c:pt>
                <c:pt idx="358">
                  <c:v>1.5554284590900538</c:v>
                </c:pt>
                <c:pt idx="359">
                  <c:v>1.5554284590900538</c:v>
                </c:pt>
                <c:pt idx="360">
                  <c:v>1.5554284590900538</c:v>
                </c:pt>
                <c:pt idx="361">
                  <c:v>1.5554284590900538</c:v>
                </c:pt>
                <c:pt idx="362">
                  <c:v>1.5554284590900538</c:v>
                </c:pt>
                <c:pt idx="363">
                  <c:v>1.5554284590900538</c:v>
                </c:pt>
                <c:pt idx="364">
                  <c:v>1.5554284590900538</c:v>
                </c:pt>
                <c:pt idx="365">
                  <c:v>1.5554284590900538</c:v>
                </c:pt>
                <c:pt idx="366">
                  <c:v>1.5554284590900538</c:v>
                </c:pt>
                <c:pt idx="367">
                  <c:v>1.5554284590900538</c:v>
                </c:pt>
                <c:pt idx="368">
                  <c:v>1.5554284590900538</c:v>
                </c:pt>
                <c:pt idx="369">
                  <c:v>1.5554284590900538</c:v>
                </c:pt>
                <c:pt idx="370">
                  <c:v>1.5554284590900538</c:v>
                </c:pt>
                <c:pt idx="371">
                  <c:v>1.5554284590900538</c:v>
                </c:pt>
                <c:pt idx="372">
                  <c:v>1.5554284590900538</c:v>
                </c:pt>
                <c:pt idx="373">
                  <c:v>1.5554284590900538</c:v>
                </c:pt>
                <c:pt idx="374">
                  <c:v>1.5554284590900538</c:v>
                </c:pt>
                <c:pt idx="375">
                  <c:v>1.5554284590900538</c:v>
                </c:pt>
                <c:pt idx="376">
                  <c:v>1.5554284590900538</c:v>
                </c:pt>
                <c:pt idx="377">
                  <c:v>1.5554284590900538</c:v>
                </c:pt>
                <c:pt idx="378">
                  <c:v>1.5554284590900538</c:v>
                </c:pt>
                <c:pt idx="379">
                  <c:v>1.5554284590900538</c:v>
                </c:pt>
                <c:pt idx="380">
                  <c:v>1.5554284590900538</c:v>
                </c:pt>
                <c:pt idx="381">
                  <c:v>1.5554284590900538</c:v>
                </c:pt>
                <c:pt idx="382">
                  <c:v>1.5554284590900538</c:v>
                </c:pt>
                <c:pt idx="383">
                  <c:v>1.5554284590900538</c:v>
                </c:pt>
                <c:pt idx="384">
                  <c:v>1.5554284590900538</c:v>
                </c:pt>
                <c:pt idx="385">
                  <c:v>1.5554284590900538</c:v>
                </c:pt>
                <c:pt idx="386">
                  <c:v>1.5554284590900538</c:v>
                </c:pt>
                <c:pt idx="387">
                  <c:v>1.5554284590900538</c:v>
                </c:pt>
                <c:pt idx="388">
                  <c:v>1.5554284590900538</c:v>
                </c:pt>
                <c:pt idx="389">
                  <c:v>1.5554284590900538</c:v>
                </c:pt>
                <c:pt idx="390">
                  <c:v>1.5554284590900538</c:v>
                </c:pt>
                <c:pt idx="391">
                  <c:v>1.5554284590900538</c:v>
                </c:pt>
                <c:pt idx="392">
                  <c:v>1.5554284590900538</c:v>
                </c:pt>
                <c:pt idx="393">
                  <c:v>1.5554284590900538</c:v>
                </c:pt>
                <c:pt idx="394">
                  <c:v>1.5554284590900538</c:v>
                </c:pt>
                <c:pt idx="395">
                  <c:v>1.5554284590900538</c:v>
                </c:pt>
                <c:pt idx="396">
                  <c:v>1.5554284590900538</c:v>
                </c:pt>
                <c:pt idx="397">
                  <c:v>1.5554284590900538</c:v>
                </c:pt>
                <c:pt idx="398">
                  <c:v>1.5554284590900538</c:v>
                </c:pt>
                <c:pt idx="399">
                  <c:v>1.5554284590900538</c:v>
                </c:pt>
                <c:pt idx="400">
                  <c:v>1.5554284590900538</c:v>
                </c:pt>
                <c:pt idx="401">
                  <c:v>1.5554284590900538</c:v>
                </c:pt>
                <c:pt idx="402">
                  <c:v>1.5554284590900538</c:v>
                </c:pt>
                <c:pt idx="403">
                  <c:v>1.5554284590900538</c:v>
                </c:pt>
                <c:pt idx="404">
                  <c:v>1.5554284590900538</c:v>
                </c:pt>
                <c:pt idx="405">
                  <c:v>1.5554284590900538</c:v>
                </c:pt>
                <c:pt idx="406">
                  <c:v>1.5554284590900538</c:v>
                </c:pt>
                <c:pt idx="407">
                  <c:v>1.5554284590900538</c:v>
                </c:pt>
                <c:pt idx="408">
                  <c:v>1.5554284590900538</c:v>
                </c:pt>
                <c:pt idx="409">
                  <c:v>1.5554284590900538</c:v>
                </c:pt>
                <c:pt idx="410">
                  <c:v>1.5554284590900538</c:v>
                </c:pt>
                <c:pt idx="411">
                  <c:v>1.5554284590900538</c:v>
                </c:pt>
                <c:pt idx="412">
                  <c:v>1.5554284590900538</c:v>
                </c:pt>
                <c:pt idx="413">
                  <c:v>1.5554284590900538</c:v>
                </c:pt>
                <c:pt idx="414">
                  <c:v>1.5554284590900538</c:v>
                </c:pt>
                <c:pt idx="415">
                  <c:v>1.5554284590900538</c:v>
                </c:pt>
                <c:pt idx="416">
                  <c:v>1.5554284590900538</c:v>
                </c:pt>
                <c:pt idx="417">
                  <c:v>1.5554284590900538</c:v>
                </c:pt>
                <c:pt idx="418">
                  <c:v>1.5554284590900538</c:v>
                </c:pt>
                <c:pt idx="419">
                  <c:v>1.5554284590900538</c:v>
                </c:pt>
                <c:pt idx="420">
                  <c:v>1.5554284590900538</c:v>
                </c:pt>
                <c:pt idx="421">
                  <c:v>1.5554284590900538</c:v>
                </c:pt>
                <c:pt idx="422">
                  <c:v>1.5554284590900538</c:v>
                </c:pt>
                <c:pt idx="423">
                  <c:v>1.5554284590900538</c:v>
                </c:pt>
                <c:pt idx="424">
                  <c:v>1.5554284590900538</c:v>
                </c:pt>
                <c:pt idx="425">
                  <c:v>1.5554284590900538</c:v>
                </c:pt>
                <c:pt idx="426">
                  <c:v>1.5554284590900538</c:v>
                </c:pt>
                <c:pt idx="427">
                  <c:v>1.5554284590900538</c:v>
                </c:pt>
                <c:pt idx="428">
                  <c:v>1.5554284590900538</c:v>
                </c:pt>
                <c:pt idx="429">
                  <c:v>1.5554284590900538</c:v>
                </c:pt>
                <c:pt idx="430">
                  <c:v>1.5554284590900538</c:v>
                </c:pt>
                <c:pt idx="431">
                  <c:v>1.5554284590900538</c:v>
                </c:pt>
                <c:pt idx="432">
                  <c:v>1.5554284590900538</c:v>
                </c:pt>
                <c:pt idx="433">
                  <c:v>1.5554284590900538</c:v>
                </c:pt>
                <c:pt idx="434">
                  <c:v>1.5554284590900538</c:v>
                </c:pt>
                <c:pt idx="435">
                  <c:v>1.5554284590900538</c:v>
                </c:pt>
                <c:pt idx="436">
                  <c:v>1.5554284590900538</c:v>
                </c:pt>
                <c:pt idx="437">
                  <c:v>1.5554284590900538</c:v>
                </c:pt>
                <c:pt idx="438">
                  <c:v>1.5554284590900538</c:v>
                </c:pt>
                <c:pt idx="439">
                  <c:v>1.5554284590900538</c:v>
                </c:pt>
                <c:pt idx="440">
                  <c:v>1.5554284590900538</c:v>
                </c:pt>
                <c:pt idx="441">
                  <c:v>1.5554284590900538</c:v>
                </c:pt>
                <c:pt idx="442">
                  <c:v>1.5554284590900538</c:v>
                </c:pt>
                <c:pt idx="443">
                  <c:v>1.5554284590900538</c:v>
                </c:pt>
                <c:pt idx="444">
                  <c:v>1.5554284590900538</c:v>
                </c:pt>
                <c:pt idx="445">
                  <c:v>1.5554284590900538</c:v>
                </c:pt>
                <c:pt idx="446">
                  <c:v>1.5554284590900538</c:v>
                </c:pt>
                <c:pt idx="447">
                  <c:v>1.5554284590900538</c:v>
                </c:pt>
                <c:pt idx="448">
                  <c:v>1.5554284590900538</c:v>
                </c:pt>
                <c:pt idx="449">
                  <c:v>1.5554284590900538</c:v>
                </c:pt>
                <c:pt idx="450">
                  <c:v>1.5554284590900538</c:v>
                </c:pt>
                <c:pt idx="451">
                  <c:v>1.5554284590900538</c:v>
                </c:pt>
                <c:pt idx="452">
                  <c:v>1.5554284590900538</c:v>
                </c:pt>
                <c:pt idx="453">
                  <c:v>1.5554284590900538</c:v>
                </c:pt>
                <c:pt idx="454">
                  <c:v>1.5554284590900538</c:v>
                </c:pt>
                <c:pt idx="455">
                  <c:v>1.5554284590900538</c:v>
                </c:pt>
                <c:pt idx="456">
                  <c:v>1.5554284590900538</c:v>
                </c:pt>
                <c:pt idx="457">
                  <c:v>1.5554284590900538</c:v>
                </c:pt>
                <c:pt idx="458">
                  <c:v>1.5554284590900538</c:v>
                </c:pt>
                <c:pt idx="459">
                  <c:v>1.5554284590900538</c:v>
                </c:pt>
                <c:pt idx="460">
                  <c:v>1.5554284590900538</c:v>
                </c:pt>
                <c:pt idx="461">
                  <c:v>1.5554284590900538</c:v>
                </c:pt>
                <c:pt idx="462">
                  <c:v>1.5554284590900538</c:v>
                </c:pt>
                <c:pt idx="463">
                  <c:v>1.5554284590900538</c:v>
                </c:pt>
                <c:pt idx="464">
                  <c:v>1.5554284590900538</c:v>
                </c:pt>
                <c:pt idx="465">
                  <c:v>1.5554284590900538</c:v>
                </c:pt>
                <c:pt idx="466">
                  <c:v>1.5554284590900538</c:v>
                </c:pt>
                <c:pt idx="467">
                  <c:v>1.5554284590900538</c:v>
                </c:pt>
                <c:pt idx="468">
                  <c:v>1.5554284590900538</c:v>
                </c:pt>
                <c:pt idx="469">
                  <c:v>1.5554284590900538</c:v>
                </c:pt>
                <c:pt idx="470">
                  <c:v>1.5554284590900538</c:v>
                </c:pt>
                <c:pt idx="471">
                  <c:v>1.5554284590900538</c:v>
                </c:pt>
                <c:pt idx="472">
                  <c:v>1.5554284590900538</c:v>
                </c:pt>
                <c:pt idx="473">
                  <c:v>1.5554284590900538</c:v>
                </c:pt>
                <c:pt idx="474">
                  <c:v>1.5554284590900538</c:v>
                </c:pt>
                <c:pt idx="475">
                  <c:v>1.5554284590900538</c:v>
                </c:pt>
                <c:pt idx="476">
                  <c:v>1.5554284590900538</c:v>
                </c:pt>
                <c:pt idx="477">
                  <c:v>1.5554284590900538</c:v>
                </c:pt>
                <c:pt idx="478">
                  <c:v>1.5554284590900538</c:v>
                </c:pt>
                <c:pt idx="479">
                  <c:v>1.5554284590900538</c:v>
                </c:pt>
                <c:pt idx="480">
                  <c:v>1.5554284590900538</c:v>
                </c:pt>
                <c:pt idx="481">
                  <c:v>1.5554284590900538</c:v>
                </c:pt>
                <c:pt idx="482">
                  <c:v>1.5554284590900538</c:v>
                </c:pt>
                <c:pt idx="483">
                  <c:v>1.5554284590900538</c:v>
                </c:pt>
                <c:pt idx="484">
                  <c:v>1.5554284590900538</c:v>
                </c:pt>
                <c:pt idx="485">
                  <c:v>1.5554284590900538</c:v>
                </c:pt>
                <c:pt idx="486">
                  <c:v>1.5554284590900538</c:v>
                </c:pt>
                <c:pt idx="487">
                  <c:v>1.5554284590900538</c:v>
                </c:pt>
                <c:pt idx="488">
                  <c:v>1.5554284590900538</c:v>
                </c:pt>
                <c:pt idx="489">
                  <c:v>1.5554284590900538</c:v>
                </c:pt>
                <c:pt idx="490">
                  <c:v>1.5554284590900538</c:v>
                </c:pt>
                <c:pt idx="491">
                  <c:v>1.5554284590900538</c:v>
                </c:pt>
                <c:pt idx="492">
                  <c:v>1.5554284590900538</c:v>
                </c:pt>
                <c:pt idx="493">
                  <c:v>1.5554284590900538</c:v>
                </c:pt>
                <c:pt idx="494">
                  <c:v>1.5554284590900538</c:v>
                </c:pt>
                <c:pt idx="495">
                  <c:v>1.5554284590900538</c:v>
                </c:pt>
                <c:pt idx="496">
                  <c:v>1.5554284590900538</c:v>
                </c:pt>
                <c:pt idx="497">
                  <c:v>1.5554284590900538</c:v>
                </c:pt>
                <c:pt idx="498">
                  <c:v>1.5554284590900538</c:v>
                </c:pt>
                <c:pt idx="499">
                  <c:v>1.5554284590900538</c:v>
                </c:pt>
                <c:pt idx="500">
                  <c:v>1.5554284590900538</c:v>
                </c:pt>
                <c:pt idx="501">
                  <c:v>1.5554284590900538</c:v>
                </c:pt>
                <c:pt idx="502">
                  <c:v>1.5554284590900538</c:v>
                </c:pt>
                <c:pt idx="503">
                  <c:v>1.5554284590900538</c:v>
                </c:pt>
                <c:pt idx="504">
                  <c:v>1.5554284590900538</c:v>
                </c:pt>
                <c:pt idx="505">
                  <c:v>1.5554284590900538</c:v>
                </c:pt>
                <c:pt idx="506">
                  <c:v>1.5554284590900538</c:v>
                </c:pt>
                <c:pt idx="507">
                  <c:v>1.5554284590900538</c:v>
                </c:pt>
                <c:pt idx="508">
                  <c:v>1.5554284590900538</c:v>
                </c:pt>
                <c:pt idx="509">
                  <c:v>1.5554284590900538</c:v>
                </c:pt>
                <c:pt idx="510">
                  <c:v>1.5554284590900538</c:v>
                </c:pt>
                <c:pt idx="511">
                  <c:v>1.5554284590900538</c:v>
                </c:pt>
                <c:pt idx="512">
                  <c:v>1.5554284590900538</c:v>
                </c:pt>
                <c:pt idx="513">
                  <c:v>1.5554284590900538</c:v>
                </c:pt>
                <c:pt idx="514">
                  <c:v>1.5554284590900538</c:v>
                </c:pt>
                <c:pt idx="515">
                  <c:v>1.5554284590900538</c:v>
                </c:pt>
                <c:pt idx="516">
                  <c:v>1.5554284590900538</c:v>
                </c:pt>
                <c:pt idx="517">
                  <c:v>1.5554284590900538</c:v>
                </c:pt>
                <c:pt idx="518">
                  <c:v>1.5554284590900538</c:v>
                </c:pt>
                <c:pt idx="519">
                  <c:v>1.5554284590900538</c:v>
                </c:pt>
                <c:pt idx="520">
                  <c:v>1.5554284590900538</c:v>
                </c:pt>
                <c:pt idx="521">
                  <c:v>1.5554284590900538</c:v>
                </c:pt>
                <c:pt idx="522">
                  <c:v>1.5554284590900538</c:v>
                </c:pt>
                <c:pt idx="523">
                  <c:v>1.5554284590900538</c:v>
                </c:pt>
                <c:pt idx="524">
                  <c:v>1.5554284590900538</c:v>
                </c:pt>
                <c:pt idx="525">
                  <c:v>1.5554284590900538</c:v>
                </c:pt>
                <c:pt idx="526">
                  <c:v>1.5554284590900538</c:v>
                </c:pt>
                <c:pt idx="527">
                  <c:v>1.5554284590900538</c:v>
                </c:pt>
                <c:pt idx="528">
                  <c:v>1.5554284590900538</c:v>
                </c:pt>
                <c:pt idx="529">
                  <c:v>1.5554284590900538</c:v>
                </c:pt>
                <c:pt idx="530">
                  <c:v>1.5554284590900538</c:v>
                </c:pt>
                <c:pt idx="531">
                  <c:v>1.5554284590900538</c:v>
                </c:pt>
                <c:pt idx="532">
                  <c:v>1.5554284590900538</c:v>
                </c:pt>
                <c:pt idx="533">
                  <c:v>1.5554284590900538</c:v>
                </c:pt>
                <c:pt idx="534">
                  <c:v>1.5554284590900538</c:v>
                </c:pt>
                <c:pt idx="535">
                  <c:v>1.5554284590900538</c:v>
                </c:pt>
                <c:pt idx="536">
                  <c:v>1.5554284590900538</c:v>
                </c:pt>
                <c:pt idx="537">
                  <c:v>1.5554284590900538</c:v>
                </c:pt>
                <c:pt idx="538">
                  <c:v>1.5554284590900538</c:v>
                </c:pt>
                <c:pt idx="539">
                  <c:v>1.5554284590900538</c:v>
                </c:pt>
                <c:pt idx="540">
                  <c:v>1.5554284590900538</c:v>
                </c:pt>
                <c:pt idx="541">
                  <c:v>1.5554284590900538</c:v>
                </c:pt>
                <c:pt idx="542">
                  <c:v>1.5554284590900538</c:v>
                </c:pt>
                <c:pt idx="543">
                  <c:v>1.5554284590900538</c:v>
                </c:pt>
                <c:pt idx="544">
                  <c:v>1.5554284590900538</c:v>
                </c:pt>
                <c:pt idx="545">
                  <c:v>1.5554284590900538</c:v>
                </c:pt>
                <c:pt idx="546">
                  <c:v>1.5554284590900538</c:v>
                </c:pt>
                <c:pt idx="547">
                  <c:v>1.5554284590900538</c:v>
                </c:pt>
                <c:pt idx="548">
                  <c:v>1.5554284590900538</c:v>
                </c:pt>
                <c:pt idx="549">
                  <c:v>1.5554284590900538</c:v>
                </c:pt>
                <c:pt idx="550">
                  <c:v>1.5554284590900538</c:v>
                </c:pt>
                <c:pt idx="551">
                  <c:v>1.5554284590900538</c:v>
                </c:pt>
                <c:pt idx="552">
                  <c:v>1.5554284590900538</c:v>
                </c:pt>
                <c:pt idx="553">
                  <c:v>1.5554284590900538</c:v>
                </c:pt>
                <c:pt idx="554">
                  <c:v>1.5554284590900538</c:v>
                </c:pt>
                <c:pt idx="555">
                  <c:v>1.5554284590900538</c:v>
                </c:pt>
                <c:pt idx="556">
                  <c:v>1.5554284590900538</c:v>
                </c:pt>
                <c:pt idx="557">
                  <c:v>1.5554284590900538</c:v>
                </c:pt>
                <c:pt idx="558">
                  <c:v>1.5554284590900538</c:v>
                </c:pt>
                <c:pt idx="559">
                  <c:v>1.5554284590900538</c:v>
                </c:pt>
                <c:pt idx="560">
                  <c:v>1.5554284590900538</c:v>
                </c:pt>
                <c:pt idx="561">
                  <c:v>1.5554284590900538</c:v>
                </c:pt>
                <c:pt idx="562">
                  <c:v>1.5554284590900538</c:v>
                </c:pt>
                <c:pt idx="563">
                  <c:v>1.5554284590900538</c:v>
                </c:pt>
                <c:pt idx="564">
                  <c:v>1.5554284590900538</c:v>
                </c:pt>
                <c:pt idx="565">
                  <c:v>1.5554284590900538</c:v>
                </c:pt>
                <c:pt idx="566">
                  <c:v>1.5554284590900538</c:v>
                </c:pt>
                <c:pt idx="567">
                  <c:v>1.5554284590900538</c:v>
                </c:pt>
                <c:pt idx="568">
                  <c:v>1.5554284590900538</c:v>
                </c:pt>
                <c:pt idx="569">
                  <c:v>1.5554284590900538</c:v>
                </c:pt>
                <c:pt idx="570">
                  <c:v>1.5554284590900538</c:v>
                </c:pt>
                <c:pt idx="571">
                  <c:v>1.5554284590900538</c:v>
                </c:pt>
                <c:pt idx="572">
                  <c:v>1.5554284590900538</c:v>
                </c:pt>
                <c:pt idx="573">
                  <c:v>1.5554284590900538</c:v>
                </c:pt>
                <c:pt idx="574">
                  <c:v>1.5554284590900538</c:v>
                </c:pt>
                <c:pt idx="575">
                  <c:v>1.5554284590900538</c:v>
                </c:pt>
                <c:pt idx="576">
                  <c:v>1.5554284590900538</c:v>
                </c:pt>
                <c:pt idx="577">
                  <c:v>1.5554284590900538</c:v>
                </c:pt>
                <c:pt idx="578">
                  <c:v>1.5554284590900538</c:v>
                </c:pt>
                <c:pt idx="579">
                  <c:v>1.5554284590900538</c:v>
                </c:pt>
                <c:pt idx="580">
                  <c:v>1.5554284590900538</c:v>
                </c:pt>
                <c:pt idx="581">
                  <c:v>1.5554284590900538</c:v>
                </c:pt>
                <c:pt idx="582">
                  <c:v>1.5554284590900538</c:v>
                </c:pt>
                <c:pt idx="583">
                  <c:v>1.5554284590900538</c:v>
                </c:pt>
                <c:pt idx="584">
                  <c:v>1.5554284590900538</c:v>
                </c:pt>
                <c:pt idx="585">
                  <c:v>1.5554284590900538</c:v>
                </c:pt>
                <c:pt idx="586">
                  <c:v>1.5554284590900538</c:v>
                </c:pt>
                <c:pt idx="587">
                  <c:v>1.5554284590900538</c:v>
                </c:pt>
                <c:pt idx="588">
                  <c:v>1.5554284590900538</c:v>
                </c:pt>
                <c:pt idx="589">
                  <c:v>1.5554284590900538</c:v>
                </c:pt>
                <c:pt idx="590">
                  <c:v>1.5554284590900538</c:v>
                </c:pt>
                <c:pt idx="591">
                  <c:v>1.5554284590900538</c:v>
                </c:pt>
                <c:pt idx="592">
                  <c:v>1.5554284590900538</c:v>
                </c:pt>
                <c:pt idx="593">
                  <c:v>1.5554284590900538</c:v>
                </c:pt>
                <c:pt idx="594">
                  <c:v>1.5554284590900538</c:v>
                </c:pt>
                <c:pt idx="595">
                  <c:v>1.5554284590900538</c:v>
                </c:pt>
                <c:pt idx="596">
                  <c:v>1.5554284590900538</c:v>
                </c:pt>
                <c:pt idx="597">
                  <c:v>1.5554284590900538</c:v>
                </c:pt>
                <c:pt idx="598">
                  <c:v>1.5554284590900538</c:v>
                </c:pt>
                <c:pt idx="599">
                  <c:v>1.5554284590900538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0E-499A-AFD3-82E787357187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TTV_IMR!$E$13:$E$612</c:f>
              <c:numCache>
                <c:formatCode>0.0000</c:formatCode>
                <c:ptCount val="600"/>
                <c:pt idx="0">
                  <c:v>0.57467378325694207</c:v>
                </c:pt>
                <c:pt idx="1">
                  <c:v>0.57467378325694207</c:v>
                </c:pt>
                <c:pt idx="2">
                  <c:v>0.57467378325694207</c:v>
                </c:pt>
                <c:pt idx="3">
                  <c:v>0.57467378325694207</c:v>
                </c:pt>
                <c:pt idx="4">
                  <c:v>0.57467378325694207</c:v>
                </c:pt>
                <c:pt idx="5">
                  <c:v>0.57467378325694207</c:v>
                </c:pt>
                <c:pt idx="6">
                  <c:v>0.57467378325694207</c:v>
                </c:pt>
                <c:pt idx="7">
                  <c:v>0.57467378325694207</c:v>
                </c:pt>
                <c:pt idx="8">
                  <c:v>0.57467378325694207</c:v>
                </c:pt>
                <c:pt idx="9">
                  <c:v>0.57467378325694207</c:v>
                </c:pt>
                <c:pt idx="10">
                  <c:v>0.57467378325694207</c:v>
                </c:pt>
                <c:pt idx="11">
                  <c:v>0.57467378325694207</c:v>
                </c:pt>
                <c:pt idx="12">
                  <c:v>0.57467378325694207</c:v>
                </c:pt>
                <c:pt idx="13">
                  <c:v>0.57467378325694207</c:v>
                </c:pt>
                <c:pt idx="14">
                  <c:v>0.57467378325694207</c:v>
                </c:pt>
                <c:pt idx="15">
                  <c:v>0.57467378325694207</c:v>
                </c:pt>
                <c:pt idx="16">
                  <c:v>0.57467378325694207</c:v>
                </c:pt>
                <c:pt idx="17">
                  <c:v>0.57467378325694207</c:v>
                </c:pt>
                <c:pt idx="18">
                  <c:v>0.57467378325694207</c:v>
                </c:pt>
                <c:pt idx="19">
                  <c:v>0.57467378325694207</c:v>
                </c:pt>
                <c:pt idx="20">
                  <c:v>0.57467378325694207</c:v>
                </c:pt>
                <c:pt idx="21">
                  <c:v>0.57467378325694207</c:v>
                </c:pt>
                <c:pt idx="22">
                  <c:v>0.57467378325694207</c:v>
                </c:pt>
                <c:pt idx="23">
                  <c:v>0.57467378325694207</c:v>
                </c:pt>
                <c:pt idx="24">
                  <c:v>0.57467378325694207</c:v>
                </c:pt>
                <c:pt idx="25">
                  <c:v>0.57467378325694207</c:v>
                </c:pt>
                <c:pt idx="26">
                  <c:v>0.57467378325694207</c:v>
                </c:pt>
                <c:pt idx="27">
                  <c:v>0.57467378325694207</c:v>
                </c:pt>
                <c:pt idx="28">
                  <c:v>0.57467378325694207</c:v>
                </c:pt>
                <c:pt idx="29">
                  <c:v>0.57467378325694207</c:v>
                </c:pt>
                <c:pt idx="30">
                  <c:v>0.57467378325694207</c:v>
                </c:pt>
                <c:pt idx="31">
                  <c:v>0.57467378325694207</c:v>
                </c:pt>
                <c:pt idx="32">
                  <c:v>0.57467378325694207</c:v>
                </c:pt>
                <c:pt idx="33">
                  <c:v>0.57467378325694207</c:v>
                </c:pt>
                <c:pt idx="34">
                  <c:v>0.57467378325694207</c:v>
                </c:pt>
                <c:pt idx="35">
                  <c:v>0.57467378325694207</c:v>
                </c:pt>
                <c:pt idx="36">
                  <c:v>0.57467378325694207</c:v>
                </c:pt>
                <c:pt idx="37">
                  <c:v>0.57467378325694207</c:v>
                </c:pt>
                <c:pt idx="38">
                  <c:v>0.57467378325694207</c:v>
                </c:pt>
                <c:pt idx="39">
                  <c:v>0.57467378325694207</c:v>
                </c:pt>
                <c:pt idx="40">
                  <c:v>0.57467378325694207</c:v>
                </c:pt>
                <c:pt idx="41">
                  <c:v>0.57467378325694207</c:v>
                </c:pt>
                <c:pt idx="42">
                  <c:v>0.57467378325694207</c:v>
                </c:pt>
                <c:pt idx="43">
                  <c:v>0.57467378325694207</c:v>
                </c:pt>
                <c:pt idx="44">
                  <c:v>0.57467378325694207</c:v>
                </c:pt>
                <c:pt idx="45">
                  <c:v>0.57467378325694207</c:v>
                </c:pt>
                <c:pt idx="46">
                  <c:v>0.57467378325694207</c:v>
                </c:pt>
                <c:pt idx="47">
                  <c:v>0.57467378325694207</c:v>
                </c:pt>
                <c:pt idx="48">
                  <c:v>0.57467378325694207</c:v>
                </c:pt>
                <c:pt idx="49">
                  <c:v>0.57467378325694207</c:v>
                </c:pt>
                <c:pt idx="50">
                  <c:v>0.57467378325694207</c:v>
                </c:pt>
                <c:pt idx="51">
                  <c:v>0.57467378325694207</c:v>
                </c:pt>
                <c:pt idx="52">
                  <c:v>0.57467378325694207</c:v>
                </c:pt>
                <c:pt idx="53">
                  <c:v>0.57467378325694207</c:v>
                </c:pt>
                <c:pt idx="54">
                  <c:v>0.57467378325694207</c:v>
                </c:pt>
                <c:pt idx="55">
                  <c:v>0.57467378325694207</c:v>
                </c:pt>
                <c:pt idx="56">
                  <c:v>0.57467378325694207</c:v>
                </c:pt>
                <c:pt idx="57">
                  <c:v>0.57467378325694207</c:v>
                </c:pt>
                <c:pt idx="58">
                  <c:v>0.57467378325694207</c:v>
                </c:pt>
                <c:pt idx="59">
                  <c:v>0.57467378325694207</c:v>
                </c:pt>
                <c:pt idx="60">
                  <c:v>0.57467378325694207</c:v>
                </c:pt>
                <c:pt idx="61">
                  <c:v>0.57467378325694207</c:v>
                </c:pt>
                <c:pt idx="62">
                  <c:v>0.57467378325694207</c:v>
                </c:pt>
                <c:pt idx="63">
                  <c:v>0.57467378325694207</c:v>
                </c:pt>
                <c:pt idx="64">
                  <c:v>0.57467378325694207</c:v>
                </c:pt>
                <c:pt idx="65">
                  <c:v>0.57467378325694207</c:v>
                </c:pt>
                <c:pt idx="66">
                  <c:v>0.57467378325694207</c:v>
                </c:pt>
                <c:pt idx="67">
                  <c:v>0.57467378325694207</c:v>
                </c:pt>
                <c:pt idx="68">
                  <c:v>0.57467378325694207</c:v>
                </c:pt>
                <c:pt idx="69">
                  <c:v>0.57467378325694207</c:v>
                </c:pt>
                <c:pt idx="70">
                  <c:v>0.57467378325694207</c:v>
                </c:pt>
                <c:pt idx="71">
                  <c:v>0.57467378325694207</c:v>
                </c:pt>
                <c:pt idx="72">
                  <c:v>0.57467378325694207</c:v>
                </c:pt>
                <c:pt idx="73">
                  <c:v>0.57467378325694207</c:v>
                </c:pt>
                <c:pt idx="74">
                  <c:v>0.57467378325694207</c:v>
                </c:pt>
                <c:pt idx="75">
                  <c:v>0.57467378325694207</c:v>
                </c:pt>
                <c:pt idx="76">
                  <c:v>0.57467378325694207</c:v>
                </c:pt>
                <c:pt idx="77">
                  <c:v>0.57467378325694207</c:v>
                </c:pt>
                <c:pt idx="78">
                  <c:v>0.57467378325694207</c:v>
                </c:pt>
                <c:pt idx="79">
                  <c:v>0.57467378325694207</c:v>
                </c:pt>
                <c:pt idx="80">
                  <c:v>0.57467378325694207</c:v>
                </c:pt>
                <c:pt idx="81">
                  <c:v>0.57467378325694207</c:v>
                </c:pt>
                <c:pt idx="82">
                  <c:v>0.57467378325694207</c:v>
                </c:pt>
                <c:pt idx="83">
                  <c:v>0.57467378325694207</c:v>
                </c:pt>
                <c:pt idx="84">
                  <c:v>0.57467378325694207</c:v>
                </c:pt>
                <c:pt idx="85">
                  <c:v>0.57467378325694207</c:v>
                </c:pt>
                <c:pt idx="86">
                  <c:v>0.57467378325694207</c:v>
                </c:pt>
                <c:pt idx="87">
                  <c:v>0.57467378325694207</c:v>
                </c:pt>
                <c:pt idx="88">
                  <c:v>0.57467378325694207</c:v>
                </c:pt>
                <c:pt idx="89">
                  <c:v>0.57467378325694207</c:v>
                </c:pt>
                <c:pt idx="90">
                  <c:v>0.57467378325694207</c:v>
                </c:pt>
                <c:pt idx="91">
                  <c:v>0.57467378325694207</c:v>
                </c:pt>
                <c:pt idx="92">
                  <c:v>0.57467378325694207</c:v>
                </c:pt>
                <c:pt idx="93">
                  <c:v>0.57467378325694207</c:v>
                </c:pt>
                <c:pt idx="94">
                  <c:v>0.57467378325694207</c:v>
                </c:pt>
                <c:pt idx="95">
                  <c:v>0.57467378325694207</c:v>
                </c:pt>
                <c:pt idx="96">
                  <c:v>0.57467378325694207</c:v>
                </c:pt>
                <c:pt idx="97">
                  <c:v>0.57467378325694207</c:v>
                </c:pt>
                <c:pt idx="98">
                  <c:v>0.57467378325694207</c:v>
                </c:pt>
                <c:pt idx="99">
                  <c:v>0.57467378325694207</c:v>
                </c:pt>
                <c:pt idx="100">
                  <c:v>0.57467378325694207</c:v>
                </c:pt>
                <c:pt idx="101">
                  <c:v>0.57467378325694207</c:v>
                </c:pt>
                <c:pt idx="102">
                  <c:v>0.57467378325694207</c:v>
                </c:pt>
                <c:pt idx="103">
                  <c:v>0.57467378325694207</c:v>
                </c:pt>
                <c:pt idx="104">
                  <c:v>0.57467378325694207</c:v>
                </c:pt>
                <c:pt idx="105">
                  <c:v>0.57467378325694207</c:v>
                </c:pt>
                <c:pt idx="106">
                  <c:v>0.57467378325694207</c:v>
                </c:pt>
                <c:pt idx="107">
                  <c:v>0.57467378325694207</c:v>
                </c:pt>
                <c:pt idx="108">
                  <c:v>0.57467378325694207</c:v>
                </c:pt>
                <c:pt idx="109">
                  <c:v>0.57467378325694207</c:v>
                </c:pt>
                <c:pt idx="110">
                  <c:v>0.57467378325694207</c:v>
                </c:pt>
                <c:pt idx="111">
                  <c:v>0.57467378325694207</c:v>
                </c:pt>
                <c:pt idx="112">
                  <c:v>0.57467378325694207</c:v>
                </c:pt>
                <c:pt idx="113">
                  <c:v>0.57467378325694207</c:v>
                </c:pt>
                <c:pt idx="114">
                  <c:v>0.57467378325694207</c:v>
                </c:pt>
                <c:pt idx="115">
                  <c:v>0.57467378325694207</c:v>
                </c:pt>
                <c:pt idx="116">
                  <c:v>0.57467378325694207</c:v>
                </c:pt>
                <c:pt idx="117">
                  <c:v>0.57467378325694207</c:v>
                </c:pt>
                <c:pt idx="118">
                  <c:v>0.57467378325694207</c:v>
                </c:pt>
                <c:pt idx="119">
                  <c:v>0.57467378325694207</c:v>
                </c:pt>
                <c:pt idx="120">
                  <c:v>0.57467378325694207</c:v>
                </c:pt>
                <c:pt idx="121">
                  <c:v>0.57467378325694207</c:v>
                </c:pt>
                <c:pt idx="122">
                  <c:v>0.57467378325694207</c:v>
                </c:pt>
                <c:pt idx="123">
                  <c:v>0.57467378325694207</c:v>
                </c:pt>
                <c:pt idx="124">
                  <c:v>0.57467378325694207</c:v>
                </c:pt>
                <c:pt idx="125">
                  <c:v>0.57467378325694207</c:v>
                </c:pt>
                <c:pt idx="126">
                  <c:v>0.57467378325694207</c:v>
                </c:pt>
                <c:pt idx="127">
                  <c:v>0.57467378325694207</c:v>
                </c:pt>
                <c:pt idx="128">
                  <c:v>0.57467378325694207</c:v>
                </c:pt>
                <c:pt idx="129">
                  <c:v>0.57467378325694207</c:v>
                </c:pt>
                <c:pt idx="130">
                  <c:v>0.57467378325694207</c:v>
                </c:pt>
                <c:pt idx="131">
                  <c:v>0.57467378325694207</c:v>
                </c:pt>
                <c:pt idx="132">
                  <c:v>0.57467378325694207</c:v>
                </c:pt>
                <c:pt idx="133">
                  <c:v>0.57467378325694207</c:v>
                </c:pt>
                <c:pt idx="134">
                  <c:v>0.57467378325694207</c:v>
                </c:pt>
                <c:pt idx="135">
                  <c:v>0.57467378325694207</c:v>
                </c:pt>
                <c:pt idx="136">
                  <c:v>0.57467378325694207</c:v>
                </c:pt>
                <c:pt idx="137">
                  <c:v>0.57467378325694207</c:v>
                </c:pt>
                <c:pt idx="138">
                  <c:v>0.57467378325694207</c:v>
                </c:pt>
                <c:pt idx="139">
                  <c:v>0.57467378325694207</c:v>
                </c:pt>
                <c:pt idx="140">
                  <c:v>0.57467378325694207</c:v>
                </c:pt>
                <c:pt idx="141">
                  <c:v>0.57467378325694207</c:v>
                </c:pt>
                <c:pt idx="142">
                  <c:v>0.57467378325694207</c:v>
                </c:pt>
                <c:pt idx="143">
                  <c:v>0.57467378325694207</c:v>
                </c:pt>
                <c:pt idx="144">
                  <c:v>0.57467378325694207</c:v>
                </c:pt>
                <c:pt idx="145">
                  <c:v>0.57467378325694207</c:v>
                </c:pt>
                <c:pt idx="146">
                  <c:v>0.57467378325694207</c:v>
                </c:pt>
                <c:pt idx="147">
                  <c:v>0.57467378325694207</c:v>
                </c:pt>
                <c:pt idx="148">
                  <c:v>0.57467378325694207</c:v>
                </c:pt>
                <c:pt idx="149">
                  <c:v>0.57467378325694207</c:v>
                </c:pt>
                <c:pt idx="150">
                  <c:v>0.57467378325694207</c:v>
                </c:pt>
                <c:pt idx="151">
                  <c:v>0.57467378325694207</c:v>
                </c:pt>
                <c:pt idx="152">
                  <c:v>0.57467378325694207</c:v>
                </c:pt>
                <c:pt idx="153">
                  <c:v>0.57467378325694207</c:v>
                </c:pt>
                <c:pt idx="154">
                  <c:v>0.57467378325694207</c:v>
                </c:pt>
                <c:pt idx="155">
                  <c:v>0.57467378325694207</c:v>
                </c:pt>
                <c:pt idx="156">
                  <c:v>0.57467378325694207</c:v>
                </c:pt>
                <c:pt idx="157">
                  <c:v>0.57467378325694207</c:v>
                </c:pt>
                <c:pt idx="158">
                  <c:v>0.57467378325694207</c:v>
                </c:pt>
                <c:pt idx="159">
                  <c:v>0.57467378325694207</c:v>
                </c:pt>
                <c:pt idx="160">
                  <c:v>0.57467378325694207</c:v>
                </c:pt>
                <c:pt idx="161">
                  <c:v>0.57467378325694207</c:v>
                </c:pt>
                <c:pt idx="162">
                  <c:v>0.57467378325694207</c:v>
                </c:pt>
                <c:pt idx="163">
                  <c:v>0.57467378325694207</c:v>
                </c:pt>
                <c:pt idx="164">
                  <c:v>0.57467378325694207</c:v>
                </c:pt>
                <c:pt idx="165">
                  <c:v>0.57467378325694207</c:v>
                </c:pt>
                <c:pt idx="166">
                  <c:v>0.57467378325694207</c:v>
                </c:pt>
                <c:pt idx="167">
                  <c:v>0.57467378325694207</c:v>
                </c:pt>
                <c:pt idx="168">
                  <c:v>0.57467378325694207</c:v>
                </c:pt>
                <c:pt idx="169">
                  <c:v>0.57467378325694207</c:v>
                </c:pt>
                <c:pt idx="170">
                  <c:v>0.57467378325694207</c:v>
                </c:pt>
                <c:pt idx="171">
                  <c:v>0.57467378325694207</c:v>
                </c:pt>
                <c:pt idx="172">
                  <c:v>0.57467378325694207</c:v>
                </c:pt>
                <c:pt idx="173">
                  <c:v>0.57467378325694207</c:v>
                </c:pt>
                <c:pt idx="174">
                  <c:v>0.57467378325694207</c:v>
                </c:pt>
                <c:pt idx="175">
                  <c:v>0.57467378325694207</c:v>
                </c:pt>
                <c:pt idx="176">
                  <c:v>0.57467378325694207</c:v>
                </c:pt>
                <c:pt idx="177">
                  <c:v>0.57467378325694207</c:v>
                </c:pt>
                <c:pt idx="178">
                  <c:v>0.57467378325694207</c:v>
                </c:pt>
                <c:pt idx="179">
                  <c:v>0.57467378325694207</c:v>
                </c:pt>
                <c:pt idx="180">
                  <c:v>0.57467378325694207</c:v>
                </c:pt>
                <c:pt idx="181">
                  <c:v>0.57467378325694207</c:v>
                </c:pt>
                <c:pt idx="182">
                  <c:v>0.57467378325694207</c:v>
                </c:pt>
                <c:pt idx="183">
                  <c:v>0.57467378325694207</c:v>
                </c:pt>
                <c:pt idx="184">
                  <c:v>0.57467378325694207</c:v>
                </c:pt>
                <c:pt idx="185">
                  <c:v>0.57467378325694207</c:v>
                </c:pt>
                <c:pt idx="186">
                  <c:v>0.57467378325694207</c:v>
                </c:pt>
                <c:pt idx="187">
                  <c:v>0.57467378325694207</c:v>
                </c:pt>
                <c:pt idx="188">
                  <c:v>0.57467378325694207</c:v>
                </c:pt>
                <c:pt idx="189">
                  <c:v>0.57467378325694207</c:v>
                </c:pt>
                <c:pt idx="190">
                  <c:v>0.57467378325694207</c:v>
                </c:pt>
                <c:pt idx="191">
                  <c:v>0.57467378325694207</c:v>
                </c:pt>
                <c:pt idx="192">
                  <c:v>0.57467378325694207</c:v>
                </c:pt>
                <c:pt idx="193">
                  <c:v>0.57467378325694207</c:v>
                </c:pt>
                <c:pt idx="194">
                  <c:v>0.57467378325694207</c:v>
                </c:pt>
                <c:pt idx="195">
                  <c:v>0.57467378325694207</c:v>
                </c:pt>
                <c:pt idx="196">
                  <c:v>0.57467378325694207</c:v>
                </c:pt>
                <c:pt idx="197">
                  <c:v>0.57467378325694207</c:v>
                </c:pt>
                <c:pt idx="198">
                  <c:v>0.57467378325694207</c:v>
                </c:pt>
                <c:pt idx="199">
                  <c:v>0.57467378325694207</c:v>
                </c:pt>
                <c:pt idx="200">
                  <c:v>0.57467378325694207</c:v>
                </c:pt>
                <c:pt idx="201">
                  <c:v>0.57467378325694207</c:v>
                </c:pt>
                <c:pt idx="202">
                  <c:v>0.57467378325694207</c:v>
                </c:pt>
                <c:pt idx="203">
                  <c:v>0.57467378325694207</c:v>
                </c:pt>
                <c:pt idx="204">
                  <c:v>0.57467378325694207</c:v>
                </c:pt>
                <c:pt idx="205">
                  <c:v>0.57467378325694207</c:v>
                </c:pt>
                <c:pt idx="206">
                  <c:v>0.57467378325694207</c:v>
                </c:pt>
                <c:pt idx="207">
                  <c:v>0.57467378325694207</c:v>
                </c:pt>
                <c:pt idx="208">
                  <c:v>0.57467378325694207</c:v>
                </c:pt>
                <c:pt idx="209">
                  <c:v>0.57467378325694207</c:v>
                </c:pt>
                <c:pt idx="210">
                  <c:v>0.57467378325694207</c:v>
                </c:pt>
                <c:pt idx="211">
                  <c:v>0.57467378325694207</c:v>
                </c:pt>
                <c:pt idx="212">
                  <c:v>0.57467378325694207</c:v>
                </c:pt>
                <c:pt idx="213">
                  <c:v>0.57467378325694207</c:v>
                </c:pt>
                <c:pt idx="214">
                  <c:v>0.57467378325694207</c:v>
                </c:pt>
                <c:pt idx="215">
                  <c:v>0.57467378325694207</c:v>
                </c:pt>
                <c:pt idx="216">
                  <c:v>0.57467378325694207</c:v>
                </c:pt>
                <c:pt idx="217">
                  <c:v>0.57467378325694207</c:v>
                </c:pt>
                <c:pt idx="218">
                  <c:v>0.57467378325694207</c:v>
                </c:pt>
                <c:pt idx="219">
                  <c:v>0.57467378325694207</c:v>
                </c:pt>
                <c:pt idx="220">
                  <c:v>0.57467378325694207</c:v>
                </c:pt>
                <c:pt idx="221">
                  <c:v>0.57467378325694207</c:v>
                </c:pt>
                <c:pt idx="222">
                  <c:v>0.57467378325694207</c:v>
                </c:pt>
                <c:pt idx="223">
                  <c:v>0.57467378325694207</c:v>
                </c:pt>
                <c:pt idx="224">
                  <c:v>0.57467378325694207</c:v>
                </c:pt>
                <c:pt idx="225">
                  <c:v>0.57467378325694207</c:v>
                </c:pt>
                <c:pt idx="226">
                  <c:v>0.57467378325694207</c:v>
                </c:pt>
                <c:pt idx="227">
                  <c:v>0.57467378325694207</c:v>
                </c:pt>
                <c:pt idx="228">
                  <c:v>0.57467378325694207</c:v>
                </c:pt>
                <c:pt idx="229">
                  <c:v>0.57467378325694207</c:v>
                </c:pt>
                <c:pt idx="230">
                  <c:v>0.57467378325694207</c:v>
                </c:pt>
                <c:pt idx="231">
                  <c:v>0.57467378325694207</c:v>
                </c:pt>
                <c:pt idx="232">
                  <c:v>0.57467378325694207</c:v>
                </c:pt>
                <c:pt idx="233">
                  <c:v>0.57467378325694207</c:v>
                </c:pt>
                <c:pt idx="234">
                  <c:v>0.57467378325694207</c:v>
                </c:pt>
                <c:pt idx="235">
                  <c:v>0.57467378325694207</c:v>
                </c:pt>
                <c:pt idx="236">
                  <c:v>0.57467378325694207</c:v>
                </c:pt>
                <c:pt idx="237">
                  <c:v>0.57467378325694207</c:v>
                </c:pt>
                <c:pt idx="238">
                  <c:v>0.57467378325694207</c:v>
                </c:pt>
                <c:pt idx="239">
                  <c:v>0.57467378325694207</c:v>
                </c:pt>
                <c:pt idx="240">
                  <c:v>0.57467378325694207</c:v>
                </c:pt>
                <c:pt idx="241">
                  <c:v>0.57467378325694207</c:v>
                </c:pt>
                <c:pt idx="242">
                  <c:v>0.57467378325694207</c:v>
                </c:pt>
                <c:pt idx="243">
                  <c:v>0.57467378325694207</c:v>
                </c:pt>
                <c:pt idx="244">
                  <c:v>0.57467378325694207</c:v>
                </c:pt>
                <c:pt idx="245">
                  <c:v>0.57467378325694207</c:v>
                </c:pt>
                <c:pt idx="246">
                  <c:v>0.57467378325694207</c:v>
                </c:pt>
                <c:pt idx="247">
                  <c:v>0.57467378325694207</c:v>
                </c:pt>
                <c:pt idx="248">
                  <c:v>0.57467378325694207</c:v>
                </c:pt>
                <c:pt idx="249">
                  <c:v>0.57467378325694207</c:v>
                </c:pt>
                <c:pt idx="250">
                  <c:v>0.57467378325694207</c:v>
                </c:pt>
                <c:pt idx="251">
                  <c:v>0.57467378325694207</c:v>
                </c:pt>
                <c:pt idx="252">
                  <c:v>0.57467378325694207</c:v>
                </c:pt>
                <c:pt idx="253">
                  <c:v>0.57467378325694207</c:v>
                </c:pt>
                <c:pt idx="254">
                  <c:v>0.57467378325694207</c:v>
                </c:pt>
                <c:pt idx="255">
                  <c:v>0.57467378325694207</c:v>
                </c:pt>
                <c:pt idx="256">
                  <c:v>0.57467378325694207</c:v>
                </c:pt>
                <c:pt idx="257">
                  <c:v>0.57467378325694207</c:v>
                </c:pt>
                <c:pt idx="258">
                  <c:v>0.57467378325694207</c:v>
                </c:pt>
                <c:pt idx="259">
                  <c:v>0.57467378325694207</c:v>
                </c:pt>
                <c:pt idx="260">
                  <c:v>0.57467378325694207</c:v>
                </c:pt>
                <c:pt idx="261">
                  <c:v>0.57467378325694207</c:v>
                </c:pt>
                <c:pt idx="262">
                  <c:v>0.57467378325694207</c:v>
                </c:pt>
                <c:pt idx="263">
                  <c:v>0.57467378325694207</c:v>
                </c:pt>
                <c:pt idx="264">
                  <c:v>0.57467378325694207</c:v>
                </c:pt>
                <c:pt idx="265">
                  <c:v>0.57467378325694207</c:v>
                </c:pt>
                <c:pt idx="266">
                  <c:v>0.57467378325694207</c:v>
                </c:pt>
                <c:pt idx="267">
                  <c:v>0.57467378325694207</c:v>
                </c:pt>
                <c:pt idx="268">
                  <c:v>0.57467378325694207</c:v>
                </c:pt>
                <c:pt idx="269">
                  <c:v>0.57467378325694207</c:v>
                </c:pt>
                <c:pt idx="270">
                  <c:v>0.57467378325694207</c:v>
                </c:pt>
                <c:pt idx="271">
                  <c:v>0.57467378325694207</c:v>
                </c:pt>
                <c:pt idx="272">
                  <c:v>0.57467378325694207</c:v>
                </c:pt>
                <c:pt idx="273">
                  <c:v>0.57467378325694207</c:v>
                </c:pt>
                <c:pt idx="274">
                  <c:v>0.57467378325694207</c:v>
                </c:pt>
                <c:pt idx="275">
                  <c:v>0.57467378325694207</c:v>
                </c:pt>
                <c:pt idx="276">
                  <c:v>0.57467378325694207</c:v>
                </c:pt>
                <c:pt idx="277">
                  <c:v>0.57467378325694207</c:v>
                </c:pt>
                <c:pt idx="278">
                  <c:v>0.57467378325694207</c:v>
                </c:pt>
                <c:pt idx="279">
                  <c:v>0.57467378325694207</c:v>
                </c:pt>
                <c:pt idx="280">
                  <c:v>0.57467378325694207</c:v>
                </c:pt>
                <c:pt idx="281">
                  <c:v>0.57467378325694207</c:v>
                </c:pt>
                <c:pt idx="282">
                  <c:v>0.57467378325694207</c:v>
                </c:pt>
                <c:pt idx="283">
                  <c:v>0.57467378325694207</c:v>
                </c:pt>
                <c:pt idx="284">
                  <c:v>0.57467378325694207</c:v>
                </c:pt>
                <c:pt idx="285">
                  <c:v>0.57467378325694207</c:v>
                </c:pt>
                <c:pt idx="286">
                  <c:v>0.57467378325694207</c:v>
                </c:pt>
                <c:pt idx="287">
                  <c:v>0.57467378325694207</c:v>
                </c:pt>
                <c:pt idx="288">
                  <c:v>0.57467378325694207</c:v>
                </c:pt>
                <c:pt idx="289">
                  <c:v>0.57467378325694207</c:v>
                </c:pt>
                <c:pt idx="290">
                  <c:v>0.57467378325694207</c:v>
                </c:pt>
                <c:pt idx="291">
                  <c:v>0.57467378325694207</c:v>
                </c:pt>
                <c:pt idx="292">
                  <c:v>0.57467378325694207</c:v>
                </c:pt>
                <c:pt idx="293">
                  <c:v>0.57467378325694207</c:v>
                </c:pt>
                <c:pt idx="294">
                  <c:v>0.57467378325694207</c:v>
                </c:pt>
                <c:pt idx="295">
                  <c:v>0.57467378325694207</c:v>
                </c:pt>
                <c:pt idx="296">
                  <c:v>0.57467378325694207</c:v>
                </c:pt>
                <c:pt idx="297">
                  <c:v>0.57467378325694207</c:v>
                </c:pt>
                <c:pt idx="298">
                  <c:v>0.57467378325694207</c:v>
                </c:pt>
                <c:pt idx="299">
                  <c:v>0.57467378325694207</c:v>
                </c:pt>
                <c:pt idx="300">
                  <c:v>0.57467378325694207</c:v>
                </c:pt>
                <c:pt idx="301">
                  <c:v>0.57467378325694207</c:v>
                </c:pt>
                <c:pt idx="302">
                  <c:v>0.57467378325694207</c:v>
                </c:pt>
                <c:pt idx="303">
                  <c:v>0.57467378325694207</c:v>
                </c:pt>
                <c:pt idx="304">
                  <c:v>0.57467378325694207</c:v>
                </c:pt>
                <c:pt idx="305">
                  <c:v>0.57467378325694207</c:v>
                </c:pt>
                <c:pt idx="306">
                  <c:v>0.57467378325694207</c:v>
                </c:pt>
                <c:pt idx="307">
                  <c:v>0.57467378325694207</c:v>
                </c:pt>
                <c:pt idx="308">
                  <c:v>0.57467378325694207</c:v>
                </c:pt>
                <c:pt idx="309">
                  <c:v>0.57467378325694207</c:v>
                </c:pt>
                <c:pt idx="310">
                  <c:v>0.57467378325694207</c:v>
                </c:pt>
                <c:pt idx="311">
                  <c:v>0.57467378325694207</c:v>
                </c:pt>
                <c:pt idx="312">
                  <c:v>0.57467378325694207</c:v>
                </c:pt>
                <c:pt idx="313">
                  <c:v>0.57467378325694207</c:v>
                </c:pt>
                <c:pt idx="314">
                  <c:v>0.57467378325694207</c:v>
                </c:pt>
                <c:pt idx="315">
                  <c:v>0.57467378325694207</c:v>
                </c:pt>
                <c:pt idx="316">
                  <c:v>0.57467378325694207</c:v>
                </c:pt>
                <c:pt idx="317">
                  <c:v>0.57467378325694207</c:v>
                </c:pt>
                <c:pt idx="318">
                  <c:v>0.57467378325694207</c:v>
                </c:pt>
                <c:pt idx="319">
                  <c:v>0.57467378325694207</c:v>
                </c:pt>
                <c:pt idx="320">
                  <c:v>0.57467378325694207</c:v>
                </c:pt>
                <c:pt idx="321">
                  <c:v>0.57467378325694207</c:v>
                </c:pt>
                <c:pt idx="322">
                  <c:v>0.57467378325694207</c:v>
                </c:pt>
                <c:pt idx="323">
                  <c:v>0.57467378325694207</c:v>
                </c:pt>
                <c:pt idx="324">
                  <c:v>0.57467378325694207</c:v>
                </c:pt>
                <c:pt idx="325">
                  <c:v>0.57467378325694207</c:v>
                </c:pt>
                <c:pt idx="326">
                  <c:v>0.57467378325694207</c:v>
                </c:pt>
                <c:pt idx="327">
                  <c:v>0.57467378325694207</c:v>
                </c:pt>
                <c:pt idx="328">
                  <c:v>0.57467378325694207</c:v>
                </c:pt>
                <c:pt idx="329">
                  <c:v>0.57467378325694207</c:v>
                </c:pt>
                <c:pt idx="330">
                  <c:v>0.57467378325694207</c:v>
                </c:pt>
                <c:pt idx="331">
                  <c:v>0.57467378325694207</c:v>
                </c:pt>
                <c:pt idx="332">
                  <c:v>0.57467378325694207</c:v>
                </c:pt>
                <c:pt idx="333">
                  <c:v>0.57467378325694207</c:v>
                </c:pt>
                <c:pt idx="334">
                  <c:v>0.57467378325694207</c:v>
                </c:pt>
                <c:pt idx="335">
                  <c:v>0.57467378325694207</c:v>
                </c:pt>
                <c:pt idx="336">
                  <c:v>0.57467378325694207</c:v>
                </c:pt>
                <c:pt idx="337">
                  <c:v>0.57467378325694207</c:v>
                </c:pt>
                <c:pt idx="338">
                  <c:v>0.57467378325694207</c:v>
                </c:pt>
                <c:pt idx="339">
                  <c:v>0.57467378325694207</c:v>
                </c:pt>
                <c:pt idx="340">
                  <c:v>0.57467378325694207</c:v>
                </c:pt>
                <c:pt idx="341">
                  <c:v>0.57467378325694207</c:v>
                </c:pt>
                <c:pt idx="342">
                  <c:v>0.57467378325694207</c:v>
                </c:pt>
                <c:pt idx="343">
                  <c:v>0.57467378325694207</c:v>
                </c:pt>
                <c:pt idx="344">
                  <c:v>0.57467378325694207</c:v>
                </c:pt>
                <c:pt idx="345">
                  <c:v>0.57467378325694207</c:v>
                </c:pt>
                <c:pt idx="346">
                  <c:v>0.57467378325694207</c:v>
                </c:pt>
                <c:pt idx="347">
                  <c:v>0.57467378325694207</c:v>
                </c:pt>
                <c:pt idx="348">
                  <c:v>0.57467378325694207</c:v>
                </c:pt>
                <c:pt idx="349">
                  <c:v>0.57467378325694207</c:v>
                </c:pt>
                <c:pt idx="350">
                  <c:v>0.57467378325694207</c:v>
                </c:pt>
                <c:pt idx="351">
                  <c:v>0.57467378325694207</c:v>
                </c:pt>
                <c:pt idx="352">
                  <c:v>0.57467378325694207</c:v>
                </c:pt>
                <c:pt idx="353">
                  <c:v>0.57467378325694207</c:v>
                </c:pt>
                <c:pt idx="354">
                  <c:v>0.57467378325694207</c:v>
                </c:pt>
                <c:pt idx="355">
                  <c:v>0.57467378325694207</c:v>
                </c:pt>
                <c:pt idx="356">
                  <c:v>0.57467378325694207</c:v>
                </c:pt>
                <c:pt idx="357">
                  <c:v>0.57467378325694207</c:v>
                </c:pt>
                <c:pt idx="358">
                  <c:v>0.57467378325694207</c:v>
                </c:pt>
                <c:pt idx="359">
                  <c:v>0.57467378325694207</c:v>
                </c:pt>
                <c:pt idx="360">
                  <c:v>0.57467378325694207</c:v>
                </c:pt>
                <c:pt idx="361">
                  <c:v>0.57467378325694207</c:v>
                </c:pt>
                <c:pt idx="362">
                  <c:v>0.57467378325694207</c:v>
                </c:pt>
                <c:pt idx="363">
                  <c:v>0.57467378325694207</c:v>
                </c:pt>
                <c:pt idx="364">
                  <c:v>0.57467378325694207</c:v>
                </c:pt>
                <c:pt idx="365">
                  <c:v>0.57467378325694207</c:v>
                </c:pt>
                <c:pt idx="366">
                  <c:v>0.57467378325694207</c:v>
                </c:pt>
                <c:pt idx="367">
                  <c:v>0.57467378325694207</c:v>
                </c:pt>
                <c:pt idx="368">
                  <c:v>0.57467378325694207</c:v>
                </c:pt>
                <c:pt idx="369">
                  <c:v>0.57467378325694207</c:v>
                </c:pt>
                <c:pt idx="370">
                  <c:v>0.57467378325694207</c:v>
                </c:pt>
                <c:pt idx="371">
                  <c:v>0.57467378325694207</c:v>
                </c:pt>
                <c:pt idx="372">
                  <c:v>0.57467378325694207</c:v>
                </c:pt>
                <c:pt idx="373">
                  <c:v>0.57467378325694207</c:v>
                </c:pt>
                <c:pt idx="374">
                  <c:v>0.57467378325694207</c:v>
                </c:pt>
                <c:pt idx="375">
                  <c:v>0.57467378325694207</c:v>
                </c:pt>
                <c:pt idx="376">
                  <c:v>0.57467378325694207</c:v>
                </c:pt>
                <c:pt idx="377">
                  <c:v>0.57467378325694207</c:v>
                </c:pt>
                <c:pt idx="378">
                  <c:v>0.57467378325694207</c:v>
                </c:pt>
                <c:pt idx="379">
                  <c:v>0.57467378325694207</c:v>
                </c:pt>
                <c:pt idx="380">
                  <c:v>0.57467378325694207</c:v>
                </c:pt>
                <c:pt idx="381">
                  <c:v>0.57467378325694207</c:v>
                </c:pt>
                <c:pt idx="382">
                  <c:v>0.57467378325694207</c:v>
                </c:pt>
                <c:pt idx="383">
                  <c:v>0.57467378325694207</c:v>
                </c:pt>
                <c:pt idx="384">
                  <c:v>0.57467378325694207</c:v>
                </c:pt>
                <c:pt idx="385">
                  <c:v>0.57467378325694207</c:v>
                </c:pt>
                <c:pt idx="386">
                  <c:v>0.57467378325694207</c:v>
                </c:pt>
                <c:pt idx="387">
                  <c:v>0.57467378325694207</c:v>
                </c:pt>
                <c:pt idx="388">
                  <c:v>0.57467378325694207</c:v>
                </c:pt>
                <c:pt idx="389">
                  <c:v>0.57467378325694207</c:v>
                </c:pt>
                <c:pt idx="390">
                  <c:v>0.57467378325694207</c:v>
                </c:pt>
                <c:pt idx="391">
                  <c:v>0.57467378325694207</c:v>
                </c:pt>
                <c:pt idx="392">
                  <c:v>0.57467378325694207</c:v>
                </c:pt>
                <c:pt idx="393">
                  <c:v>0.57467378325694207</c:v>
                </c:pt>
                <c:pt idx="394">
                  <c:v>0.57467378325694207</c:v>
                </c:pt>
                <c:pt idx="395">
                  <c:v>0.57467378325694207</c:v>
                </c:pt>
                <c:pt idx="396">
                  <c:v>0.57467378325694207</c:v>
                </c:pt>
                <c:pt idx="397">
                  <c:v>0.57467378325694207</c:v>
                </c:pt>
                <c:pt idx="398">
                  <c:v>0.57467378325694207</c:v>
                </c:pt>
                <c:pt idx="399">
                  <c:v>0.57467378325694207</c:v>
                </c:pt>
                <c:pt idx="400">
                  <c:v>0.57467378325694207</c:v>
                </c:pt>
                <c:pt idx="401">
                  <c:v>0.57467378325694207</c:v>
                </c:pt>
                <c:pt idx="402">
                  <c:v>0.57467378325694207</c:v>
                </c:pt>
                <c:pt idx="403">
                  <c:v>0.57467378325694207</c:v>
                </c:pt>
                <c:pt idx="404">
                  <c:v>0.57467378325694207</c:v>
                </c:pt>
                <c:pt idx="405">
                  <c:v>0.57467378325694207</c:v>
                </c:pt>
                <c:pt idx="406">
                  <c:v>0.57467378325694207</c:v>
                </c:pt>
                <c:pt idx="407">
                  <c:v>0.57467378325694207</c:v>
                </c:pt>
                <c:pt idx="408">
                  <c:v>0.57467378325694207</c:v>
                </c:pt>
                <c:pt idx="409">
                  <c:v>0.57467378325694207</c:v>
                </c:pt>
                <c:pt idx="410">
                  <c:v>0.57467378325694207</c:v>
                </c:pt>
                <c:pt idx="411">
                  <c:v>0.57467378325694207</c:v>
                </c:pt>
                <c:pt idx="412">
                  <c:v>0.57467378325694207</c:v>
                </c:pt>
                <c:pt idx="413">
                  <c:v>0.57467378325694207</c:v>
                </c:pt>
                <c:pt idx="414">
                  <c:v>0.57467378325694207</c:v>
                </c:pt>
                <c:pt idx="415">
                  <c:v>0.57467378325694207</c:v>
                </c:pt>
                <c:pt idx="416">
                  <c:v>0.57467378325694207</c:v>
                </c:pt>
                <c:pt idx="417">
                  <c:v>0.57467378325694207</c:v>
                </c:pt>
                <c:pt idx="418">
                  <c:v>0.57467378325694207</c:v>
                </c:pt>
                <c:pt idx="419">
                  <c:v>0.57467378325694207</c:v>
                </c:pt>
                <c:pt idx="420">
                  <c:v>0.57467378325694207</c:v>
                </c:pt>
                <c:pt idx="421">
                  <c:v>0.57467378325694207</c:v>
                </c:pt>
                <c:pt idx="422">
                  <c:v>0.57467378325694207</c:v>
                </c:pt>
                <c:pt idx="423">
                  <c:v>0.57467378325694207</c:v>
                </c:pt>
                <c:pt idx="424">
                  <c:v>0.57467378325694207</c:v>
                </c:pt>
                <c:pt idx="425">
                  <c:v>0.57467378325694207</c:v>
                </c:pt>
                <c:pt idx="426">
                  <c:v>0.57467378325694207</c:v>
                </c:pt>
                <c:pt idx="427">
                  <c:v>0.57467378325694207</c:v>
                </c:pt>
                <c:pt idx="428">
                  <c:v>0.57467378325694207</c:v>
                </c:pt>
                <c:pt idx="429">
                  <c:v>0.57467378325694207</c:v>
                </c:pt>
                <c:pt idx="430">
                  <c:v>0.57467378325694207</c:v>
                </c:pt>
                <c:pt idx="431">
                  <c:v>0.57467378325694207</c:v>
                </c:pt>
                <c:pt idx="432">
                  <c:v>0.57467378325694207</c:v>
                </c:pt>
                <c:pt idx="433">
                  <c:v>0.57467378325694207</c:v>
                </c:pt>
                <c:pt idx="434">
                  <c:v>0.57467378325694207</c:v>
                </c:pt>
                <c:pt idx="435">
                  <c:v>0.57467378325694207</c:v>
                </c:pt>
                <c:pt idx="436">
                  <c:v>0.57467378325694207</c:v>
                </c:pt>
                <c:pt idx="437">
                  <c:v>0.57467378325694207</c:v>
                </c:pt>
                <c:pt idx="438">
                  <c:v>0.57467378325694207</c:v>
                </c:pt>
                <c:pt idx="439">
                  <c:v>0.57467378325694207</c:v>
                </c:pt>
                <c:pt idx="440">
                  <c:v>0.57467378325694207</c:v>
                </c:pt>
                <c:pt idx="441">
                  <c:v>0.57467378325694207</c:v>
                </c:pt>
                <c:pt idx="442">
                  <c:v>0.57467378325694207</c:v>
                </c:pt>
                <c:pt idx="443">
                  <c:v>0.57467378325694207</c:v>
                </c:pt>
                <c:pt idx="444">
                  <c:v>0.57467378325694207</c:v>
                </c:pt>
                <c:pt idx="445">
                  <c:v>0.57467378325694207</c:v>
                </c:pt>
                <c:pt idx="446">
                  <c:v>0.57467378325694207</c:v>
                </c:pt>
                <c:pt idx="447">
                  <c:v>0.57467378325694207</c:v>
                </c:pt>
                <c:pt idx="448">
                  <c:v>0.57467378325694207</c:v>
                </c:pt>
                <c:pt idx="449">
                  <c:v>0.57467378325694207</c:v>
                </c:pt>
                <c:pt idx="450">
                  <c:v>0.57467378325694207</c:v>
                </c:pt>
                <c:pt idx="451">
                  <c:v>0.57467378325694207</c:v>
                </c:pt>
                <c:pt idx="452">
                  <c:v>0.57467378325694207</c:v>
                </c:pt>
                <c:pt idx="453">
                  <c:v>0.57467378325694207</c:v>
                </c:pt>
                <c:pt idx="454">
                  <c:v>0.57467378325694207</c:v>
                </c:pt>
                <c:pt idx="455">
                  <c:v>0.57467378325694207</c:v>
                </c:pt>
                <c:pt idx="456">
                  <c:v>0.57467378325694207</c:v>
                </c:pt>
                <c:pt idx="457">
                  <c:v>0.57467378325694207</c:v>
                </c:pt>
                <c:pt idx="458">
                  <c:v>0.57467378325694207</c:v>
                </c:pt>
                <c:pt idx="459">
                  <c:v>0.57467378325694207</c:v>
                </c:pt>
                <c:pt idx="460">
                  <c:v>0.57467378325694207</c:v>
                </c:pt>
                <c:pt idx="461">
                  <c:v>0.57467378325694207</c:v>
                </c:pt>
                <c:pt idx="462">
                  <c:v>0.57467378325694207</c:v>
                </c:pt>
                <c:pt idx="463">
                  <c:v>0.57467378325694207</c:v>
                </c:pt>
                <c:pt idx="464">
                  <c:v>0.57467378325694207</c:v>
                </c:pt>
                <c:pt idx="465">
                  <c:v>0.57467378325694207</c:v>
                </c:pt>
                <c:pt idx="466">
                  <c:v>0.57467378325694207</c:v>
                </c:pt>
                <c:pt idx="467">
                  <c:v>0.57467378325694207</c:v>
                </c:pt>
                <c:pt idx="468">
                  <c:v>0.57467378325694207</c:v>
                </c:pt>
                <c:pt idx="469">
                  <c:v>0.57467378325694207</c:v>
                </c:pt>
                <c:pt idx="470">
                  <c:v>0.57467378325694207</c:v>
                </c:pt>
                <c:pt idx="471">
                  <c:v>0.57467378325694207</c:v>
                </c:pt>
                <c:pt idx="472">
                  <c:v>0.57467378325694207</c:v>
                </c:pt>
                <c:pt idx="473">
                  <c:v>0.57467378325694207</c:v>
                </c:pt>
                <c:pt idx="474">
                  <c:v>0.57467378325694207</c:v>
                </c:pt>
                <c:pt idx="475">
                  <c:v>0.57467378325694207</c:v>
                </c:pt>
                <c:pt idx="476">
                  <c:v>0.57467378325694207</c:v>
                </c:pt>
                <c:pt idx="477">
                  <c:v>0.57467378325694207</c:v>
                </c:pt>
                <c:pt idx="478">
                  <c:v>0.57467378325694207</c:v>
                </c:pt>
                <c:pt idx="479">
                  <c:v>0.57467378325694207</c:v>
                </c:pt>
                <c:pt idx="480">
                  <c:v>0.57467378325694207</c:v>
                </c:pt>
                <c:pt idx="481">
                  <c:v>0.57467378325694207</c:v>
                </c:pt>
                <c:pt idx="482">
                  <c:v>0.57467378325694207</c:v>
                </c:pt>
                <c:pt idx="483">
                  <c:v>0.57467378325694207</c:v>
                </c:pt>
                <c:pt idx="484">
                  <c:v>0.57467378325694207</c:v>
                </c:pt>
                <c:pt idx="485">
                  <c:v>0.57467378325694207</c:v>
                </c:pt>
                <c:pt idx="486">
                  <c:v>0.57467378325694207</c:v>
                </c:pt>
                <c:pt idx="487">
                  <c:v>0.57467378325694207</c:v>
                </c:pt>
                <c:pt idx="488">
                  <c:v>0.57467378325694207</c:v>
                </c:pt>
                <c:pt idx="489">
                  <c:v>0.57467378325694207</c:v>
                </c:pt>
                <c:pt idx="490">
                  <c:v>0.57467378325694207</c:v>
                </c:pt>
                <c:pt idx="491">
                  <c:v>0.57467378325694207</c:v>
                </c:pt>
                <c:pt idx="492">
                  <c:v>0.57467378325694207</c:v>
                </c:pt>
                <c:pt idx="493">
                  <c:v>0.57467378325694207</c:v>
                </c:pt>
                <c:pt idx="494">
                  <c:v>0.57467378325694207</c:v>
                </c:pt>
                <c:pt idx="495">
                  <c:v>0.57467378325694207</c:v>
                </c:pt>
                <c:pt idx="496">
                  <c:v>0.57467378325694207</c:v>
                </c:pt>
                <c:pt idx="497">
                  <c:v>0.57467378325694207</c:v>
                </c:pt>
                <c:pt idx="498">
                  <c:v>0.57467378325694207</c:v>
                </c:pt>
                <c:pt idx="499">
                  <c:v>0.57467378325694207</c:v>
                </c:pt>
                <c:pt idx="500">
                  <c:v>0.57467378325694207</c:v>
                </c:pt>
                <c:pt idx="501">
                  <c:v>0.57467378325694207</c:v>
                </c:pt>
                <c:pt idx="502">
                  <c:v>0.57467378325694207</c:v>
                </c:pt>
                <c:pt idx="503">
                  <c:v>0.57467378325694207</c:v>
                </c:pt>
                <c:pt idx="504">
                  <c:v>0.57467378325694207</c:v>
                </c:pt>
                <c:pt idx="505">
                  <c:v>0.57467378325694207</c:v>
                </c:pt>
                <c:pt idx="506">
                  <c:v>0.57467378325694207</c:v>
                </c:pt>
                <c:pt idx="507">
                  <c:v>0.57467378325694207</c:v>
                </c:pt>
                <c:pt idx="508">
                  <c:v>0.57467378325694207</c:v>
                </c:pt>
                <c:pt idx="509">
                  <c:v>0.57467378325694207</c:v>
                </c:pt>
                <c:pt idx="510">
                  <c:v>0.57467378325694207</c:v>
                </c:pt>
                <c:pt idx="511">
                  <c:v>0.57467378325694207</c:v>
                </c:pt>
                <c:pt idx="512">
                  <c:v>0.57467378325694207</c:v>
                </c:pt>
                <c:pt idx="513">
                  <c:v>0.57467378325694207</c:v>
                </c:pt>
                <c:pt idx="514">
                  <c:v>0.57467378325694207</c:v>
                </c:pt>
                <c:pt idx="515">
                  <c:v>0.57467378325694207</c:v>
                </c:pt>
                <c:pt idx="516">
                  <c:v>0.57467378325694207</c:v>
                </c:pt>
                <c:pt idx="517">
                  <c:v>0.57467378325694207</c:v>
                </c:pt>
                <c:pt idx="518">
                  <c:v>0.57467378325694207</c:v>
                </c:pt>
                <c:pt idx="519">
                  <c:v>0.57467378325694207</c:v>
                </c:pt>
                <c:pt idx="520">
                  <c:v>0.57467378325694207</c:v>
                </c:pt>
                <c:pt idx="521">
                  <c:v>0.57467378325694207</c:v>
                </c:pt>
                <c:pt idx="522">
                  <c:v>0.57467378325694207</c:v>
                </c:pt>
                <c:pt idx="523">
                  <c:v>0.57467378325694207</c:v>
                </c:pt>
                <c:pt idx="524">
                  <c:v>0.57467378325694207</c:v>
                </c:pt>
                <c:pt idx="525">
                  <c:v>0.57467378325694207</c:v>
                </c:pt>
                <c:pt idx="526">
                  <c:v>0.57467378325694207</c:v>
                </c:pt>
                <c:pt idx="527">
                  <c:v>0.57467378325694207</c:v>
                </c:pt>
                <c:pt idx="528">
                  <c:v>0.57467378325694207</c:v>
                </c:pt>
                <c:pt idx="529">
                  <c:v>0.57467378325694207</c:v>
                </c:pt>
                <c:pt idx="530">
                  <c:v>0.57467378325694207</c:v>
                </c:pt>
                <c:pt idx="531">
                  <c:v>0.57467378325694207</c:v>
                </c:pt>
                <c:pt idx="532">
                  <c:v>0.57467378325694207</c:v>
                </c:pt>
                <c:pt idx="533">
                  <c:v>0.57467378325694207</c:v>
                </c:pt>
                <c:pt idx="534">
                  <c:v>0.57467378325694207</c:v>
                </c:pt>
                <c:pt idx="535">
                  <c:v>0.57467378325694207</c:v>
                </c:pt>
                <c:pt idx="536">
                  <c:v>0.57467378325694207</c:v>
                </c:pt>
                <c:pt idx="537">
                  <c:v>0.57467378325694207</c:v>
                </c:pt>
                <c:pt idx="538">
                  <c:v>0.57467378325694207</c:v>
                </c:pt>
                <c:pt idx="539">
                  <c:v>0.57467378325694207</c:v>
                </c:pt>
                <c:pt idx="540">
                  <c:v>0.57467378325694207</c:v>
                </c:pt>
                <c:pt idx="541">
                  <c:v>0.57467378325694207</c:v>
                </c:pt>
                <c:pt idx="542">
                  <c:v>0.57467378325694207</c:v>
                </c:pt>
                <c:pt idx="543">
                  <c:v>0.57467378325694207</c:v>
                </c:pt>
                <c:pt idx="544">
                  <c:v>0.57467378325694207</c:v>
                </c:pt>
                <c:pt idx="545">
                  <c:v>0.57467378325694207</c:v>
                </c:pt>
                <c:pt idx="546">
                  <c:v>0.57467378325694207</c:v>
                </c:pt>
                <c:pt idx="547">
                  <c:v>0.57467378325694207</c:v>
                </c:pt>
                <c:pt idx="548">
                  <c:v>0.57467378325694207</c:v>
                </c:pt>
                <c:pt idx="549">
                  <c:v>0.57467378325694207</c:v>
                </c:pt>
                <c:pt idx="550">
                  <c:v>0.57467378325694207</c:v>
                </c:pt>
                <c:pt idx="551">
                  <c:v>0.57467378325694207</c:v>
                </c:pt>
                <c:pt idx="552">
                  <c:v>0.57467378325694207</c:v>
                </c:pt>
                <c:pt idx="553">
                  <c:v>0.57467378325694207</c:v>
                </c:pt>
                <c:pt idx="554">
                  <c:v>0.57467378325694207</c:v>
                </c:pt>
                <c:pt idx="555">
                  <c:v>0.57467378325694207</c:v>
                </c:pt>
                <c:pt idx="556">
                  <c:v>0.57467378325694207</c:v>
                </c:pt>
                <c:pt idx="557">
                  <c:v>0.57467378325694207</c:v>
                </c:pt>
                <c:pt idx="558">
                  <c:v>0.57467378325694207</c:v>
                </c:pt>
                <c:pt idx="559">
                  <c:v>0.57467378325694207</c:v>
                </c:pt>
                <c:pt idx="560">
                  <c:v>0.57467378325694207</c:v>
                </c:pt>
                <c:pt idx="561">
                  <c:v>0.57467378325694207</c:v>
                </c:pt>
                <c:pt idx="562">
                  <c:v>0.57467378325694207</c:v>
                </c:pt>
                <c:pt idx="563">
                  <c:v>0.57467378325694207</c:v>
                </c:pt>
                <c:pt idx="564">
                  <c:v>0.57467378325694207</c:v>
                </c:pt>
                <c:pt idx="565">
                  <c:v>0.57467378325694207</c:v>
                </c:pt>
                <c:pt idx="566">
                  <c:v>0.57467378325694207</c:v>
                </c:pt>
                <c:pt idx="567">
                  <c:v>0.57467378325694207</c:v>
                </c:pt>
                <c:pt idx="568">
                  <c:v>0.57467378325694207</c:v>
                </c:pt>
                <c:pt idx="569">
                  <c:v>0.57467378325694207</c:v>
                </c:pt>
                <c:pt idx="570">
                  <c:v>0.57467378325694207</c:v>
                </c:pt>
                <c:pt idx="571">
                  <c:v>0.57467378325694207</c:v>
                </c:pt>
                <c:pt idx="572">
                  <c:v>0.57467378325694207</c:v>
                </c:pt>
                <c:pt idx="573">
                  <c:v>0.57467378325694207</c:v>
                </c:pt>
                <c:pt idx="574">
                  <c:v>0.57467378325694207</c:v>
                </c:pt>
                <c:pt idx="575">
                  <c:v>0.57467378325694207</c:v>
                </c:pt>
                <c:pt idx="576">
                  <c:v>0.57467378325694207</c:v>
                </c:pt>
                <c:pt idx="577">
                  <c:v>0.57467378325694207</c:v>
                </c:pt>
                <c:pt idx="578">
                  <c:v>0.57467378325694207</c:v>
                </c:pt>
                <c:pt idx="579">
                  <c:v>0.57467378325694207</c:v>
                </c:pt>
                <c:pt idx="580">
                  <c:v>0.57467378325694207</c:v>
                </c:pt>
                <c:pt idx="581">
                  <c:v>0.57467378325694207</c:v>
                </c:pt>
                <c:pt idx="582">
                  <c:v>0.57467378325694207</c:v>
                </c:pt>
                <c:pt idx="583">
                  <c:v>0.57467378325694207</c:v>
                </c:pt>
                <c:pt idx="584">
                  <c:v>0.57467378325694207</c:v>
                </c:pt>
                <c:pt idx="585">
                  <c:v>0.57467378325694207</c:v>
                </c:pt>
                <c:pt idx="586">
                  <c:v>0.57467378325694207</c:v>
                </c:pt>
                <c:pt idx="587">
                  <c:v>0.57467378325694207</c:v>
                </c:pt>
                <c:pt idx="588">
                  <c:v>0.57467378325694207</c:v>
                </c:pt>
                <c:pt idx="589">
                  <c:v>0.57467378325694207</c:v>
                </c:pt>
                <c:pt idx="590">
                  <c:v>0.57467378325694207</c:v>
                </c:pt>
                <c:pt idx="591">
                  <c:v>0.57467378325694207</c:v>
                </c:pt>
                <c:pt idx="592">
                  <c:v>0.57467378325694207</c:v>
                </c:pt>
                <c:pt idx="593">
                  <c:v>0.57467378325694207</c:v>
                </c:pt>
                <c:pt idx="594">
                  <c:v>0.57467378325694207</c:v>
                </c:pt>
                <c:pt idx="595">
                  <c:v>0.57467378325694207</c:v>
                </c:pt>
                <c:pt idx="596">
                  <c:v>0.57467378325694207</c:v>
                </c:pt>
                <c:pt idx="597">
                  <c:v>0.57467378325694207</c:v>
                </c:pt>
                <c:pt idx="598">
                  <c:v>0.57467378325694207</c:v>
                </c:pt>
                <c:pt idx="599">
                  <c:v>0.57467378325694207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0E-499A-AFD3-82E787357187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TTV_IMR!$F$13:$F$612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00E-499A-AFD3-82E78735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MR Chart - TTV(um)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TTV_IMR!$C$13:$C$612</c:f>
              <c:numCache>
                <c:formatCode>0.0000</c:formatCode>
                <c:ptCount val="600"/>
                <c:pt idx="1">
                  <c:v>0.56299999999999994</c:v>
                </c:pt>
                <c:pt idx="2">
                  <c:v>9.2999999999999999E-2</c:v>
                </c:pt>
                <c:pt idx="3">
                  <c:v>0.29499999999999998</c:v>
                </c:pt>
                <c:pt idx="4">
                  <c:v>8.1999999999999962E-2</c:v>
                </c:pt>
                <c:pt idx="5">
                  <c:v>3.999999999999948E-3</c:v>
                </c:pt>
                <c:pt idx="6">
                  <c:v>1.6000000000000014E-2</c:v>
                </c:pt>
                <c:pt idx="7">
                  <c:v>0.25300000000000006</c:v>
                </c:pt>
                <c:pt idx="8">
                  <c:v>0.14400000000000007</c:v>
                </c:pt>
                <c:pt idx="9">
                  <c:v>0.11000000000000004</c:v>
                </c:pt>
                <c:pt idx="10">
                  <c:v>2.300000000000002E-2</c:v>
                </c:pt>
                <c:pt idx="11">
                  <c:v>4.1999999999999982E-2</c:v>
                </c:pt>
                <c:pt idx="12">
                  <c:v>0.123</c:v>
                </c:pt>
                <c:pt idx="13">
                  <c:v>0.189</c:v>
                </c:pt>
                <c:pt idx="14">
                  <c:v>0.17799999999999999</c:v>
                </c:pt>
                <c:pt idx="15">
                  <c:v>0.65500000000000003</c:v>
                </c:pt>
                <c:pt idx="16">
                  <c:v>0.74399999999999999</c:v>
                </c:pt>
                <c:pt idx="17">
                  <c:v>0.122</c:v>
                </c:pt>
                <c:pt idx="18">
                  <c:v>0.318</c:v>
                </c:pt>
                <c:pt idx="19">
                  <c:v>1.4000000000000012E-2</c:v>
                </c:pt>
                <c:pt idx="20">
                  <c:v>0.219</c:v>
                </c:pt>
                <c:pt idx="21">
                  <c:v>9.4E-2</c:v>
                </c:pt>
                <c:pt idx="22">
                  <c:v>0.184</c:v>
                </c:pt>
                <c:pt idx="23">
                  <c:v>0.14700000000000002</c:v>
                </c:pt>
                <c:pt idx="24">
                  <c:v>3.6999999999999977E-2</c:v>
                </c:pt>
                <c:pt idx="25">
                  <c:v>0.122</c:v>
                </c:pt>
                <c:pt idx="26">
                  <c:v>0.19600000000000001</c:v>
                </c:pt>
                <c:pt idx="27">
                  <c:v>1.4000000000000012E-2</c:v>
                </c:pt>
                <c:pt idx="28">
                  <c:v>6.2E-2</c:v>
                </c:pt>
                <c:pt idx="29">
                  <c:v>4.8999999999999988E-2</c:v>
                </c:pt>
                <c:pt idx="30">
                  <c:v>7.1000000000000008E-2</c:v>
                </c:pt>
                <c:pt idx="31">
                  <c:v>6.9000000000000006E-2</c:v>
                </c:pt>
                <c:pt idx="32">
                  <c:v>0.32499999999999996</c:v>
                </c:pt>
                <c:pt idx="33">
                  <c:v>0.45500000000000007</c:v>
                </c:pt>
                <c:pt idx="34">
                  <c:v>0.47300000000000009</c:v>
                </c:pt>
                <c:pt idx="35">
                  <c:v>0.2340000000000001</c:v>
                </c:pt>
                <c:pt idx="36">
                  <c:v>0.39800000000000008</c:v>
                </c:pt>
                <c:pt idx="37">
                  <c:v>0.72499999999999987</c:v>
                </c:pt>
                <c:pt idx="38">
                  <c:v>0.67099999999999982</c:v>
                </c:pt>
                <c:pt idx="39">
                  <c:v>1.2000000000000011E-2</c:v>
                </c:pt>
                <c:pt idx="40">
                  <c:v>6.0000000000000053E-3</c:v>
                </c:pt>
                <c:pt idx="41">
                  <c:v>2.4000000000000021E-2</c:v>
                </c:pt>
                <c:pt idx="42">
                  <c:v>3.8000000000000034E-2</c:v>
                </c:pt>
                <c:pt idx="43">
                  <c:v>2.0000000000000018E-2</c:v>
                </c:pt>
                <c:pt idx="44">
                  <c:v>6.5000000000000002E-2</c:v>
                </c:pt>
                <c:pt idx="45">
                  <c:v>0.26400000000000001</c:v>
                </c:pt>
                <c:pt idx="46">
                  <c:v>6.7999999999999977E-2</c:v>
                </c:pt>
                <c:pt idx="47">
                  <c:v>0.18599999999999997</c:v>
                </c:pt>
                <c:pt idx="48">
                  <c:v>2.4999999999999967E-2</c:v>
                </c:pt>
                <c:pt idx="49">
                  <c:v>0.25499999999999995</c:v>
                </c:pt>
                <c:pt idx="50">
                  <c:v>0.43999999999999995</c:v>
                </c:pt>
                <c:pt idx="51">
                  <c:v>0.28600000000000003</c:v>
                </c:pt>
                <c:pt idx="52">
                  <c:v>0.16799999999999998</c:v>
                </c:pt>
                <c:pt idx="53">
                  <c:v>7.0000000000000007E-2</c:v>
                </c:pt>
                <c:pt idx="54">
                  <c:v>3.4999999999999976E-2</c:v>
                </c:pt>
                <c:pt idx="55">
                  <c:v>0.13300000000000001</c:v>
                </c:pt>
                <c:pt idx="56">
                  <c:v>0.36699999999999999</c:v>
                </c:pt>
                <c:pt idx="57">
                  <c:v>0.192</c:v>
                </c:pt>
                <c:pt idx="58">
                  <c:v>2.1999999999999964E-2</c:v>
                </c:pt>
                <c:pt idx="59">
                  <c:v>0.11899999999999999</c:v>
                </c:pt>
                <c:pt idx="60">
                  <c:v>0.15999999999999998</c:v>
                </c:pt>
                <c:pt idx="61">
                  <c:v>6.6000000000000003E-2</c:v>
                </c:pt>
                <c:pt idx="62">
                  <c:v>0.19700000000000001</c:v>
                </c:pt>
                <c:pt idx="63">
                  <c:v>1.100000000000001E-2</c:v>
                </c:pt>
                <c:pt idx="64">
                  <c:v>3.1000000000000028E-2</c:v>
                </c:pt>
                <c:pt idx="65">
                  <c:v>0.51899999999999991</c:v>
                </c:pt>
                <c:pt idx="66">
                  <c:v>1.9000000000000017E-2</c:v>
                </c:pt>
                <c:pt idx="67">
                  <c:v>0.63300000000000001</c:v>
                </c:pt>
                <c:pt idx="68">
                  <c:v>9.9000000000000005E-2</c:v>
                </c:pt>
                <c:pt idx="69">
                  <c:v>0.19500000000000003</c:v>
                </c:pt>
                <c:pt idx="70">
                  <c:v>2.9000000000000026E-2</c:v>
                </c:pt>
                <c:pt idx="71">
                  <c:v>4.0999999999999981E-2</c:v>
                </c:pt>
                <c:pt idx="72">
                  <c:v>6.8000000000000005E-2</c:v>
                </c:pt>
                <c:pt idx="73">
                  <c:v>1.699999999999996E-2</c:v>
                </c:pt>
                <c:pt idx="74">
                  <c:v>3.5999999999999976E-2</c:v>
                </c:pt>
                <c:pt idx="75">
                  <c:v>8.1000000000000016E-2</c:v>
                </c:pt>
                <c:pt idx="76">
                  <c:v>8.0999999999999989E-2</c:v>
                </c:pt>
                <c:pt idx="77">
                  <c:v>4.0000000000000036E-3</c:v>
                </c:pt>
                <c:pt idx="78">
                  <c:v>0.32199999999999995</c:v>
                </c:pt>
                <c:pt idx="79">
                  <c:v>0.14000000000000001</c:v>
                </c:pt>
                <c:pt idx="80">
                  <c:v>0.18899999999999997</c:v>
                </c:pt>
                <c:pt idx="81">
                  <c:v>0.16200000000000001</c:v>
                </c:pt>
                <c:pt idx="82">
                  <c:v>0.95699999999999985</c:v>
                </c:pt>
                <c:pt idx="83">
                  <c:v>1.8999999999999906E-2</c:v>
                </c:pt>
                <c:pt idx="84">
                  <c:v>1.4999999999999902E-2</c:v>
                </c:pt>
                <c:pt idx="85">
                  <c:v>4.4999999999999929E-2</c:v>
                </c:pt>
                <c:pt idx="86">
                  <c:v>5.8000000000000052E-2</c:v>
                </c:pt>
                <c:pt idx="87">
                  <c:v>0.19000000000000017</c:v>
                </c:pt>
                <c:pt idx="88">
                  <c:v>0.11299999999999999</c:v>
                </c:pt>
                <c:pt idx="89">
                  <c:v>1.0359999999999998</c:v>
                </c:pt>
                <c:pt idx="90">
                  <c:v>2.5999999999999995E-2</c:v>
                </c:pt>
                <c:pt idx="91">
                  <c:v>0.11499999999999999</c:v>
                </c:pt>
                <c:pt idx="92">
                  <c:v>0.16300000000000001</c:v>
                </c:pt>
                <c:pt idx="93">
                  <c:v>0.14099999999999999</c:v>
                </c:pt>
                <c:pt idx="94">
                  <c:v>0.31700000000000006</c:v>
                </c:pt>
                <c:pt idx="95">
                  <c:v>0.26100000000000001</c:v>
                </c:pt>
                <c:pt idx="96">
                  <c:v>0.26500000000000001</c:v>
                </c:pt>
                <c:pt idx="97">
                  <c:v>0.10500000000000001</c:v>
                </c:pt>
                <c:pt idx="98">
                  <c:v>4.2999999999999983E-2</c:v>
                </c:pt>
                <c:pt idx="99">
                  <c:v>0.19700000000000001</c:v>
                </c:pt>
                <c:pt idx="100">
                  <c:v>0.19600000000000004</c:v>
                </c:pt>
                <c:pt idx="101">
                  <c:v>3.0000000000000027E-3</c:v>
                </c:pt>
                <c:pt idx="102">
                  <c:v>0.153</c:v>
                </c:pt>
                <c:pt idx="103">
                  <c:v>1.5000000000000013E-2</c:v>
                </c:pt>
                <c:pt idx="104">
                  <c:v>5.9999999999999498E-3</c:v>
                </c:pt>
                <c:pt idx="105">
                  <c:v>1.9999999999999962E-2</c:v>
                </c:pt>
                <c:pt idx="106">
                  <c:v>2.5000000000000022E-2</c:v>
                </c:pt>
                <c:pt idx="107">
                  <c:v>0.128</c:v>
                </c:pt>
                <c:pt idx="108">
                  <c:v>4.9999999999999989E-2</c:v>
                </c:pt>
                <c:pt idx="109">
                  <c:v>0.17899999999999999</c:v>
                </c:pt>
                <c:pt idx="110">
                  <c:v>0.11299999999999999</c:v>
                </c:pt>
                <c:pt idx="111">
                  <c:v>1.8000000000000016E-2</c:v>
                </c:pt>
                <c:pt idx="112">
                  <c:v>1.0000000000000009E-3</c:v>
                </c:pt>
                <c:pt idx="113">
                  <c:v>5.0000000000000044E-3</c:v>
                </c:pt>
                <c:pt idx="114">
                  <c:v>0.24199999999999994</c:v>
                </c:pt>
                <c:pt idx="115">
                  <c:v>4.1999999999999982E-2</c:v>
                </c:pt>
                <c:pt idx="116">
                  <c:v>1.100000000000001E-2</c:v>
                </c:pt>
                <c:pt idx="117">
                  <c:v>2.9999999999999971E-2</c:v>
                </c:pt>
                <c:pt idx="118">
                  <c:v>0.15300000000000002</c:v>
                </c:pt>
                <c:pt idx="119">
                  <c:v>1.9000000000000017E-2</c:v>
                </c:pt>
                <c:pt idx="120">
                  <c:v>0.17799999999999999</c:v>
                </c:pt>
                <c:pt idx="121">
                  <c:v>9.2000000000000026E-2</c:v>
                </c:pt>
                <c:pt idx="122">
                  <c:v>1.1999999999999955E-2</c:v>
                </c:pt>
                <c:pt idx="123">
                  <c:v>0.10700000000000001</c:v>
                </c:pt>
                <c:pt idx="124">
                  <c:v>0.16200000000000001</c:v>
                </c:pt>
                <c:pt idx="125">
                  <c:v>5.099999999999999E-2</c:v>
                </c:pt>
                <c:pt idx="126">
                  <c:v>0.21000000000000002</c:v>
                </c:pt>
                <c:pt idx="127">
                  <c:v>3.7999999999999992E-2</c:v>
                </c:pt>
                <c:pt idx="128">
                  <c:v>8.2000000000000003E-2</c:v>
                </c:pt>
                <c:pt idx="129">
                  <c:v>0.26400000000000001</c:v>
                </c:pt>
                <c:pt idx="130">
                  <c:v>9.2000000000000026E-2</c:v>
                </c:pt>
                <c:pt idx="131">
                  <c:v>7.8999999999999959E-2</c:v>
                </c:pt>
                <c:pt idx="132">
                  <c:v>9.9999999999999978E-2</c:v>
                </c:pt>
                <c:pt idx="133">
                  <c:v>4.6999999999999986E-2</c:v>
                </c:pt>
                <c:pt idx="134">
                  <c:v>3.400000000000003E-2</c:v>
                </c:pt>
                <c:pt idx="135">
                  <c:v>0.21100000000000002</c:v>
                </c:pt>
                <c:pt idx="136">
                  <c:v>0.24099999999999999</c:v>
                </c:pt>
                <c:pt idx="137">
                  <c:v>4.1999999999999982E-2</c:v>
                </c:pt>
                <c:pt idx="138">
                  <c:v>6.3E-2</c:v>
                </c:pt>
                <c:pt idx="139">
                  <c:v>1.6000000000000014E-2</c:v>
                </c:pt>
                <c:pt idx="140">
                  <c:v>0.18</c:v>
                </c:pt>
                <c:pt idx="141">
                  <c:v>2.4000000000000021E-2</c:v>
                </c:pt>
                <c:pt idx="142">
                  <c:v>0.13599999999999995</c:v>
                </c:pt>
                <c:pt idx="143">
                  <c:v>0.32999999999999996</c:v>
                </c:pt>
                <c:pt idx="144">
                  <c:v>0.12700000000000003</c:v>
                </c:pt>
                <c:pt idx="145">
                  <c:v>0.18300000000000002</c:v>
                </c:pt>
                <c:pt idx="146">
                  <c:v>0.29700000000000004</c:v>
                </c:pt>
                <c:pt idx="147">
                  <c:v>1.4000000000000012E-2</c:v>
                </c:pt>
                <c:pt idx="148">
                  <c:v>2.4000000000000021E-2</c:v>
                </c:pt>
                <c:pt idx="149">
                  <c:v>8.8000000000000023E-2</c:v>
                </c:pt>
                <c:pt idx="150">
                  <c:v>7.400000000000001E-2</c:v>
                </c:pt>
                <c:pt idx="151">
                  <c:v>6.8000000000000005E-2</c:v>
                </c:pt>
                <c:pt idx="152">
                  <c:v>0.10500000000000001</c:v>
                </c:pt>
                <c:pt idx="153">
                  <c:v>0.998</c:v>
                </c:pt>
                <c:pt idx="154">
                  <c:v>0.93099999999999994</c:v>
                </c:pt>
                <c:pt idx="155">
                  <c:v>0.20499999999999996</c:v>
                </c:pt>
                <c:pt idx="156">
                  <c:v>0.14699999999999996</c:v>
                </c:pt>
                <c:pt idx="157">
                  <c:v>2.6000000000000023E-2</c:v>
                </c:pt>
                <c:pt idx="158">
                  <c:v>6.0999999999999999E-2</c:v>
                </c:pt>
                <c:pt idx="159">
                  <c:v>0.22799999999999998</c:v>
                </c:pt>
                <c:pt idx="160">
                  <c:v>0.127</c:v>
                </c:pt>
                <c:pt idx="161">
                  <c:v>0.60299999999999998</c:v>
                </c:pt>
                <c:pt idx="162">
                  <c:v>0.63300000000000001</c:v>
                </c:pt>
                <c:pt idx="163">
                  <c:v>0.16200000000000001</c:v>
                </c:pt>
                <c:pt idx="164">
                  <c:v>0.10300000000000001</c:v>
                </c:pt>
                <c:pt idx="165">
                  <c:v>0.11500000000000002</c:v>
                </c:pt>
                <c:pt idx="166">
                  <c:v>6.4000000000000001E-2</c:v>
                </c:pt>
                <c:pt idx="167">
                  <c:v>7.0000000000000062E-3</c:v>
                </c:pt>
                <c:pt idx="168">
                  <c:v>5.0000000000000044E-3</c:v>
                </c:pt>
                <c:pt idx="169">
                  <c:v>0.12200000000000003</c:v>
                </c:pt>
                <c:pt idx="170">
                  <c:v>4.8000000000000043E-2</c:v>
                </c:pt>
                <c:pt idx="171">
                  <c:v>5.0000000000000044E-3</c:v>
                </c:pt>
                <c:pt idx="172">
                  <c:v>0.123</c:v>
                </c:pt>
                <c:pt idx="173">
                  <c:v>1.7999999999999988E-2</c:v>
                </c:pt>
                <c:pt idx="174">
                  <c:v>3.0000000000000027E-3</c:v>
                </c:pt>
                <c:pt idx="175">
                  <c:v>1.006</c:v>
                </c:pt>
                <c:pt idx="176">
                  <c:v>0.68799999999999994</c:v>
                </c:pt>
                <c:pt idx="177">
                  <c:v>0.128</c:v>
                </c:pt>
                <c:pt idx="178">
                  <c:v>0.11400000000000005</c:v>
                </c:pt>
                <c:pt idx="179">
                  <c:v>4.9999999999999989E-2</c:v>
                </c:pt>
                <c:pt idx="180">
                  <c:v>0.19</c:v>
                </c:pt>
                <c:pt idx="181">
                  <c:v>0.42099999999999999</c:v>
                </c:pt>
                <c:pt idx="182">
                  <c:v>0.42899999999999999</c:v>
                </c:pt>
                <c:pt idx="183">
                  <c:v>0.49700000000000005</c:v>
                </c:pt>
                <c:pt idx="184">
                  <c:v>0.18000000000000005</c:v>
                </c:pt>
                <c:pt idx="185">
                  <c:v>0.29299999999999998</c:v>
                </c:pt>
                <c:pt idx="186">
                  <c:v>1.4000000000000012E-2</c:v>
                </c:pt>
                <c:pt idx="187">
                  <c:v>0.17600000000000002</c:v>
                </c:pt>
                <c:pt idx="188">
                  <c:v>0.11400000000000002</c:v>
                </c:pt>
                <c:pt idx="189">
                  <c:v>1.7000000000000015E-2</c:v>
                </c:pt>
                <c:pt idx="190">
                  <c:v>1.4000000000000012E-2</c:v>
                </c:pt>
                <c:pt idx="191">
                  <c:v>2.8000000000000025E-2</c:v>
                </c:pt>
                <c:pt idx="192">
                  <c:v>7.400000000000001E-2</c:v>
                </c:pt>
                <c:pt idx="193">
                  <c:v>0.16999999999999998</c:v>
                </c:pt>
                <c:pt idx="194">
                  <c:v>0.21999999999999997</c:v>
                </c:pt>
                <c:pt idx="195">
                  <c:v>0.11199999999999999</c:v>
                </c:pt>
                <c:pt idx="196">
                  <c:v>2.4999999999999994E-2</c:v>
                </c:pt>
                <c:pt idx="197">
                  <c:v>0.94</c:v>
                </c:pt>
                <c:pt idx="198">
                  <c:v>0.70699999999999985</c:v>
                </c:pt>
                <c:pt idx="199">
                  <c:v>0.14500000000000002</c:v>
                </c:pt>
                <c:pt idx="200">
                  <c:v>4.0999999999999981E-2</c:v>
                </c:pt>
                <c:pt idx="201">
                  <c:v>0.255</c:v>
                </c:pt>
                <c:pt idx="202">
                  <c:v>4.300000000000001E-2</c:v>
                </c:pt>
                <c:pt idx="203">
                  <c:v>1.999999999999999E-2</c:v>
                </c:pt>
                <c:pt idx="204">
                  <c:v>3.0000000000000027E-3</c:v>
                </c:pt>
                <c:pt idx="205">
                  <c:v>3.4000000000000002E-2</c:v>
                </c:pt>
                <c:pt idx="206">
                  <c:v>3.7000000000000005E-2</c:v>
                </c:pt>
                <c:pt idx="207">
                  <c:v>3.5000000000000003E-2</c:v>
                </c:pt>
                <c:pt idx="208">
                  <c:v>4.8000000000000015E-2</c:v>
                </c:pt>
                <c:pt idx="209">
                  <c:v>9.8999999999999991E-2</c:v>
                </c:pt>
                <c:pt idx="210">
                  <c:v>0.108</c:v>
                </c:pt>
                <c:pt idx="211">
                  <c:v>0.16200000000000001</c:v>
                </c:pt>
                <c:pt idx="212">
                  <c:v>8.0999999999999989E-2</c:v>
                </c:pt>
                <c:pt idx="213">
                  <c:v>9.6000000000000002E-2</c:v>
                </c:pt>
                <c:pt idx="214">
                  <c:v>6.6000000000000003E-2</c:v>
                </c:pt>
                <c:pt idx="215">
                  <c:v>6.0999999999999985E-2</c:v>
                </c:pt>
                <c:pt idx="216">
                  <c:v>0.10099999999999999</c:v>
                </c:pt>
                <c:pt idx="217">
                  <c:v>7.0000000000000062E-3</c:v>
                </c:pt>
                <c:pt idx="218">
                  <c:v>6.9999999999999785E-3</c:v>
                </c:pt>
                <c:pt idx="219">
                  <c:v>5.0000000000000044E-3</c:v>
                </c:pt>
                <c:pt idx="220">
                  <c:v>2.5999999999999995E-2</c:v>
                </c:pt>
                <c:pt idx="221">
                  <c:v>6.9000000000000006E-2</c:v>
                </c:pt>
                <c:pt idx="222">
                  <c:v>5.1999999999999991E-2</c:v>
                </c:pt>
                <c:pt idx="223">
                  <c:v>6.4000000000000001E-2</c:v>
                </c:pt>
                <c:pt idx="224">
                  <c:v>0.28100000000000003</c:v>
                </c:pt>
                <c:pt idx="225">
                  <c:v>0.27500000000000002</c:v>
                </c:pt>
                <c:pt idx="226">
                  <c:v>0.161</c:v>
                </c:pt>
                <c:pt idx="227">
                  <c:v>2.200000000000002E-2</c:v>
                </c:pt>
                <c:pt idx="228">
                  <c:v>3.8000000000000034E-2</c:v>
                </c:pt>
                <c:pt idx="229">
                  <c:v>9.5000000000000029E-2</c:v>
                </c:pt>
                <c:pt idx="230">
                  <c:v>0.16899999999999998</c:v>
                </c:pt>
                <c:pt idx="231">
                  <c:v>0.36299999999999999</c:v>
                </c:pt>
                <c:pt idx="232">
                  <c:v>0.21400000000000002</c:v>
                </c:pt>
                <c:pt idx="233">
                  <c:v>7.9999999999999516E-3</c:v>
                </c:pt>
                <c:pt idx="234">
                  <c:v>0.10199999999999998</c:v>
                </c:pt>
                <c:pt idx="235">
                  <c:v>3.0000000000000027E-3</c:v>
                </c:pt>
                <c:pt idx="236">
                  <c:v>0.12</c:v>
                </c:pt>
                <c:pt idx="237">
                  <c:v>0.95099999999999996</c:v>
                </c:pt>
                <c:pt idx="238">
                  <c:v>0.63700000000000001</c:v>
                </c:pt>
                <c:pt idx="239">
                  <c:v>0.34599999999999997</c:v>
                </c:pt>
                <c:pt idx="240">
                  <c:v>0.221</c:v>
                </c:pt>
                <c:pt idx="241">
                  <c:v>0.34600000000000003</c:v>
                </c:pt>
                <c:pt idx="242">
                  <c:v>0.64600000000000002</c:v>
                </c:pt>
                <c:pt idx="243">
                  <c:v>0.63700000000000001</c:v>
                </c:pt>
                <c:pt idx="244">
                  <c:v>0.54700000000000004</c:v>
                </c:pt>
                <c:pt idx="245">
                  <c:v>7.9000000000000015E-2</c:v>
                </c:pt>
                <c:pt idx="246">
                  <c:v>0.52500000000000002</c:v>
                </c:pt>
                <c:pt idx="247">
                  <c:v>0.34900000000000003</c:v>
                </c:pt>
                <c:pt idx="248">
                  <c:v>0.13400000000000001</c:v>
                </c:pt>
                <c:pt idx="249">
                  <c:v>5.3000000000000047E-2</c:v>
                </c:pt>
                <c:pt idx="250">
                  <c:v>0.11799999999999999</c:v>
                </c:pt>
                <c:pt idx="251">
                  <c:v>3.8999999999999979E-2</c:v>
                </c:pt>
                <c:pt idx="252">
                  <c:v>0.32799999999999996</c:v>
                </c:pt>
                <c:pt idx="253">
                  <c:v>0.35799999999999998</c:v>
                </c:pt>
                <c:pt idx="254">
                  <c:v>8.3999999999999991E-2</c:v>
                </c:pt>
                <c:pt idx="255">
                  <c:v>0.11099999999999999</c:v>
                </c:pt>
                <c:pt idx="256">
                  <c:v>0.35300000000000004</c:v>
                </c:pt>
                <c:pt idx="257">
                  <c:v>2.8000000000000025E-2</c:v>
                </c:pt>
                <c:pt idx="258">
                  <c:v>0.30000000000000004</c:v>
                </c:pt>
                <c:pt idx="259">
                  <c:v>0.12699999999999997</c:v>
                </c:pt>
                <c:pt idx="260">
                  <c:v>0.11199999999999999</c:v>
                </c:pt>
                <c:pt idx="261">
                  <c:v>9.0000000000000024E-2</c:v>
                </c:pt>
                <c:pt idx="262">
                  <c:v>6.0999999999999999E-2</c:v>
                </c:pt>
                <c:pt idx="263">
                  <c:v>3.4999999999999976E-2</c:v>
                </c:pt>
                <c:pt idx="264">
                  <c:v>2.0000000000000018E-2</c:v>
                </c:pt>
                <c:pt idx="265">
                  <c:v>0.188</c:v>
                </c:pt>
                <c:pt idx="266">
                  <c:v>1.9000000000000017E-2</c:v>
                </c:pt>
                <c:pt idx="267">
                  <c:v>5.7999999999999996E-2</c:v>
                </c:pt>
                <c:pt idx="268">
                  <c:v>1.2999999999999956E-2</c:v>
                </c:pt>
                <c:pt idx="269">
                  <c:v>0.18399999999999997</c:v>
                </c:pt>
                <c:pt idx="270">
                  <c:v>0.26800000000000002</c:v>
                </c:pt>
                <c:pt idx="271">
                  <c:v>7.0000000000000062E-3</c:v>
                </c:pt>
                <c:pt idx="272">
                  <c:v>8.0000000000000071E-3</c:v>
                </c:pt>
                <c:pt idx="273">
                  <c:v>0</c:v>
                </c:pt>
                <c:pt idx="274">
                  <c:v>0.10299999999999998</c:v>
                </c:pt>
                <c:pt idx="275">
                  <c:v>5.099999999999999E-2</c:v>
                </c:pt>
                <c:pt idx="276">
                  <c:v>3.5000000000000031E-2</c:v>
                </c:pt>
                <c:pt idx="277">
                  <c:v>0.15900000000000003</c:v>
                </c:pt>
                <c:pt idx="278">
                  <c:v>6.0999999999999999E-2</c:v>
                </c:pt>
                <c:pt idx="279">
                  <c:v>7.400000000000001E-2</c:v>
                </c:pt>
                <c:pt idx="280">
                  <c:v>0.10399999999999998</c:v>
                </c:pt>
                <c:pt idx="281">
                  <c:v>6.0000000000000053E-3</c:v>
                </c:pt>
                <c:pt idx="282">
                  <c:v>0.15099999999999997</c:v>
                </c:pt>
                <c:pt idx="283">
                  <c:v>0.13999999999999996</c:v>
                </c:pt>
                <c:pt idx="284">
                  <c:v>0.21500000000000008</c:v>
                </c:pt>
                <c:pt idx="285">
                  <c:v>0.67200000000000004</c:v>
                </c:pt>
                <c:pt idx="286">
                  <c:v>0.53900000000000003</c:v>
                </c:pt>
                <c:pt idx="287">
                  <c:v>0.374</c:v>
                </c:pt>
                <c:pt idx="288">
                  <c:v>0.53600000000000003</c:v>
                </c:pt>
                <c:pt idx="289">
                  <c:v>0.64800000000000002</c:v>
                </c:pt>
                <c:pt idx="290">
                  <c:v>0.27400000000000002</c:v>
                </c:pt>
                <c:pt idx="291">
                  <c:v>0.18099999999999999</c:v>
                </c:pt>
                <c:pt idx="292">
                  <c:v>2.8999999999999998E-2</c:v>
                </c:pt>
                <c:pt idx="293">
                  <c:v>2.1999999999999992E-2</c:v>
                </c:pt>
                <c:pt idx="294">
                  <c:v>0.50600000000000001</c:v>
                </c:pt>
                <c:pt idx="295">
                  <c:v>0.77599999999999991</c:v>
                </c:pt>
                <c:pt idx="296">
                  <c:v>1.1429999999999998</c:v>
                </c:pt>
                <c:pt idx="297">
                  <c:v>4.5999999999999985E-2</c:v>
                </c:pt>
                <c:pt idx="298">
                  <c:v>0.30099999999999999</c:v>
                </c:pt>
                <c:pt idx="299">
                  <c:v>0.21799999999999997</c:v>
                </c:pt>
                <c:pt idx="300">
                  <c:v>0.41600000000000004</c:v>
                </c:pt>
                <c:pt idx="301">
                  <c:v>0.497</c:v>
                </c:pt>
                <c:pt idx="302">
                  <c:v>0.378</c:v>
                </c:pt>
                <c:pt idx="303">
                  <c:v>9.2999999999999999E-2</c:v>
                </c:pt>
                <c:pt idx="304">
                  <c:v>6.8000000000000005E-2</c:v>
                </c:pt>
                <c:pt idx="305">
                  <c:v>7.2999999999999982E-2</c:v>
                </c:pt>
                <c:pt idx="306">
                  <c:v>5.2999999999999992E-2</c:v>
                </c:pt>
                <c:pt idx="307">
                  <c:v>0.107</c:v>
                </c:pt>
                <c:pt idx="308">
                  <c:v>9.6999999999999989E-2</c:v>
                </c:pt>
                <c:pt idx="309">
                  <c:v>0.13099999999999998</c:v>
                </c:pt>
                <c:pt idx="310">
                  <c:v>0.21599999999999997</c:v>
                </c:pt>
                <c:pt idx="311">
                  <c:v>8.3999999999999991E-2</c:v>
                </c:pt>
                <c:pt idx="312">
                  <c:v>2.3999999999999994E-2</c:v>
                </c:pt>
                <c:pt idx="313">
                  <c:v>8.9000000000000024E-2</c:v>
                </c:pt>
                <c:pt idx="314">
                  <c:v>1.9999999999999962E-2</c:v>
                </c:pt>
                <c:pt idx="315">
                  <c:v>0.27899999999999997</c:v>
                </c:pt>
                <c:pt idx="316">
                  <c:v>0.27099999999999996</c:v>
                </c:pt>
                <c:pt idx="317">
                  <c:v>0.128</c:v>
                </c:pt>
                <c:pt idx="318">
                  <c:v>0.29100000000000004</c:v>
                </c:pt>
                <c:pt idx="319">
                  <c:v>0.13500000000000004</c:v>
                </c:pt>
                <c:pt idx="320">
                  <c:v>9.7000000000000031E-2</c:v>
                </c:pt>
                <c:pt idx="321">
                  <c:v>8.8000000000000023E-2</c:v>
                </c:pt>
                <c:pt idx="322">
                  <c:v>2.9000000000000026E-2</c:v>
                </c:pt>
                <c:pt idx="323">
                  <c:v>0.17299999999999999</c:v>
                </c:pt>
                <c:pt idx="324">
                  <c:v>0.17999999999999997</c:v>
                </c:pt>
                <c:pt idx="325">
                  <c:v>6.9999999999999979E-2</c:v>
                </c:pt>
                <c:pt idx="326">
                  <c:v>0.13600000000000001</c:v>
                </c:pt>
                <c:pt idx="327">
                  <c:v>3.999999999999998E-2</c:v>
                </c:pt>
                <c:pt idx="328">
                  <c:v>0.30700000000000005</c:v>
                </c:pt>
                <c:pt idx="329">
                  <c:v>9.0999999999999998E-2</c:v>
                </c:pt>
                <c:pt idx="330">
                  <c:v>0.16000000000000003</c:v>
                </c:pt>
                <c:pt idx="331">
                  <c:v>5.2000000000000046E-2</c:v>
                </c:pt>
                <c:pt idx="332">
                  <c:v>2.3999999999999966E-2</c:v>
                </c:pt>
                <c:pt idx="333">
                  <c:v>0.128</c:v>
                </c:pt>
                <c:pt idx="334">
                  <c:v>0.21399999999999997</c:v>
                </c:pt>
                <c:pt idx="335">
                  <c:v>1.799999999999996E-2</c:v>
                </c:pt>
                <c:pt idx="336">
                  <c:v>2.9000000000000026E-2</c:v>
                </c:pt>
                <c:pt idx="337">
                  <c:v>2.0000000000000018E-2</c:v>
                </c:pt>
                <c:pt idx="338">
                  <c:v>0.18799999999999997</c:v>
                </c:pt>
                <c:pt idx="339">
                  <c:v>0.126</c:v>
                </c:pt>
                <c:pt idx="340">
                  <c:v>7.0000000000000062E-3</c:v>
                </c:pt>
                <c:pt idx="341">
                  <c:v>1.7999999999999988E-2</c:v>
                </c:pt>
                <c:pt idx="342">
                  <c:v>8.5000000000000006E-2</c:v>
                </c:pt>
                <c:pt idx="343">
                  <c:v>0.25800000000000001</c:v>
                </c:pt>
                <c:pt idx="344">
                  <c:v>7.5000000000000011E-2</c:v>
                </c:pt>
                <c:pt idx="345">
                  <c:v>4.2000000000000037E-2</c:v>
                </c:pt>
                <c:pt idx="346">
                  <c:v>0.76200000000000001</c:v>
                </c:pt>
                <c:pt idx="347">
                  <c:v>0.46800000000000008</c:v>
                </c:pt>
                <c:pt idx="348">
                  <c:v>0.254</c:v>
                </c:pt>
                <c:pt idx="349">
                  <c:v>3.7999999999999978E-2</c:v>
                </c:pt>
                <c:pt idx="350">
                  <c:v>0.12200000000000003</c:v>
                </c:pt>
                <c:pt idx="351">
                  <c:v>0.13799999999999998</c:v>
                </c:pt>
                <c:pt idx="352">
                  <c:v>0.19700000000000006</c:v>
                </c:pt>
                <c:pt idx="353">
                  <c:v>0.32400000000000007</c:v>
                </c:pt>
                <c:pt idx="354">
                  <c:v>0.14100000000000001</c:v>
                </c:pt>
                <c:pt idx="355">
                  <c:v>0.126</c:v>
                </c:pt>
                <c:pt idx="356">
                  <c:v>7.3999999999999982E-2</c:v>
                </c:pt>
                <c:pt idx="357">
                  <c:v>0.253</c:v>
                </c:pt>
                <c:pt idx="358">
                  <c:v>2.0000000000000018E-2</c:v>
                </c:pt>
                <c:pt idx="359">
                  <c:v>6.0999999999999999E-2</c:v>
                </c:pt>
                <c:pt idx="360">
                  <c:v>4.4999999999999984E-2</c:v>
                </c:pt>
                <c:pt idx="361">
                  <c:v>6.4000000000000001E-2</c:v>
                </c:pt>
                <c:pt idx="362">
                  <c:v>3.3000000000000029E-2</c:v>
                </c:pt>
                <c:pt idx="363">
                  <c:v>0.125</c:v>
                </c:pt>
                <c:pt idx="364">
                  <c:v>0.14199999999999996</c:v>
                </c:pt>
                <c:pt idx="365">
                  <c:v>3.0000000000000027E-3</c:v>
                </c:pt>
                <c:pt idx="366">
                  <c:v>9.5999999999999974E-2</c:v>
                </c:pt>
                <c:pt idx="367">
                  <c:v>0.20399999999999999</c:v>
                </c:pt>
                <c:pt idx="368">
                  <c:v>6.2E-2</c:v>
                </c:pt>
                <c:pt idx="369">
                  <c:v>0.153</c:v>
                </c:pt>
                <c:pt idx="370">
                  <c:v>0.13900000000000001</c:v>
                </c:pt>
                <c:pt idx="371">
                  <c:v>0.35499999999999998</c:v>
                </c:pt>
                <c:pt idx="372">
                  <c:v>0.504</c:v>
                </c:pt>
                <c:pt idx="373">
                  <c:v>0.14299999999999999</c:v>
                </c:pt>
                <c:pt idx="374">
                  <c:v>4.0000000000000036E-3</c:v>
                </c:pt>
                <c:pt idx="375">
                  <c:v>4.500000000000004E-2</c:v>
                </c:pt>
                <c:pt idx="376">
                  <c:v>7.2000000000000036E-2</c:v>
                </c:pt>
                <c:pt idx="377">
                  <c:v>0.59100000000000008</c:v>
                </c:pt>
                <c:pt idx="378">
                  <c:v>0.67</c:v>
                </c:pt>
                <c:pt idx="379">
                  <c:v>0.23799999999999999</c:v>
                </c:pt>
                <c:pt idx="380">
                  <c:v>0.249</c:v>
                </c:pt>
                <c:pt idx="381">
                  <c:v>2.1999999999999992E-2</c:v>
                </c:pt>
                <c:pt idx="382">
                  <c:v>0.254</c:v>
                </c:pt>
                <c:pt idx="383">
                  <c:v>0.14900000000000002</c:v>
                </c:pt>
                <c:pt idx="384">
                  <c:v>2.7000000000000024E-2</c:v>
                </c:pt>
                <c:pt idx="385">
                  <c:v>0.12100000000000002</c:v>
                </c:pt>
                <c:pt idx="386">
                  <c:v>0.12700000000000003</c:v>
                </c:pt>
                <c:pt idx="387">
                  <c:v>9.2999999999999972E-2</c:v>
                </c:pt>
                <c:pt idx="388">
                  <c:v>0.51100000000000001</c:v>
                </c:pt>
                <c:pt idx="389">
                  <c:v>0.47699999999999998</c:v>
                </c:pt>
                <c:pt idx="390">
                  <c:v>0.15000000000000002</c:v>
                </c:pt>
                <c:pt idx="391">
                  <c:v>1.3000000000000012E-2</c:v>
                </c:pt>
                <c:pt idx="392">
                  <c:v>0.16499999999999998</c:v>
                </c:pt>
                <c:pt idx="393">
                  <c:v>0.28499999999999998</c:v>
                </c:pt>
                <c:pt idx="394">
                  <c:v>4.0000000000000008E-2</c:v>
                </c:pt>
                <c:pt idx="395">
                  <c:v>0.17200000000000001</c:v>
                </c:pt>
                <c:pt idx="396">
                  <c:v>9.9999999999999534E-3</c:v>
                </c:pt>
                <c:pt idx="397">
                  <c:v>9.4999999999999973E-2</c:v>
                </c:pt>
                <c:pt idx="398">
                  <c:v>7.8000000000000014E-2</c:v>
                </c:pt>
                <c:pt idx="399">
                  <c:v>4.0000000000000036E-3</c:v>
                </c:pt>
                <c:pt idx="400">
                  <c:v>0.10800000000000001</c:v>
                </c:pt>
                <c:pt idx="401">
                  <c:v>1.6999999999999987E-2</c:v>
                </c:pt>
                <c:pt idx="402">
                  <c:v>0.11599999999999999</c:v>
                </c:pt>
                <c:pt idx="403">
                  <c:v>3.0000000000000027E-3</c:v>
                </c:pt>
                <c:pt idx="404">
                  <c:v>6.6000000000000003E-2</c:v>
                </c:pt>
                <c:pt idx="405">
                  <c:v>0.22099999999999997</c:v>
                </c:pt>
                <c:pt idx="406">
                  <c:v>2.7999999999999969E-2</c:v>
                </c:pt>
                <c:pt idx="407">
                  <c:v>0.17399999999999999</c:v>
                </c:pt>
                <c:pt idx="408">
                  <c:v>0.16599999999999998</c:v>
                </c:pt>
                <c:pt idx="409">
                  <c:v>7.8000000000000014E-2</c:v>
                </c:pt>
                <c:pt idx="410">
                  <c:v>7.3000000000000009E-2</c:v>
                </c:pt>
                <c:pt idx="411">
                  <c:v>0.10999999999999999</c:v>
                </c:pt>
                <c:pt idx="412">
                  <c:v>0.14500000000000002</c:v>
                </c:pt>
                <c:pt idx="413">
                  <c:v>8.2000000000000017E-2</c:v>
                </c:pt>
                <c:pt idx="414">
                  <c:v>0.38200000000000001</c:v>
                </c:pt>
                <c:pt idx="415">
                  <c:v>0.26100000000000001</c:v>
                </c:pt>
                <c:pt idx="416">
                  <c:v>2.3999999999999966E-2</c:v>
                </c:pt>
                <c:pt idx="417">
                  <c:v>0.14700000000000002</c:v>
                </c:pt>
                <c:pt idx="418">
                  <c:v>5.6999999999999995E-2</c:v>
                </c:pt>
                <c:pt idx="419">
                  <c:v>0.23200000000000004</c:v>
                </c:pt>
                <c:pt idx="420">
                  <c:v>0.21400000000000002</c:v>
                </c:pt>
                <c:pt idx="421">
                  <c:v>0.19500000000000001</c:v>
                </c:pt>
                <c:pt idx="422">
                  <c:v>1.208</c:v>
                </c:pt>
                <c:pt idx="423">
                  <c:v>1.157</c:v>
                </c:pt>
                <c:pt idx="424">
                  <c:v>0.188</c:v>
                </c:pt>
                <c:pt idx="425">
                  <c:v>0.85599999999999998</c:v>
                </c:pt>
                <c:pt idx="426">
                  <c:v>0.71099999999999997</c:v>
                </c:pt>
                <c:pt idx="427">
                  <c:v>0.29200000000000004</c:v>
                </c:pt>
                <c:pt idx="428">
                  <c:v>0.39600000000000002</c:v>
                </c:pt>
                <c:pt idx="429">
                  <c:v>0.40300000000000002</c:v>
                </c:pt>
                <c:pt idx="430">
                  <c:v>0.35399999999999998</c:v>
                </c:pt>
                <c:pt idx="431">
                  <c:v>0.47099999999999997</c:v>
                </c:pt>
                <c:pt idx="432">
                  <c:v>0.65900000000000003</c:v>
                </c:pt>
                <c:pt idx="433">
                  <c:v>0.45600000000000002</c:v>
                </c:pt>
                <c:pt idx="434">
                  <c:v>6.6000000000000003E-2</c:v>
                </c:pt>
                <c:pt idx="435">
                  <c:v>0.06</c:v>
                </c:pt>
                <c:pt idx="436">
                  <c:v>4.0999999999999981E-2</c:v>
                </c:pt>
                <c:pt idx="437">
                  <c:v>7.3000000000000009E-2</c:v>
                </c:pt>
                <c:pt idx="438">
                  <c:v>6.5000000000000002E-2</c:v>
                </c:pt>
                <c:pt idx="439">
                  <c:v>0.19999999999999996</c:v>
                </c:pt>
                <c:pt idx="440">
                  <c:v>6.6999999999999948E-2</c:v>
                </c:pt>
                <c:pt idx="441">
                  <c:v>4.0000000000000036E-3</c:v>
                </c:pt>
                <c:pt idx="442">
                  <c:v>9.2999999999999972E-2</c:v>
                </c:pt>
                <c:pt idx="443">
                  <c:v>0.19900000000000001</c:v>
                </c:pt>
                <c:pt idx="444">
                  <c:v>9.8000000000000032E-2</c:v>
                </c:pt>
                <c:pt idx="445">
                  <c:v>5.7999999999999996E-2</c:v>
                </c:pt>
                <c:pt idx="446">
                  <c:v>0.4</c:v>
                </c:pt>
                <c:pt idx="447">
                  <c:v>0.25700000000000001</c:v>
                </c:pt>
                <c:pt idx="448">
                  <c:v>0.186</c:v>
                </c:pt>
                <c:pt idx="449">
                  <c:v>0.28400000000000003</c:v>
                </c:pt>
                <c:pt idx="450">
                  <c:v>0.17</c:v>
                </c:pt>
                <c:pt idx="451">
                  <c:v>6.8000000000000005E-2</c:v>
                </c:pt>
                <c:pt idx="452">
                  <c:v>6.8000000000000005E-2</c:v>
                </c:pt>
                <c:pt idx="453">
                  <c:v>9.7000000000000031E-2</c:v>
                </c:pt>
                <c:pt idx="454">
                  <c:v>0.38799999999999996</c:v>
                </c:pt>
                <c:pt idx="455">
                  <c:v>0.22199999999999998</c:v>
                </c:pt>
                <c:pt idx="456">
                  <c:v>0.15800000000000003</c:v>
                </c:pt>
                <c:pt idx="457">
                  <c:v>0.20100000000000001</c:v>
                </c:pt>
                <c:pt idx="458">
                  <c:v>0.27800000000000002</c:v>
                </c:pt>
                <c:pt idx="459">
                  <c:v>0.17699999999999999</c:v>
                </c:pt>
                <c:pt idx="460">
                  <c:v>5.4999999999999993E-2</c:v>
                </c:pt>
                <c:pt idx="461">
                  <c:v>0.73</c:v>
                </c:pt>
                <c:pt idx="462">
                  <c:v>0.69</c:v>
                </c:pt>
                <c:pt idx="463">
                  <c:v>7.1999999999999953E-2</c:v>
                </c:pt>
                <c:pt idx="464">
                  <c:v>6.0000000000000053E-3</c:v>
                </c:pt>
                <c:pt idx="465">
                  <c:v>6.8000000000000005E-2</c:v>
                </c:pt>
                <c:pt idx="466">
                  <c:v>5.3000000000000047E-2</c:v>
                </c:pt>
                <c:pt idx="467">
                  <c:v>0.73799999999999999</c:v>
                </c:pt>
                <c:pt idx="468">
                  <c:v>0.70900000000000007</c:v>
                </c:pt>
                <c:pt idx="469">
                  <c:v>7.3000000000000009E-2</c:v>
                </c:pt>
                <c:pt idx="470">
                  <c:v>9.3000000000000027E-2</c:v>
                </c:pt>
                <c:pt idx="471">
                  <c:v>2.6000000000000023E-2</c:v>
                </c:pt>
                <c:pt idx="472">
                  <c:v>0.13200000000000001</c:v>
                </c:pt>
                <c:pt idx="473">
                  <c:v>6.3E-2</c:v>
                </c:pt>
                <c:pt idx="474">
                  <c:v>2.3999999999999966E-2</c:v>
                </c:pt>
                <c:pt idx="475">
                  <c:v>6.8000000000000005E-2</c:v>
                </c:pt>
                <c:pt idx="476">
                  <c:v>0.183</c:v>
                </c:pt>
                <c:pt idx="477">
                  <c:v>0.16900000000000004</c:v>
                </c:pt>
                <c:pt idx="478">
                  <c:v>0.17500000000000004</c:v>
                </c:pt>
                <c:pt idx="479">
                  <c:v>0.11100000000000004</c:v>
                </c:pt>
                <c:pt idx="480">
                  <c:v>0.21100000000000002</c:v>
                </c:pt>
                <c:pt idx="481">
                  <c:v>1.7000000000000015E-2</c:v>
                </c:pt>
                <c:pt idx="482">
                  <c:v>2.7000000000000024E-2</c:v>
                </c:pt>
                <c:pt idx="483">
                  <c:v>3.8999999999999979E-2</c:v>
                </c:pt>
                <c:pt idx="484">
                  <c:v>1.6000000000000014E-2</c:v>
                </c:pt>
                <c:pt idx="485">
                  <c:v>0.28600000000000003</c:v>
                </c:pt>
                <c:pt idx="486">
                  <c:v>0.19100000000000006</c:v>
                </c:pt>
                <c:pt idx="487">
                  <c:v>3.3000000000000029E-2</c:v>
                </c:pt>
                <c:pt idx="488">
                  <c:v>0.19400000000000001</c:v>
                </c:pt>
                <c:pt idx="489">
                  <c:v>7.2999999999999995E-2</c:v>
                </c:pt>
                <c:pt idx="490">
                  <c:v>0.32200000000000001</c:v>
                </c:pt>
                <c:pt idx="491">
                  <c:v>4.8999999999999988E-2</c:v>
                </c:pt>
                <c:pt idx="492">
                  <c:v>0.22399999999999998</c:v>
                </c:pt>
                <c:pt idx="493">
                  <c:v>1.0000000000000009E-3</c:v>
                </c:pt>
                <c:pt idx="494">
                  <c:v>5.400000000000002E-2</c:v>
                </c:pt>
                <c:pt idx="495">
                  <c:v>0.25700000000000001</c:v>
                </c:pt>
                <c:pt idx="496">
                  <c:v>0.11700000000000005</c:v>
                </c:pt>
                <c:pt idx="497">
                  <c:v>0.16700000000000004</c:v>
                </c:pt>
                <c:pt idx="498">
                  <c:v>9.2000000000000026E-2</c:v>
                </c:pt>
                <c:pt idx="499">
                  <c:v>1.4000000000000012E-2</c:v>
                </c:pt>
                <c:pt idx="500">
                  <c:v>6.4000000000000001E-2</c:v>
                </c:pt>
                <c:pt idx="501">
                  <c:v>3.0000000000000027E-2</c:v>
                </c:pt>
                <c:pt idx="502">
                  <c:v>7.1000000000000008E-2</c:v>
                </c:pt>
                <c:pt idx="503">
                  <c:v>0.126</c:v>
                </c:pt>
                <c:pt idx="504">
                  <c:v>0.23699999999999999</c:v>
                </c:pt>
                <c:pt idx="505">
                  <c:v>5.0000000000000044E-3</c:v>
                </c:pt>
                <c:pt idx="506">
                  <c:v>8.4999999999999964E-2</c:v>
                </c:pt>
                <c:pt idx="507">
                  <c:v>8.9999999999999969E-2</c:v>
                </c:pt>
                <c:pt idx="508">
                  <c:v>3.5000000000000031E-2</c:v>
                </c:pt>
                <c:pt idx="509">
                  <c:v>3.6000000000000032E-2</c:v>
                </c:pt>
                <c:pt idx="510">
                  <c:v>5.7999999999999996E-2</c:v>
                </c:pt>
                <c:pt idx="511">
                  <c:v>0.16300000000000003</c:v>
                </c:pt>
                <c:pt idx="512">
                  <c:v>6.2E-2</c:v>
                </c:pt>
                <c:pt idx="513">
                  <c:v>1.799999999999996E-2</c:v>
                </c:pt>
                <c:pt idx="514">
                  <c:v>9.7999999999999976E-2</c:v>
                </c:pt>
                <c:pt idx="515">
                  <c:v>0.14699999999999999</c:v>
                </c:pt>
                <c:pt idx="516">
                  <c:v>0.12299999999999997</c:v>
                </c:pt>
                <c:pt idx="517">
                  <c:v>0.14599999999999999</c:v>
                </c:pt>
                <c:pt idx="518">
                  <c:v>0.13300000000000003</c:v>
                </c:pt>
                <c:pt idx="519">
                  <c:v>1.9999999999999962E-2</c:v>
                </c:pt>
                <c:pt idx="520">
                  <c:v>0.11799999999999999</c:v>
                </c:pt>
                <c:pt idx="521">
                  <c:v>4.7999999999999987E-2</c:v>
                </c:pt>
                <c:pt idx="522">
                  <c:v>1.699999999999996E-2</c:v>
                </c:pt>
                <c:pt idx="523">
                  <c:v>5.2000000000000018E-2</c:v>
                </c:pt>
                <c:pt idx="524">
                  <c:v>0.17900000000000002</c:v>
                </c:pt>
                <c:pt idx="525">
                  <c:v>0.16000000000000003</c:v>
                </c:pt>
                <c:pt idx="526">
                  <c:v>0.12400000000000005</c:v>
                </c:pt>
                <c:pt idx="527">
                  <c:v>2.9999999999999971E-2</c:v>
                </c:pt>
                <c:pt idx="528">
                  <c:v>4.0000000000000036E-2</c:v>
                </c:pt>
                <c:pt idx="529">
                  <c:v>0.221</c:v>
                </c:pt>
                <c:pt idx="530">
                  <c:v>0.30500000000000005</c:v>
                </c:pt>
                <c:pt idx="531">
                  <c:v>0.441</c:v>
                </c:pt>
                <c:pt idx="532">
                  <c:v>0.46800000000000003</c:v>
                </c:pt>
                <c:pt idx="533">
                  <c:v>0.39699999999999996</c:v>
                </c:pt>
                <c:pt idx="534">
                  <c:v>8.3999999999999964E-2</c:v>
                </c:pt>
                <c:pt idx="535">
                  <c:v>0.29199999999999998</c:v>
                </c:pt>
                <c:pt idx="536">
                  <c:v>0.17799999999999999</c:v>
                </c:pt>
                <c:pt idx="537">
                  <c:v>5.8999999999999997E-2</c:v>
                </c:pt>
                <c:pt idx="538">
                  <c:v>0.122</c:v>
                </c:pt>
                <c:pt idx="539">
                  <c:v>0.182</c:v>
                </c:pt>
                <c:pt idx="540">
                  <c:v>6.0000000000000053E-3</c:v>
                </c:pt>
                <c:pt idx="541">
                  <c:v>2.2999999999999965E-2</c:v>
                </c:pt>
                <c:pt idx="542">
                  <c:v>0.16400000000000003</c:v>
                </c:pt>
                <c:pt idx="543">
                  <c:v>9.3000000000000027E-2</c:v>
                </c:pt>
                <c:pt idx="544">
                  <c:v>0.26400000000000007</c:v>
                </c:pt>
                <c:pt idx="545">
                  <c:v>9.2999999999999972E-2</c:v>
                </c:pt>
                <c:pt idx="546">
                  <c:v>0.19900000000000001</c:v>
                </c:pt>
                <c:pt idx="547">
                  <c:v>0.12</c:v>
                </c:pt>
                <c:pt idx="548">
                  <c:v>4.1999999999999982E-2</c:v>
                </c:pt>
                <c:pt idx="549">
                  <c:v>3.2000000000000028E-2</c:v>
                </c:pt>
                <c:pt idx="550">
                  <c:v>0.26200000000000007</c:v>
                </c:pt>
                <c:pt idx="551">
                  <c:v>5.9999999999999942E-2</c:v>
                </c:pt>
                <c:pt idx="552">
                  <c:v>0.34199999999999997</c:v>
                </c:pt>
                <c:pt idx="553">
                  <c:v>6.7000000000000004E-2</c:v>
                </c:pt>
                <c:pt idx="554">
                  <c:v>1.3000000000000012E-2</c:v>
                </c:pt>
                <c:pt idx="555">
                  <c:v>8.1000000000000016E-2</c:v>
                </c:pt>
                <c:pt idx="556">
                  <c:v>3.8000000000000034E-2</c:v>
                </c:pt>
                <c:pt idx="557">
                  <c:v>7.0000000000000062E-3</c:v>
                </c:pt>
                <c:pt idx="558">
                  <c:v>0.124</c:v>
                </c:pt>
                <c:pt idx="559">
                  <c:v>0.06</c:v>
                </c:pt>
                <c:pt idx="560">
                  <c:v>3.400000000000003E-2</c:v>
                </c:pt>
                <c:pt idx="561">
                  <c:v>8.0999999999999961E-2</c:v>
                </c:pt>
                <c:pt idx="562">
                  <c:v>0.10800000000000004</c:v>
                </c:pt>
                <c:pt idx="563">
                  <c:v>0.06</c:v>
                </c:pt>
                <c:pt idx="564">
                  <c:v>1.699999999999996E-2</c:v>
                </c:pt>
                <c:pt idx="565">
                  <c:v>9.8999999999999977E-2</c:v>
                </c:pt>
                <c:pt idx="566">
                  <c:v>3.1999999999999973E-2</c:v>
                </c:pt>
                <c:pt idx="567">
                  <c:v>0.15199999999999997</c:v>
                </c:pt>
                <c:pt idx="568">
                  <c:v>6.8000000000000005E-2</c:v>
                </c:pt>
                <c:pt idx="569">
                  <c:v>0.19800000000000001</c:v>
                </c:pt>
                <c:pt idx="570">
                  <c:v>4.3999999999999984E-2</c:v>
                </c:pt>
                <c:pt idx="571">
                  <c:v>0.16799999999999998</c:v>
                </c:pt>
                <c:pt idx="572">
                  <c:v>4.8999999999999988E-2</c:v>
                </c:pt>
                <c:pt idx="573">
                  <c:v>1.4000000000000012E-2</c:v>
                </c:pt>
                <c:pt idx="574">
                  <c:v>0.14699999999999996</c:v>
                </c:pt>
                <c:pt idx="575">
                  <c:v>0.15799999999999997</c:v>
                </c:pt>
                <c:pt idx="576">
                  <c:v>0.30299999999999999</c:v>
                </c:pt>
                <c:pt idx="577">
                  <c:v>9.4999999999999973E-2</c:v>
                </c:pt>
                <c:pt idx="578">
                  <c:v>0.18100000000000005</c:v>
                </c:pt>
                <c:pt idx="579">
                  <c:v>7.3999999999999955E-2</c:v>
                </c:pt>
                <c:pt idx="580">
                  <c:v>3.6999999999999977E-2</c:v>
                </c:pt>
                <c:pt idx="581">
                  <c:v>9.2000000000000026E-2</c:v>
                </c:pt>
                <c:pt idx="582">
                  <c:v>5.9999999999999498E-3</c:v>
                </c:pt>
                <c:pt idx="583">
                  <c:v>6.7000000000000004E-2</c:v>
                </c:pt>
                <c:pt idx="584">
                  <c:v>8.3000000000000074E-2</c:v>
                </c:pt>
                <c:pt idx="585">
                  <c:v>0.41700000000000004</c:v>
                </c:pt>
                <c:pt idx="586">
                  <c:v>0.19700000000000004</c:v>
                </c:pt>
                <c:pt idx="587">
                  <c:v>3.7000000000000033E-2</c:v>
                </c:pt>
                <c:pt idx="588">
                  <c:v>9.8000000000000004E-2</c:v>
                </c:pt>
                <c:pt idx="589">
                  <c:v>5.3000000000000019E-2</c:v>
                </c:pt>
                <c:pt idx="590">
                  <c:v>4.0999999999999981E-2</c:v>
                </c:pt>
                <c:pt idx="591">
                  <c:v>3.7999999999999978E-2</c:v>
                </c:pt>
                <c:pt idx="592">
                  <c:v>8.5999999999999965E-2</c:v>
                </c:pt>
                <c:pt idx="593">
                  <c:v>3.3999999999999975E-2</c:v>
                </c:pt>
                <c:pt idx="594">
                  <c:v>0.10599999999999998</c:v>
                </c:pt>
                <c:pt idx="595">
                  <c:v>4.3000000000000038E-2</c:v>
                </c:pt>
                <c:pt idx="596">
                  <c:v>4.4000000000000039E-2</c:v>
                </c:pt>
                <c:pt idx="597">
                  <c:v>2.2999999999999965E-2</c:v>
                </c:pt>
                <c:pt idx="598">
                  <c:v>0.17100000000000001</c:v>
                </c:pt>
                <c:pt idx="599">
                  <c:v>0.217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39-4925-BA07-0B08B90DEBA2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TTV_IMR!$G$13:$G$612</c:f>
              <c:numCache>
                <c:formatCode>0.0000</c:formatCode>
                <c:ptCount val="600"/>
                <c:pt idx="0">
                  <c:v>1.5554284590900538</c:v>
                </c:pt>
                <c:pt idx="1">
                  <c:v>0.57467378325694207</c:v>
                </c:pt>
                <c:pt idx="2" formatCode="0">
                  <c:v>0</c:v>
                </c:pt>
                <c:pt idx="3">
                  <c:v>0.55655717529215432</c:v>
                </c:pt>
                <c:pt idx="4">
                  <c:v>0.17035726210350607</c:v>
                </c:pt>
                <c:pt idx="5">
                  <c:v>0</c:v>
                </c:pt>
                <c:pt idx="6">
                  <c:v>0.55655717529215432</c:v>
                </c:pt>
                <c:pt idx="7">
                  <c:v>0.55655717529215432</c:v>
                </c:pt>
                <c:pt idx="8">
                  <c:v>0.55655717529215432</c:v>
                </c:pt>
                <c:pt idx="9">
                  <c:v>0.55655717529215432</c:v>
                </c:pt>
                <c:pt idx="10">
                  <c:v>0.55655717529215432</c:v>
                </c:pt>
                <c:pt idx="11">
                  <c:v>0.55655717529215432</c:v>
                </c:pt>
                <c:pt idx="12">
                  <c:v>0.55655717529215432</c:v>
                </c:pt>
                <c:pt idx="13">
                  <c:v>0.55655717529215432</c:v>
                </c:pt>
                <c:pt idx="14">
                  <c:v>0.55655717529215432</c:v>
                </c:pt>
                <c:pt idx="15">
                  <c:v>0.55655717529215432</c:v>
                </c:pt>
                <c:pt idx="16">
                  <c:v>0.55655717529215432</c:v>
                </c:pt>
                <c:pt idx="17">
                  <c:v>0.55655717529215432</c:v>
                </c:pt>
                <c:pt idx="18">
                  <c:v>0.55655717529215432</c:v>
                </c:pt>
                <c:pt idx="19">
                  <c:v>0.55655717529215432</c:v>
                </c:pt>
                <c:pt idx="20">
                  <c:v>0.55655717529215432</c:v>
                </c:pt>
                <c:pt idx="21">
                  <c:v>0.55655717529215432</c:v>
                </c:pt>
                <c:pt idx="22">
                  <c:v>0.55655717529215432</c:v>
                </c:pt>
                <c:pt idx="23">
                  <c:v>0.55655717529215432</c:v>
                </c:pt>
                <c:pt idx="24">
                  <c:v>0.55655717529215432</c:v>
                </c:pt>
                <c:pt idx="25">
                  <c:v>0.55655717529215432</c:v>
                </c:pt>
                <c:pt idx="26">
                  <c:v>0.55655717529215432</c:v>
                </c:pt>
                <c:pt idx="27">
                  <c:v>0.55655717529215432</c:v>
                </c:pt>
                <c:pt idx="28">
                  <c:v>0.55655717529215432</c:v>
                </c:pt>
                <c:pt idx="29">
                  <c:v>0.55655717529215432</c:v>
                </c:pt>
                <c:pt idx="30">
                  <c:v>0.55655717529215432</c:v>
                </c:pt>
                <c:pt idx="31">
                  <c:v>0.55655717529215432</c:v>
                </c:pt>
                <c:pt idx="32">
                  <c:v>0.55655717529215432</c:v>
                </c:pt>
                <c:pt idx="33">
                  <c:v>0.55655717529215432</c:v>
                </c:pt>
                <c:pt idx="34">
                  <c:v>0.55655717529215432</c:v>
                </c:pt>
                <c:pt idx="35">
                  <c:v>0.55655717529215432</c:v>
                </c:pt>
                <c:pt idx="36">
                  <c:v>0.55655717529215432</c:v>
                </c:pt>
                <c:pt idx="37">
                  <c:v>0.55655717529215432</c:v>
                </c:pt>
                <c:pt idx="38">
                  <c:v>0.55655717529215432</c:v>
                </c:pt>
                <c:pt idx="39">
                  <c:v>0.55655717529215432</c:v>
                </c:pt>
                <c:pt idx="40">
                  <c:v>0.55655717529215432</c:v>
                </c:pt>
                <c:pt idx="41">
                  <c:v>0.55655717529215432</c:v>
                </c:pt>
                <c:pt idx="42">
                  <c:v>0.55655717529215432</c:v>
                </c:pt>
                <c:pt idx="43">
                  <c:v>0.55655717529215432</c:v>
                </c:pt>
                <c:pt idx="44">
                  <c:v>0.55655717529215432</c:v>
                </c:pt>
                <c:pt idx="45">
                  <c:v>0.55655717529215432</c:v>
                </c:pt>
                <c:pt idx="46">
                  <c:v>0.55655717529215432</c:v>
                </c:pt>
                <c:pt idx="47">
                  <c:v>0.55655717529215432</c:v>
                </c:pt>
                <c:pt idx="48">
                  <c:v>0.55655717529215432</c:v>
                </c:pt>
                <c:pt idx="49">
                  <c:v>0.55655717529215432</c:v>
                </c:pt>
                <c:pt idx="50">
                  <c:v>0.55655717529215432</c:v>
                </c:pt>
                <c:pt idx="51">
                  <c:v>0.55655717529215432</c:v>
                </c:pt>
                <c:pt idx="52">
                  <c:v>0.55655717529215432</c:v>
                </c:pt>
                <c:pt idx="53">
                  <c:v>0.55655717529215432</c:v>
                </c:pt>
                <c:pt idx="54">
                  <c:v>0.55655717529215432</c:v>
                </c:pt>
                <c:pt idx="55">
                  <c:v>0.55655717529215432</c:v>
                </c:pt>
                <c:pt idx="56">
                  <c:v>0.55655717529215432</c:v>
                </c:pt>
                <c:pt idx="57">
                  <c:v>0.55655717529215432</c:v>
                </c:pt>
                <c:pt idx="58">
                  <c:v>0.55655717529215432</c:v>
                </c:pt>
                <c:pt idx="59">
                  <c:v>0.55655717529215432</c:v>
                </c:pt>
                <c:pt idx="60">
                  <c:v>0.55655717529215432</c:v>
                </c:pt>
                <c:pt idx="61">
                  <c:v>0.55655717529215432</c:v>
                </c:pt>
                <c:pt idx="62">
                  <c:v>0.55655717529215432</c:v>
                </c:pt>
                <c:pt idx="63">
                  <c:v>0.55655717529215432</c:v>
                </c:pt>
                <c:pt idx="64">
                  <c:v>0.55655717529215432</c:v>
                </c:pt>
                <c:pt idx="65">
                  <c:v>0.55655717529215432</c:v>
                </c:pt>
                <c:pt idx="66">
                  <c:v>0.55655717529215432</c:v>
                </c:pt>
                <c:pt idx="67">
                  <c:v>0.55655717529215432</c:v>
                </c:pt>
                <c:pt idx="68">
                  <c:v>0.55655717529215432</c:v>
                </c:pt>
                <c:pt idx="69">
                  <c:v>0.55655717529215432</c:v>
                </c:pt>
                <c:pt idx="70">
                  <c:v>0.55655717529215432</c:v>
                </c:pt>
                <c:pt idx="71">
                  <c:v>0.55655717529215432</c:v>
                </c:pt>
                <c:pt idx="72">
                  <c:v>0.55655717529215432</c:v>
                </c:pt>
                <c:pt idx="73">
                  <c:v>0.55655717529215432</c:v>
                </c:pt>
                <c:pt idx="74">
                  <c:v>0.55655717529215432</c:v>
                </c:pt>
                <c:pt idx="75">
                  <c:v>0.55655717529215432</c:v>
                </c:pt>
                <c:pt idx="76">
                  <c:v>0.55655717529215432</c:v>
                </c:pt>
                <c:pt idx="77">
                  <c:v>0.55655717529215432</c:v>
                </c:pt>
                <c:pt idx="78">
                  <c:v>0.55655717529215432</c:v>
                </c:pt>
                <c:pt idx="79">
                  <c:v>0.55655717529215432</c:v>
                </c:pt>
                <c:pt idx="80">
                  <c:v>0.55655717529215432</c:v>
                </c:pt>
                <c:pt idx="81">
                  <c:v>0.55655717529215432</c:v>
                </c:pt>
                <c:pt idx="82">
                  <c:v>0.55655717529215432</c:v>
                </c:pt>
                <c:pt idx="83">
                  <c:v>0.55655717529215432</c:v>
                </c:pt>
                <c:pt idx="84">
                  <c:v>0.55655717529215432</c:v>
                </c:pt>
                <c:pt idx="85">
                  <c:v>0.55655717529215432</c:v>
                </c:pt>
                <c:pt idx="86">
                  <c:v>0.55655717529215432</c:v>
                </c:pt>
                <c:pt idx="87">
                  <c:v>0.55655717529215432</c:v>
                </c:pt>
                <c:pt idx="88">
                  <c:v>0.55655717529215432</c:v>
                </c:pt>
                <c:pt idx="89">
                  <c:v>0.55655717529215432</c:v>
                </c:pt>
                <c:pt idx="90">
                  <c:v>0.55655717529215432</c:v>
                </c:pt>
                <c:pt idx="91">
                  <c:v>0.55655717529215432</c:v>
                </c:pt>
                <c:pt idx="92">
                  <c:v>0.55655717529215432</c:v>
                </c:pt>
                <c:pt idx="93">
                  <c:v>0.55655717529215432</c:v>
                </c:pt>
                <c:pt idx="94">
                  <c:v>0.55655717529215432</c:v>
                </c:pt>
                <c:pt idx="95">
                  <c:v>0.55655717529215432</c:v>
                </c:pt>
                <c:pt idx="96">
                  <c:v>0.55655717529215432</c:v>
                </c:pt>
                <c:pt idx="97">
                  <c:v>0.55655717529215432</c:v>
                </c:pt>
                <c:pt idx="98">
                  <c:v>0.55655717529215432</c:v>
                </c:pt>
                <c:pt idx="99">
                  <c:v>0.55655717529215432</c:v>
                </c:pt>
                <c:pt idx="100">
                  <c:v>0.55655717529215432</c:v>
                </c:pt>
                <c:pt idx="101">
                  <c:v>0.55655717529215432</c:v>
                </c:pt>
                <c:pt idx="102">
                  <c:v>0.55655717529215432</c:v>
                </c:pt>
                <c:pt idx="103">
                  <c:v>0.55655717529215432</c:v>
                </c:pt>
                <c:pt idx="104">
                  <c:v>0.55655717529215432</c:v>
                </c:pt>
                <c:pt idx="105">
                  <c:v>0.55655717529215432</c:v>
                </c:pt>
                <c:pt idx="106">
                  <c:v>0.55655717529215432</c:v>
                </c:pt>
                <c:pt idx="107">
                  <c:v>0.55655717529215432</c:v>
                </c:pt>
                <c:pt idx="108">
                  <c:v>0.55655717529215432</c:v>
                </c:pt>
                <c:pt idx="109">
                  <c:v>0.55655717529215432</c:v>
                </c:pt>
                <c:pt idx="110">
                  <c:v>0.55655717529215432</c:v>
                </c:pt>
                <c:pt idx="111">
                  <c:v>0.55655717529215432</c:v>
                </c:pt>
                <c:pt idx="112">
                  <c:v>0.55655717529215432</c:v>
                </c:pt>
                <c:pt idx="113">
                  <c:v>0.55655717529215432</c:v>
                </c:pt>
                <c:pt idx="114">
                  <c:v>0.55655717529215432</c:v>
                </c:pt>
                <c:pt idx="115">
                  <c:v>0.55655717529215432</c:v>
                </c:pt>
                <c:pt idx="116">
                  <c:v>0.55655717529215432</c:v>
                </c:pt>
                <c:pt idx="117">
                  <c:v>0.55655717529215432</c:v>
                </c:pt>
                <c:pt idx="118">
                  <c:v>0.55655717529215432</c:v>
                </c:pt>
                <c:pt idx="119">
                  <c:v>0.55655717529215432</c:v>
                </c:pt>
                <c:pt idx="120">
                  <c:v>0.55655717529215432</c:v>
                </c:pt>
                <c:pt idx="121">
                  <c:v>0.55655717529215432</c:v>
                </c:pt>
                <c:pt idx="122">
                  <c:v>0.55655717529215432</c:v>
                </c:pt>
                <c:pt idx="123">
                  <c:v>0.55655717529215432</c:v>
                </c:pt>
                <c:pt idx="124">
                  <c:v>0.55655717529215432</c:v>
                </c:pt>
                <c:pt idx="125">
                  <c:v>0.55655717529215432</c:v>
                </c:pt>
                <c:pt idx="126">
                  <c:v>0.55655717529215432</c:v>
                </c:pt>
                <c:pt idx="127">
                  <c:v>0.55655717529215432</c:v>
                </c:pt>
                <c:pt idx="128">
                  <c:v>0.55655717529215432</c:v>
                </c:pt>
                <c:pt idx="129">
                  <c:v>0.55655717529215432</c:v>
                </c:pt>
                <c:pt idx="130">
                  <c:v>0.55655717529215432</c:v>
                </c:pt>
                <c:pt idx="131">
                  <c:v>0.55655717529215432</c:v>
                </c:pt>
                <c:pt idx="132">
                  <c:v>0.55655717529215432</c:v>
                </c:pt>
                <c:pt idx="133">
                  <c:v>0.55655717529215432</c:v>
                </c:pt>
                <c:pt idx="134">
                  <c:v>0.55655717529215432</c:v>
                </c:pt>
                <c:pt idx="135">
                  <c:v>0.55655717529215432</c:v>
                </c:pt>
                <c:pt idx="136">
                  <c:v>0.55655717529215432</c:v>
                </c:pt>
                <c:pt idx="137">
                  <c:v>0.55655717529215432</c:v>
                </c:pt>
                <c:pt idx="138">
                  <c:v>0.55655717529215432</c:v>
                </c:pt>
                <c:pt idx="139">
                  <c:v>0.55655717529215432</c:v>
                </c:pt>
                <c:pt idx="140">
                  <c:v>0.55655717529215432</c:v>
                </c:pt>
                <c:pt idx="141">
                  <c:v>0.55655717529215432</c:v>
                </c:pt>
                <c:pt idx="142">
                  <c:v>0.55655717529215432</c:v>
                </c:pt>
                <c:pt idx="143">
                  <c:v>0.55655717529215432</c:v>
                </c:pt>
                <c:pt idx="144">
                  <c:v>0.55655717529215432</c:v>
                </c:pt>
                <c:pt idx="145">
                  <c:v>0.55655717529215432</c:v>
                </c:pt>
                <c:pt idx="146">
                  <c:v>0.55655717529215432</c:v>
                </c:pt>
                <c:pt idx="147">
                  <c:v>0.55655717529215432</c:v>
                </c:pt>
                <c:pt idx="148">
                  <c:v>0.55655717529215432</c:v>
                </c:pt>
                <c:pt idx="149">
                  <c:v>0.55655717529215432</c:v>
                </c:pt>
                <c:pt idx="150">
                  <c:v>0.55655717529215432</c:v>
                </c:pt>
                <c:pt idx="151">
                  <c:v>0.55655717529215432</c:v>
                </c:pt>
                <c:pt idx="152">
                  <c:v>0.55655717529215432</c:v>
                </c:pt>
                <c:pt idx="153">
                  <c:v>0.55655717529215432</c:v>
                </c:pt>
                <c:pt idx="154">
                  <c:v>0.55655717529215432</c:v>
                </c:pt>
                <c:pt idx="155">
                  <c:v>0.55655717529215432</c:v>
                </c:pt>
                <c:pt idx="156">
                  <c:v>0.55655717529215432</c:v>
                </c:pt>
                <c:pt idx="157">
                  <c:v>0.55655717529215432</c:v>
                </c:pt>
                <c:pt idx="158">
                  <c:v>0.55655717529215432</c:v>
                </c:pt>
                <c:pt idx="159">
                  <c:v>0.55655717529215432</c:v>
                </c:pt>
                <c:pt idx="160">
                  <c:v>0.55655717529215432</c:v>
                </c:pt>
                <c:pt idx="161">
                  <c:v>0.55655717529215432</c:v>
                </c:pt>
                <c:pt idx="162">
                  <c:v>0.55655717529215432</c:v>
                </c:pt>
                <c:pt idx="163">
                  <c:v>0.55655717529215432</c:v>
                </c:pt>
                <c:pt idx="164">
                  <c:v>0.55655717529215432</c:v>
                </c:pt>
                <c:pt idx="165">
                  <c:v>0.55655717529215432</c:v>
                </c:pt>
                <c:pt idx="166">
                  <c:v>0.55655717529215432</c:v>
                </c:pt>
                <c:pt idx="167">
                  <c:v>0.55655717529215432</c:v>
                </c:pt>
                <c:pt idx="168">
                  <c:v>0.55655717529215432</c:v>
                </c:pt>
                <c:pt idx="169">
                  <c:v>0.55655717529215432</c:v>
                </c:pt>
                <c:pt idx="170">
                  <c:v>0.55655717529215432</c:v>
                </c:pt>
                <c:pt idx="171">
                  <c:v>0.55655717529215432</c:v>
                </c:pt>
                <c:pt idx="172">
                  <c:v>0.55655717529215432</c:v>
                </c:pt>
                <c:pt idx="173">
                  <c:v>0.55655717529215432</c:v>
                </c:pt>
                <c:pt idx="174">
                  <c:v>0.55655717529215432</c:v>
                </c:pt>
                <c:pt idx="175">
                  <c:v>0.55655717529215432</c:v>
                </c:pt>
                <c:pt idx="176">
                  <c:v>0.55655717529215432</c:v>
                </c:pt>
                <c:pt idx="177">
                  <c:v>0.55655717529215432</c:v>
                </c:pt>
                <c:pt idx="178">
                  <c:v>0.55655717529215432</c:v>
                </c:pt>
                <c:pt idx="179">
                  <c:v>0.55655717529215432</c:v>
                </c:pt>
                <c:pt idx="180">
                  <c:v>0.55655717529215432</c:v>
                </c:pt>
                <c:pt idx="181">
                  <c:v>0.55655717529215432</c:v>
                </c:pt>
                <c:pt idx="182">
                  <c:v>0.55655717529215432</c:v>
                </c:pt>
                <c:pt idx="183">
                  <c:v>0.55655717529215432</c:v>
                </c:pt>
                <c:pt idx="184">
                  <c:v>0.55655717529215432</c:v>
                </c:pt>
                <c:pt idx="185">
                  <c:v>0.55655717529215432</c:v>
                </c:pt>
                <c:pt idx="186">
                  <c:v>0.55655717529215432</c:v>
                </c:pt>
                <c:pt idx="187">
                  <c:v>0.55655717529215432</c:v>
                </c:pt>
                <c:pt idx="188">
                  <c:v>0.55655717529215432</c:v>
                </c:pt>
                <c:pt idx="189">
                  <c:v>0.55655717529215432</c:v>
                </c:pt>
                <c:pt idx="190">
                  <c:v>0.55655717529215432</c:v>
                </c:pt>
                <c:pt idx="191">
                  <c:v>0.55655717529215432</c:v>
                </c:pt>
                <c:pt idx="192">
                  <c:v>0.55655717529215432</c:v>
                </c:pt>
                <c:pt idx="193">
                  <c:v>0.55655717529215432</c:v>
                </c:pt>
                <c:pt idx="194">
                  <c:v>0.55655717529215432</c:v>
                </c:pt>
                <c:pt idx="195">
                  <c:v>0.55655717529215432</c:v>
                </c:pt>
                <c:pt idx="196">
                  <c:v>0.55655717529215432</c:v>
                </c:pt>
                <c:pt idx="197">
                  <c:v>0.55655717529215432</c:v>
                </c:pt>
                <c:pt idx="198">
                  <c:v>0.55655717529215432</c:v>
                </c:pt>
                <c:pt idx="199">
                  <c:v>0.55655717529215432</c:v>
                </c:pt>
                <c:pt idx="200">
                  <c:v>0.55655717529215432</c:v>
                </c:pt>
                <c:pt idx="201">
                  <c:v>0.55655717529215432</c:v>
                </c:pt>
                <c:pt idx="202">
                  <c:v>0.55655717529215432</c:v>
                </c:pt>
                <c:pt idx="203">
                  <c:v>0.55655717529215432</c:v>
                </c:pt>
                <c:pt idx="204">
                  <c:v>0.55655717529215432</c:v>
                </c:pt>
                <c:pt idx="205">
                  <c:v>0.55655717529215432</c:v>
                </c:pt>
                <c:pt idx="206">
                  <c:v>0.55655717529215432</c:v>
                </c:pt>
                <c:pt idx="207">
                  <c:v>0.55655717529215432</c:v>
                </c:pt>
                <c:pt idx="208">
                  <c:v>0.55655717529215432</c:v>
                </c:pt>
                <c:pt idx="209">
                  <c:v>0.55655717529215432</c:v>
                </c:pt>
                <c:pt idx="210">
                  <c:v>0.55655717529215432</c:v>
                </c:pt>
                <c:pt idx="211">
                  <c:v>0.55655717529215432</c:v>
                </c:pt>
                <c:pt idx="212">
                  <c:v>0.55655717529215432</c:v>
                </c:pt>
                <c:pt idx="213">
                  <c:v>0.55655717529215432</c:v>
                </c:pt>
                <c:pt idx="214">
                  <c:v>0.55655717529215432</c:v>
                </c:pt>
                <c:pt idx="215">
                  <c:v>0.55655717529215432</c:v>
                </c:pt>
                <c:pt idx="216">
                  <c:v>0.55655717529215432</c:v>
                </c:pt>
                <c:pt idx="217">
                  <c:v>0.55655717529215432</c:v>
                </c:pt>
                <c:pt idx="218">
                  <c:v>0.55655717529215432</c:v>
                </c:pt>
                <c:pt idx="219">
                  <c:v>0.55655717529215432</c:v>
                </c:pt>
                <c:pt idx="220">
                  <c:v>0.55655717529215432</c:v>
                </c:pt>
                <c:pt idx="221">
                  <c:v>0.55655717529215432</c:v>
                </c:pt>
                <c:pt idx="222">
                  <c:v>0.55655717529215432</c:v>
                </c:pt>
                <c:pt idx="223">
                  <c:v>0.55655717529215432</c:v>
                </c:pt>
                <c:pt idx="224">
                  <c:v>0.55655717529215432</c:v>
                </c:pt>
                <c:pt idx="225">
                  <c:v>0.55655717529215432</c:v>
                </c:pt>
                <c:pt idx="226">
                  <c:v>0.55655717529215432</c:v>
                </c:pt>
                <c:pt idx="227">
                  <c:v>0.55655717529215432</c:v>
                </c:pt>
                <c:pt idx="228">
                  <c:v>0.55655717529215432</c:v>
                </c:pt>
                <c:pt idx="229">
                  <c:v>0.55655717529215432</c:v>
                </c:pt>
                <c:pt idx="230">
                  <c:v>0.55655717529215432</c:v>
                </c:pt>
                <c:pt idx="231">
                  <c:v>0.55655717529215432</c:v>
                </c:pt>
                <c:pt idx="232">
                  <c:v>0.55655717529215432</c:v>
                </c:pt>
                <c:pt idx="233">
                  <c:v>0.55655717529215432</c:v>
                </c:pt>
                <c:pt idx="234">
                  <c:v>0.55655717529215432</c:v>
                </c:pt>
                <c:pt idx="235">
                  <c:v>0.55655717529215432</c:v>
                </c:pt>
                <c:pt idx="236">
                  <c:v>0.55655717529215432</c:v>
                </c:pt>
                <c:pt idx="237">
                  <c:v>0.55655717529215432</c:v>
                </c:pt>
                <c:pt idx="238">
                  <c:v>0.55655717529215432</c:v>
                </c:pt>
                <c:pt idx="239">
                  <c:v>0.55655717529215432</c:v>
                </c:pt>
                <c:pt idx="240">
                  <c:v>0.55655717529215432</c:v>
                </c:pt>
                <c:pt idx="241">
                  <c:v>0.55655717529215432</c:v>
                </c:pt>
                <c:pt idx="242">
                  <c:v>0.55655717529215432</c:v>
                </c:pt>
                <c:pt idx="243">
                  <c:v>0.55655717529215432</c:v>
                </c:pt>
                <c:pt idx="244">
                  <c:v>0.55655717529215432</c:v>
                </c:pt>
                <c:pt idx="245">
                  <c:v>0.55655717529215432</c:v>
                </c:pt>
                <c:pt idx="246">
                  <c:v>0.55655717529215432</c:v>
                </c:pt>
                <c:pt idx="247">
                  <c:v>0.55655717529215432</c:v>
                </c:pt>
                <c:pt idx="248">
                  <c:v>0.55655717529215432</c:v>
                </c:pt>
                <c:pt idx="249">
                  <c:v>0.55655717529215432</c:v>
                </c:pt>
                <c:pt idx="250">
                  <c:v>0.55655717529215432</c:v>
                </c:pt>
                <c:pt idx="251">
                  <c:v>0.55655717529215432</c:v>
                </c:pt>
                <c:pt idx="252">
                  <c:v>0.55655717529215432</c:v>
                </c:pt>
                <c:pt idx="253">
                  <c:v>0.55655717529215432</c:v>
                </c:pt>
                <c:pt idx="254">
                  <c:v>0.55655717529215432</c:v>
                </c:pt>
                <c:pt idx="255">
                  <c:v>0.55655717529215432</c:v>
                </c:pt>
                <c:pt idx="256">
                  <c:v>0.55655717529215432</c:v>
                </c:pt>
                <c:pt idx="257">
                  <c:v>0.55655717529215432</c:v>
                </c:pt>
                <c:pt idx="258">
                  <c:v>0.55655717529215432</c:v>
                </c:pt>
                <c:pt idx="259">
                  <c:v>0.55655717529215432</c:v>
                </c:pt>
                <c:pt idx="260">
                  <c:v>0.55655717529215432</c:v>
                </c:pt>
                <c:pt idx="261">
                  <c:v>0.55655717529215432</c:v>
                </c:pt>
                <c:pt idx="262">
                  <c:v>0.55655717529215432</c:v>
                </c:pt>
                <c:pt idx="263">
                  <c:v>0.55655717529215432</c:v>
                </c:pt>
                <c:pt idx="264">
                  <c:v>0.55655717529215432</c:v>
                </c:pt>
                <c:pt idx="265">
                  <c:v>0.55655717529215432</c:v>
                </c:pt>
                <c:pt idx="266">
                  <c:v>0.55655717529215432</c:v>
                </c:pt>
                <c:pt idx="267">
                  <c:v>0.55655717529215432</c:v>
                </c:pt>
                <c:pt idx="268">
                  <c:v>0.55655717529215432</c:v>
                </c:pt>
                <c:pt idx="269">
                  <c:v>0.55655717529215432</c:v>
                </c:pt>
                <c:pt idx="270">
                  <c:v>0.55655717529215432</c:v>
                </c:pt>
                <c:pt idx="271">
                  <c:v>0.55655717529215432</c:v>
                </c:pt>
                <c:pt idx="272">
                  <c:v>0.55655717529215432</c:v>
                </c:pt>
                <c:pt idx="273">
                  <c:v>0.55655717529215432</c:v>
                </c:pt>
                <c:pt idx="274">
                  <c:v>0.55655717529215432</c:v>
                </c:pt>
                <c:pt idx="275">
                  <c:v>0.55655717529215432</c:v>
                </c:pt>
                <c:pt idx="276">
                  <c:v>0.55655717529215432</c:v>
                </c:pt>
                <c:pt idx="277">
                  <c:v>0.55655717529215432</c:v>
                </c:pt>
                <c:pt idx="278">
                  <c:v>0.55655717529215432</c:v>
                </c:pt>
                <c:pt idx="279">
                  <c:v>0.55655717529215432</c:v>
                </c:pt>
                <c:pt idx="280">
                  <c:v>0.55655717529215432</c:v>
                </c:pt>
                <c:pt idx="281">
                  <c:v>0.55655717529215432</c:v>
                </c:pt>
                <c:pt idx="282">
                  <c:v>0.55655717529215432</c:v>
                </c:pt>
                <c:pt idx="283">
                  <c:v>0.55655717529215432</c:v>
                </c:pt>
                <c:pt idx="284">
                  <c:v>0.55655717529215432</c:v>
                </c:pt>
                <c:pt idx="285">
                  <c:v>0.55655717529215432</c:v>
                </c:pt>
                <c:pt idx="286">
                  <c:v>0.55655717529215432</c:v>
                </c:pt>
                <c:pt idx="287">
                  <c:v>0.55655717529215432</c:v>
                </c:pt>
                <c:pt idx="288">
                  <c:v>0.55655717529215432</c:v>
                </c:pt>
                <c:pt idx="289">
                  <c:v>0.55655717529215432</c:v>
                </c:pt>
                <c:pt idx="290">
                  <c:v>0.55655717529215432</c:v>
                </c:pt>
                <c:pt idx="291">
                  <c:v>0.55655717529215432</c:v>
                </c:pt>
                <c:pt idx="292">
                  <c:v>0.55655717529215432</c:v>
                </c:pt>
                <c:pt idx="293">
                  <c:v>0.55655717529215432</c:v>
                </c:pt>
                <c:pt idx="294">
                  <c:v>0.55655717529215432</c:v>
                </c:pt>
                <c:pt idx="295">
                  <c:v>0.55655717529215432</c:v>
                </c:pt>
                <c:pt idx="296">
                  <c:v>0.55655717529215432</c:v>
                </c:pt>
                <c:pt idx="297">
                  <c:v>0.55655717529215432</c:v>
                </c:pt>
                <c:pt idx="298">
                  <c:v>0.55655717529215432</c:v>
                </c:pt>
                <c:pt idx="299">
                  <c:v>0.55655717529215432</c:v>
                </c:pt>
                <c:pt idx="300">
                  <c:v>0.55655717529215432</c:v>
                </c:pt>
                <c:pt idx="301">
                  <c:v>0.55655717529215432</c:v>
                </c:pt>
                <c:pt idx="302">
                  <c:v>0.55655717529215432</c:v>
                </c:pt>
                <c:pt idx="303">
                  <c:v>0.55655717529215432</c:v>
                </c:pt>
                <c:pt idx="304">
                  <c:v>0.55655717529215432</c:v>
                </c:pt>
                <c:pt idx="305">
                  <c:v>0.55655717529215432</c:v>
                </c:pt>
                <c:pt idx="306">
                  <c:v>0.55655717529215432</c:v>
                </c:pt>
                <c:pt idx="307">
                  <c:v>0.55655717529215432</c:v>
                </c:pt>
                <c:pt idx="308">
                  <c:v>0.55655717529215432</c:v>
                </c:pt>
                <c:pt idx="309">
                  <c:v>0.55655717529215432</c:v>
                </c:pt>
                <c:pt idx="310">
                  <c:v>0.55655717529215432</c:v>
                </c:pt>
                <c:pt idx="311">
                  <c:v>0.55655717529215432</c:v>
                </c:pt>
                <c:pt idx="312">
                  <c:v>0.55655717529215432</c:v>
                </c:pt>
                <c:pt idx="313">
                  <c:v>0.55655717529215432</c:v>
                </c:pt>
                <c:pt idx="314">
                  <c:v>0.55655717529215432</c:v>
                </c:pt>
                <c:pt idx="315">
                  <c:v>0.55655717529215432</c:v>
                </c:pt>
                <c:pt idx="316">
                  <c:v>0.55655717529215432</c:v>
                </c:pt>
                <c:pt idx="317">
                  <c:v>0.55655717529215432</c:v>
                </c:pt>
                <c:pt idx="318">
                  <c:v>0.55655717529215432</c:v>
                </c:pt>
                <c:pt idx="319">
                  <c:v>0.55655717529215432</c:v>
                </c:pt>
                <c:pt idx="320">
                  <c:v>0.55655717529215432</c:v>
                </c:pt>
                <c:pt idx="321">
                  <c:v>0.55655717529215432</c:v>
                </c:pt>
                <c:pt idx="322">
                  <c:v>0.55655717529215432</c:v>
                </c:pt>
                <c:pt idx="323">
                  <c:v>0.55655717529215432</c:v>
                </c:pt>
                <c:pt idx="324">
                  <c:v>0.55655717529215432</c:v>
                </c:pt>
                <c:pt idx="325">
                  <c:v>0.55655717529215432</c:v>
                </c:pt>
                <c:pt idx="326">
                  <c:v>0.55655717529215432</c:v>
                </c:pt>
                <c:pt idx="327">
                  <c:v>0.55655717529215432</c:v>
                </c:pt>
                <c:pt idx="328">
                  <c:v>0.55655717529215432</c:v>
                </c:pt>
                <c:pt idx="329">
                  <c:v>0.55655717529215432</c:v>
                </c:pt>
                <c:pt idx="330">
                  <c:v>0.55655717529215432</c:v>
                </c:pt>
                <c:pt idx="331">
                  <c:v>0.55655717529215432</c:v>
                </c:pt>
                <c:pt idx="332">
                  <c:v>0.55655717529215432</c:v>
                </c:pt>
                <c:pt idx="333">
                  <c:v>0.55655717529215432</c:v>
                </c:pt>
                <c:pt idx="334">
                  <c:v>0.55655717529215432</c:v>
                </c:pt>
                <c:pt idx="335">
                  <c:v>0.55655717529215432</c:v>
                </c:pt>
                <c:pt idx="336">
                  <c:v>0.55655717529215432</c:v>
                </c:pt>
                <c:pt idx="337">
                  <c:v>0.55655717529215432</c:v>
                </c:pt>
                <c:pt idx="338">
                  <c:v>0.55655717529215432</c:v>
                </c:pt>
                <c:pt idx="339">
                  <c:v>0.55655717529215432</c:v>
                </c:pt>
                <c:pt idx="340">
                  <c:v>0.55655717529215432</c:v>
                </c:pt>
                <c:pt idx="341">
                  <c:v>0.55655717529215432</c:v>
                </c:pt>
                <c:pt idx="342">
                  <c:v>0.55655717529215432</c:v>
                </c:pt>
                <c:pt idx="343">
                  <c:v>0.55655717529215432</c:v>
                </c:pt>
                <c:pt idx="344">
                  <c:v>0.55655717529215432</c:v>
                </c:pt>
                <c:pt idx="345">
                  <c:v>0.55655717529215432</c:v>
                </c:pt>
                <c:pt idx="346">
                  <c:v>0.55655717529215432</c:v>
                </c:pt>
                <c:pt idx="347">
                  <c:v>0.55655717529215432</c:v>
                </c:pt>
                <c:pt idx="348">
                  <c:v>0.55655717529215432</c:v>
                </c:pt>
                <c:pt idx="349">
                  <c:v>0.55655717529215432</c:v>
                </c:pt>
                <c:pt idx="350">
                  <c:v>0.55655717529215432</c:v>
                </c:pt>
                <c:pt idx="351">
                  <c:v>0.55655717529215432</c:v>
                </c:pt>
                <c:pt idx="352">
                  <c:v>0.55655717529215432</c:v>
                </c:pt>
                <c:pt idx="353">
                  <c:v>0.55655717529215432</c:v>
                </c:pt>
                <c:pt idx="354">
                  <c:v>0.55655717529215432</c:v>
                </c:pt>
                <c:pt idx="355">
                  <c:v>0.55655717529215432</c:v>
                </c:pt>
                <c:pt idx="356">
                  <c:v>0.55655717529215432</c:v>
                </c:pt>
                <c:pt idx="357">
                  <c:v>0.55655717529215432</c:v>
                </c:pt>
                <c:pt idx="358">
                  <c:v>0.55655717529215432</c:v>
                </c:pt>
                <c:pt idx="359">
                  <c:v>0.55655717529215432</c:v>
                </c:pt>
                <c:pt idx="360">
                  <c:v>0.55655717529215432</c:v>
                </c:pt>
                <c:pt idx="361">
                  <c:v>0.55655717529215432</c:v>
                </c:pt>
                <c:pt idx="362">
                  <c:v>0.55655717529215432</c:v>
                </c:pt>
                <c:pt idx="363">
                  <c:v>0.55655717529215432</c:v>
                </c:pt>
                <c:pt idx="364">
                  <c:v>0.55655717529215432</c:v>
                </c:pt>
                <c:pt idx="365">
                  <c:v>0.55655717529215432</c:v>
                </c:pt>
                <c:pt idx="366">
                  <c:v>0.55655717529215432</c:v>
                </c:pt>
                <c:pt idx="367">
                  <c:v>0.55655717529215432</c:v>
                </c:pt>
                <c:pt idx="368">
                  <c:v>0.55655717529215432</c:v>
                </c:pt>
                <c:pt idx="369">
                  <c:v>0.55655717529215432</c:v>
                </c:pt>
                <c:pt idx="370">
                  <c:v>0.55655717529215432</c:v>
                </c:pt>
                <c:pt idx="371">
                  <c:v>0.55655717529215432</c:v>
                </c:pt>
                <c:pt idx="372">
                  <c:v>0.55655717529215432</c:v>
                </c:pt>
                <c:pt idx="373">
                  <c:v>0.55655717529215432</c:v>
                </c:pt>
                <c:pt idx="374">
                  <c:v>0.55655717529215432</c:v>
                </c:pt>
                <c:pt idx="375">
                  <c:v>0.55655717529215432</c:v>
                </c:pt>
                <c:pt idx="376">
                  <c:v>0.55655717529215432</c:v>
                </c:pt>
                <c:pt idx="377">
                  <c:v>0.55655717529215432</c:v>
                </c:pt>
                <c:pt idx="378">
                  <c:v>0.55655717529215432</c:v>
                </c:pt>
                <c:pt idx="379">
                  <c:v>0.55655717529215432</c:v>
                </c:pt>
                <c:pt idx="380">
                  <c:v>0.55655717529215432</c:v>
                </c:pt>
                <c:pt idx="381">
                  <c:v>0.55655717529215432</c:v>
                </c:pt>
                <c:pt idx="382">
                  <c:v>0.55655717529215432</c:v>
                </c:pt>
                <c:pt idx="383">
                  <c:v>0.55655717529215432</c:v>
                </c:pt>
                <c:pt idx="384">
                  <c:v>0.55655717529215432</c:v>
                </c:pt>
                <c:pt idx="385">
                  <c:v>0.55655717529215432</c:v>
                </c:pt>
                <c:pt idx="386">
                  <c:v>0.55655717529215432</c:v>
                </c:pt>
                <c:pt idx="387">
                  <c:v>0.55655717529215432</c:v>
                </c:pt>
                <c:pt idx="388">
                  <c:v>0.55655717529215432</c:v>
                </c:pt>
                <c:pt idx="389">
                  <c:v>0.55655717529215432</c:v>
                </c:pt>
                <c:pt idx="390">
                  <c:v>0.55655717529215432</c:v>
                </c:pt>
                <c:pt idx="391">
                  <c:v>0.55655717529215432</c:v>
                </c:pt>
                <c:pt idx="392">
                  <c:v>0.55655717529215432</c:v>
                </c:pt>
                <c:pt idx="393">
                  <c:v>0.55655717529215432</c:v>
                </c:pt>
                <c:pt idx="394">
                  <c:v>0.55655717529215432</c:v>
                </c:pt>
                <c:pt idx="395">
                  <c:v>0.55655717529215432</c:v>
                </c:pt>
                <c:pt idx="396">
                  <c:v>0.55655717529215432</c:v>
                </c:pt>
                <c:pt idx="397">
                  <c:v>0.55655717529215432</c:v>
                </c:pt>
                <c:pt idx="398">
                  <c:v>0.55655717529215432</c:v>
                </c:pt>
                <c:pt idx="399">
                  <c:v>0.55655717529215432</c:v>
                </c:pt>
                <c:pt idx="400">
                  <c:v>0.55655717529215432</c:v>
                </c:pt>
                <c:pt idx="401">
                  <c:v>0.55655717529215432</c:v>
                </c:pt>
                <c:pt idx="402">
                  <c:v>0.55655717529215432</c:v>
                </c:pt>
                <c:pt idx="403">
                  <c:v>0.55655717529215432</c:v>
                </c:pt>
                <c:pt idx="404">
                  <c:v>0.55655717529215432</c:v>
                </c:pt>
                <c:pt idx="405">
                  <c:v>0.55655717529215432</c:v>
                </c:pt>
                <c:pt idx="406">
                  <c:v>0.55655717529215432</c:v>
                </c:pt>
                <c:pt idx="407">
                  <c:v>0.55655717529215432</c:v>
                </c:pt>
                <c:pt idx="408">
                  <c:v>0.55655717529215432</c:v>
                </c:pt>
                <c:pt idx="409">
                  <c:v>0.55655717529215432</c:v>
                </c:pt>
                <c:pt idx="410">
                  <c:v>0.55655717529215432</c:v>
                </c:pt>
                <c:pt idx="411">
                  <c:v>0.55655717529215432</c:v>
                </c:pt>
                <c:pt idx="412">
                  <c:v>0.55655717529215432</c:v>
                </c:pt>
                <c:pt idx="413">
                  <c:v>0.55655717529215432</c:v>
                </c:pt>
                <c:pt idx="414">
                  <c:v>0.55655717529215432</c:v>
                </c:pt>
                <c:pt idx="415">
                  <c:v>0.55655717529215432</c:v>
                </c:pt>
                <c:pt idx="416">
                  <c:v>0.55655717529215432</c:v>
                </c:pt>
                <c:pt idx="417">
                  <c:v>0.55655717529215432</c:v>
                </c:pt>
                <c:pt idx="418">
                  <c:v>0.55655717529215432</c:v>
                </c:pt>
                <c:pt idx="419">
                  <c:v>0.55655717529215432</c:v>
                </c:pt>
                <c:pt idx="420">
                  <c:v>0.55655717529215432</c:v>
                </c:pt>
                <c:pt idx="421">
                  <c:v>0.55655717529215432</c:v>
                </c:pt>
                <c:pt idx="422">
                  <c:v>0.55655717529215432</c:v>
                </c:pt>
                <c:pt idx="423">
                  <c:v>0.55655717529215432</c:v>
                </c:pt>
                <c:pt idx="424">
                  <c:v>0.55655717529215432</c:v>
                </c:pt>
                <c:pt idx="425">
                  <c:v>0.55655717529215432</c:v>
                </c:pt>
                <c:pt idx="426">
                  <c:v>0.55655717529215432</c:v>
                </c:pt>
                <c:pt idx="427">
                  <c:v>0.55655717529215432</c:v>
                </c:pt>
                <c:pt idx="428">
                  <c:v>0.55655717529215432</c:v>
                </c:pt>
                <c:pt idx="429">
                  <c:v>0.55655717529215432</c:v>
                </c:pt>
                <c:pt idx="430">
                  <c:v>0.55655717529215432</c:v>
                </c:pt>
                <c:pt idx="431">
                  <c:v>0.55655717529215432</c:v>
                </c:pt>
                <c:pt idx="432">
                  <c:v>0.55655717529215432</c:v>
                </c:pt>
                <c:pt idx="433">
                  <c:v>0.55655717529215432</c:v>
                </c:pt>
                <c:pt idx="434">
                  <c:v>0.55655717529215432</c:v>
                </c:pt>
                <c:pt idx="435">
                  <c:v>0.55655717529215432</c:v>
                </c:pt>
                <c:pt idx="436">
                  <c:v>0.55655717529215432</c:v>
                </c:pt>
                <c:pt idx="437">
                  <c:v>0.55655717529215432</c:v>
                </c:pt>
                <c:pt idx="438">
                  <c:v>0.55655717529215432</c:v>
                </c:pt>
                <c:pt idx="439">
                  <c:v>0.55655717529215432</c:v>
                </c:pt>
                <c:pt idx="440">
                  <c:v>0.55655717529215432</c:v>
                </c:pt>
                <c:pt idx="441">
                  <c:v>0.55655717529215432</c:v>
                </c:pt>
                <c:pt idx="442">
                  <c:v>0.55655717529215432</c:v>
                </c:pt>
                <c:pt idx="443">
                  <c:v>0.55655717529215432</c:v>
                </c:pt>
                <c:pt idx="444">
                  <c:v>0.55655717529215432</c:v>
                </c:pt>
                <c:pt idx="445">
                  <c:v>0.55655717529215432</c:v>
                </c:pt>
                <c:pt idx="446">
                  <c:v>0.55655717529215432</c:v>
                </c:pt>
                <c:pt idx="447">
                  <c:v>0.55655717529215432</c:v>
                </c:pt>
                <c:pt idx="448">
                  <c:v>0.55655717529215432</c:v>
                </c:pt>
                <c:pt idx="449">
                  <c:v>0.55655717529215432</c:v>
                </c:pt>
                <c:pt idx="450">
                  <c:v>0.55655717529215432</c:v>
                </c:pt>
                <c:pt idx="451">
                  <c:v>0.55655717529215432</c:v>
                </c:pt>
                <c:pt idx="452">
                  <c:v>0.55655717529215432</c:v>
                </c:pt>
                <c:pt idx="453">
                  <c:v>0.55655717529215432</c:v>
                </c:pt>
                <c:pt idx="454">
                  <c:v>0.55655717529215432</c:v>
                </c:pt>
                <c:pt idx="455">
                  <c:v>0.55655717529215432</c:v>
                </c:pt>
                <c:pt idx="456">
                  <c:v>0.55655717529215432</c:v>
                </c:pt>
                <c:pt idx="457">
                  <c:v>0.55655717529215432</c:v>
                </c:pt>
                <c:pt idx="458">
                  <c:v>0.55655717529215432</c:v>
                </c:pt>
                <c:pt idx="459">
                  <c:v>0.55655717529215432</c:v>
                </c:pt>
                <c:pt idx="460">
                  <c:v>0.55655717529215432</c:v>
                </c:pt>
                <c:pt idx="461">
                  <c:v>0.55655717529215432</c:v>
                </c:pt>
                <c:pt idx="462">
                  <c:v>0.55655717529215432</c:v>
                </c:pt>
                <c:pt idx="463">
                  <c:v>0.55655717529215432</c:v>
                </c:pt>
                <c:pt idx="464">
                  <c:v>0.55655717529215432</c:v>
                </c:pt>
                <c:pt idx="465">
                  <c:v>0.55655717529215432</c:v>
                </c:pt>
                <c:pt idx="466">
                  <c:v>0.55655717529215432</c:v>
                </c:pt>
                <c:pt idx="467">
                  <c:v>0.55655717529215432</c:v>
                </c:pt>
                <c:pt idx="468">
                  <c:v>0.55655717529215432</c:v>
                </c:pt>
                <c:pt idx="469">
                  <c:v>0.55655717529215432</c:v>
                </c:pt>
                <c:pt idx="470">
                  <c:v>0.55655717529215432</c:v>
                </c:pt>
                <c:pt idx="471">
                  <c:v>0.55655717529215432</c:v>
                </c:pt>
                <c:pt idx="472">
                  <c:v>0.55655717529215432</c:v>
                </c:pt>
                <c:pt idx="473">
                  <c:v>0.55655717529215432</c:v>
                </c:pt>
                <c:pt idx="474">
                  <c:v>0.55655717529215432</c:v>
                </c:pt>
                <c:pt idx="475">
                  <c:v>0.55655717529215432</c:v>
                </c:pt>
                <c:pt idx="476">
                  <c:v>0.55655717529215432</c:v>
                </c:pt>
                <c:pt idx="477">
                  <c:v>0.55655717529215432</c:v>
                </c:pt>
                <c:pt idx="478">
                  <c:v>0.55655717529215432</c:v>
                </c:pt>
                <c:pt idx="479">
                  <c:v>0.55655717529215432</c:v>
                </c:pt>
                <c:pt idx="480">
                  <c:v>0.55655717529215432</c:v>
                </c:pt>
                <c:pt idx="481">
                  <c:v>0.55655717529215432</c:v>
                </c:pt>
                <c:pt idx="482">
                  <c:v>0.55655717529215432</c:v>
                </c:pt>
                <c:pt idx="483">
                  <c:v>0.55655717529215432</c:v>
                </c:pt>
                <c:pt idx="484">
                  <c:v>0.55655717529215432</c:v>
                </c:pt>
                <c:pt idx="485">
                  <c:v>0.55655717529215432</c:v>
                </c:pt>
                <c:pt idx="486">
                  <c:v>0.55655717529215432</c:v>
                </c:pt>
                <c:pt idx="487">
                  <c:v>0.55655717529215432</c:v>
                </c:pt>
                <c:pt idx="488">
                  <c:v>0.55655717529215432</c:v>
                </c:pt>
                <c:pt idx="489">
                  <c:v>0.55655717529215432</c:v>
                </c:pt>
                <c:pt idx="490">
                  <c:v>0.55655717529215432</c:v>
                </c:pt>
                <c:pt idx="491">
                  <c:v>0.55655717529215432</c:v>
                </c:pt>
                <c:pt idx="492">
                  <c:v>0.55655717529215432</c:v>
                </c:pt>
                <c:pt idx="493">
                  <c:v>0.55655717529215432</c:v>
                </c:pt>
                <c:pt idx="494">
                  <c:v>0.55655717529215432</c:v>
                </c:pt>
                <c:pt idx="495">
                  <c:v>0.55655717529215432</c:v>
                </c:pt>
                <c:pt idx="496">
                  <c:v>0.55655717529215432</c:v>
                </c:pt>
                <c:pt idx="497">
                  <c:v>0.55655717529215432</c:v>
                </c:pt>
                <c:pt idx="498">
                  <c:v>0.55655717529215432</c:v>
                </c:pt>
                <c:pt idx="499">
                  <c:v>0.55655717529215432</c:v>
                </c:pt>
                <c:pt idx="500">
                  <c:v>0.55655717529215432</c:v>
                </c:pt>
                <c:pt idx="501">
                  <c:v>0.55655717529215432</c:v>
                </c:pt>
                <c:pt idx="502">
                  <c:v>0.55655717529215432</c:v>
                </c:pt>
                <c:pt idx="503">
                  <c:v>0.55655717529215432</c:v>
                </c:pt>
                <c:pt idx="504">
                  <c:v>0.55655717529215432</c:v>
                </c:pt>
                <c:pt idx="505">
                  <c:v>0.55655717529215432</c:v>
                </c:pt>
                <c:pt idx="506">
                  <c:v>0.55655717529215432</c:v>
                </c:pt>
                <c:pt idx="507">
                  <c:v>0.55655717529215432</c:v>
                </c:pt>
                <c:pt idx="508">
                  <c:v>0.55655717529215432</c:v>
                </c:pt>
                <c:pt idx="509">
                  <c:v>0.55655717529215432</c:v>
                </c:pt>
                <c:pt idx="510">
                  <c:v>0.55655717529215432</c:v>
                </c:pt>
                <c:pt idx="511">
                  <c:v>0.55655717529215432</c:v>
                </c:pt>
                <c:pt idx="512">
                  <c:v>0.55655717529215432</c:v>
                </c:pt>
                <c:pt idx="513">
                  <c:v>0.55655717529215432</c:v>
                </c:pt>
                <c:pt idx="514">
                  <c:v>0.55655717529215432</c:v>
                </c:pt>
                <c:pt idx="515">
                  <c:v>0.55655717529215432</c:v>
                </c:pt>
                <c:pt idx="516">
                  <c:v>0.55655717529215432</c:v>
                </c:pt>
                <c:pt idx="517">
                  <c:v>0.55655717529215432</c:v>
                </c:pt>
                <c:pt idx="518">
                  <c:v>0.55655717529215432</c:v>
                </c:pt>
                <c:pt idx="519">
                  <c:v>0.55655717529215432</c:v>
                </c:pt>
                <c:pt idx="520">
                  <c:v>0.55655717529215432</c:v>
                </c:pt>
                <c:pt idx="521">
                  <c:v>0.55655717529215432</c:v>
                </c:pt>
                <c:pt idx="522">
                  <c:v>0.55655717529215432</c:v>
                </c:pt>
                <c:pt idx="523">
                  <c:v>0.55655717529215432</c:v>
                </c:pt>
                <c:pt idx="524">
                  <c:v>0.55655717529215432</c:v>
                </c:pt>
                <c:pt idx="525">
                  <c:v>0.55655717529215432</c:v>
                </c:pt>
                <c:pt idx="526">
                  <c:v>0.55655717529215432</c:v>
                </c:pt>
                <c:pt idx="527">
                  <c:v>0.55655717529215432</c:v>
                </c:pt>
                <c:pt idx="528">
                  <c:v>0.55655717529215432</c:v>
                </c:pt>
                <c:pt idx="529">
                  <c:v>0.55655717529215432</c:v>
                </c:pt>
                <c:pt idx="530">
                  <c:v>0.55655717529215432</c:v>
                </c:pt>
                <c:pt idx="531">
                  <c:v>0.55655717529215432</c:v>
                </c:pt>
                <c:pt idx="532">
                  <c:v>0.55655717529215432</c:v>
                </c:pt>
                <c:pt idx="533">
                  <c:v>0.55655717529215432</c:v>
                </c:pt>
                <c:pt idx="534">
                  <c:v>0.55655717529215432</c:v>
                </c:pt>
                <c:pt idx="535">
                  <c:v>0.55655717529215432</c:v>
                </c:pt>
                <c:pt idx="536">
                  <c:v>0.55655717529215432</c:v>
                </c:pt>
                <c:pt idx="537">
                  <c:v>0.55655717529215432</c:v>
                </c:pt>
                <c:pt idx="538">
                  <c:v>0.55655717529215432</c:v>
                </c:pt>
                <c:pt idx="539">
                  <c:v>0.55655717529215432</c:v>
                </c:pt>
                <c:pt idx="540">
                  <c:v>0.55655717529215432</c:v>
                </c:pt>
                <c:pt idx="541">
                  <c:v>0.55655717529215432</c:v>
                </c:pt>
                <c:pt idx="542">
                  <c:v>0.55655717529215432</c:v>
                </c:pt>
                <c:pt idx="543">
                  <c:v>0.55655717529215432</c:v>
                </c:pt>
                <c:pt idx="544">
                  <c:v>0.55655717529215432</c:v>
                </c:pt>
                <c:pt idx="545">
                  <c:v>0.55655717529215432</c:v>
                </c:pt>
                <c:pt idx="546">
                  <c:v>0.55655717529215432</c:v>
                </c:pt>
                <c:pt idx="547">
                  <c:v>0.55655717529215432</c:v>
                </c:pt>
                <c:pt idx="548">
                  <c:v>0.55655717529215432</c:v>
                </c:pt>
                <c:pt idx="549">
                  <c:v>0.55655717529215432</c:v>
                </c:pt>
                <c:pt idx="550">
                  <c:v>0.55655717529215432</c:v>
                </c:pt>
                <c:pt idx="551">
                  <c:v>0.55655717529215432</c:v>
                </c:pt>
                <c:pt idx="552">
                  <c:v>0.55655717529215432</c:v>
                </c:pt>
                <c:pt idx="553">
                  <c:v>0.55655717529215432</c:v>
                </c:pt>
                <c:pt idx="554">
                  <c:v>0.55655717529215432</c:v>
                </c:pt>
                <c:pt idx="555">
                  <c:v>0.55655717529215432</c:v>
                </c:pt>
                <c:pt idx="556">
                  <c:v>0.55655717529215432</c:v>
                </c:pt>
                <c:pt idx="557">
                  <c:v>0.55655717529215432</c:v>
                </c:pt>
                <c:pt idx="558">
                  <c:v>0.55655717529215432</c:v>
                </c:pt>
                <c:pt idx="559">
                  <c:v>0.55655717529215432</c:v>
                </c:pt>
                <c:pt idx="560">
                  <c:v>0.55655717529215432</c:v>
                </c:pt>
                <c:pt idx="561">
                  <c:v>0.55655717529215432</c:v>
                </c:pt>
                <c:pt idx="562">
                  <c:v>0.55655717529215432</c:v>
                </c:pt>
                <c:pt idx="563">
                  <c:v>0.55655717529215432</c:v>
                </c:pt>
                <c:pt idx="564">
                  <c:v>0.55655717529215432</c:v>
                </c:pt>
                <c:pt idx="565">
                  <c:v>0.55655717529215432</c:v>
                </c:pt>
                <c:pt idx="566">
                  <c:v>0.55655717529215432</c:v>
                </c:pt>
                <c:pt idx="567">
                  <c:v>0.55655717529215432</c:v>
                </c:pt>
                <c:pt idx="568">
                  <c:v>0.55655717529215432</c:v>
                </c:pt>
                <c:pt idx="569">
                  <c:v>0.55655717529215432</c:v>
                </c:pt>
                <c:pt idx="570">
                  <c:v>0.55655717529215432</c:v>
                </c:pt>
                <c:pt idx="571">
                  <c:v>0.55655717529215432</c:v>
                </c:pt>
                <c:pt idx="572">
                  <c:v>0.55655717529215432</c:v>
                </c:pt>
                <c:pt idx="573">
                  <c:v>0.55655717529215432</c:v>
                </c:pt>
                <c:pt idx="574">
                  <c:v>0.55655717529215432</c:v>
                </c:pt>
                <c:pt idx="575">
                  <c:v>0.55655717529215432</c:v>
                </c:pt>
                <c:pt idx="576">
                  <c:v>0.55655717529215432</c:v>
                </c:pt>
                <c:pt idx="577">
                  <c:v>0.55655717529215432</c:v>
                </c:pt>
                <c:pt idx="578">
                  <c:v>0.55655717529215432</c:v>
                </c:pt>
                <c:pt idx="579">
                  <c:v>0.55655717529215432</c:v>
                </c:pt>
                <c:pt idx="580">
                  <c:v>0.55655717529215432</c:v>
                </c:pt>
                <c:pt idx="581">
                  <c:v>0.55655717529215432</c:v>
                </c:pt>
                <c:pt idx="582">
                  <c:v>0.55655717529215432</c:v>
                </c:pt>
                <c:pt idx="583">
                  <c:v>0.55655717529215432</c:v>
                </c:pt>
                <c:pt idx="584">
                  <c:v>0.55655717529215432</c:v>
                </c:pt>
                <c:pt idx="585">
                  <c:v>0.55655717529215432</c:v>
                </c:pt>
                <c:pt idx="586">
                  <c:v>0.55655717529215432</c:v>
                </c:pt>
                <c:pt idx="587">
                  <c:v>0.55655717529215432</c:v>
                </c:pt>
                <c:pt idx="588">
                  <c:v>0.55655717529215432</c:v>
                </c:pt>
                <c:pt idx="589">
                  <c:v>0.55655717529215432</c:v>
                </c:pt>
                <c:pt idx="590">
                  <c:v>0.55655717529215432</c:v>
                </c:pt>
                <c:pt idx="591">
                  <c:v>0.55655717529215432</c:v>
                </c:pt>
                <c:pt idx="592">
                  <c:v>0.55655717529215432</c:v>
                </c:pt>
                <c:pt idx="593">
                  <c:v>0.55655717529215432</c:v>
                </c:pt>
                <c:pt idx="594">
                  <c:v>0.55655717529215432</c:v>
                </c:pt>
                <c:pt idx="595">
                  <c:v>0.55655717529215432</c:v>
                </c:pt>
                <c:pt idx="596">
                  <c:v>0.55655717529215432</c:v>
                </c:pt>
                <c:pt idx="597">
                  <c:v>0.55655717529215432</c:v>
                </c:pt>
                <c:pt idx="598">
                  <c:v>0.55655717529215432</c:v>
                </c:pt>
                <c:pt idx="599">
                  <c:v>0.55655717529215432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39-4925-BA07-0B08B90DEBA2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TTV_IMR!$H$13:$H$612</c:f>
              <c:numCache>
                <c:formatCode>0.0000</c:formatCode>
                <c:ptCount val="600"/>
                <c:pt idx="0">
                  <c:v>0.17035726210350607</c:v>
                </c:pt>
                <c:pt idx="1">
                  <c:v>0.17035726210350607</c:v>
                </c:pt>
                <c:pt idx="2">
                  <c:v>0.17035726210350607</c:v>
                </c:pt>
                <c:pt idx="3">
                  <c:v>0.17035726210350607</c:v>
                </c:pt>
                <c:pt idx="4">
                  <c:v>0.17035726210350607</c:v>
                </c:pt>
                <c:pt idx="5">
                  <c:v>0.17035726210350607</c:v>
                </c:pt>
                <c:pt idx="6">
                  <c:v>0.17035726210350607</c:v>
                </c:pt>
                <c:pt idx="7">
                  <c:v>0.17035726210350607</c:v>
                </c:pt>
                <c:pt idx="8">
                  <c:v>0.17035726210350607</c:v>
                </c:pt>
                <c:pt idx="9">
                  <c:v>0.17035726210350607</c:v>
                </c:pt>
                <c:pt idx="10">
                  <c:v>0.17035726210350607</c:v>
                </c:pt>
                <c:pt idx="11">
                  <c:v>0.17035726210350607</c:v>
                </c:pt>
                <c:pt idx="12">
                  <c:v>0.17035726210350607</c:v>
                </c:pt>
                <c:pt idx="13">
                  <c:v>0.17035726210350607</c:v>
                </c:pt>
                <c:pt idx="14">
                  <c:v>0.17035726210350607</c:v>
                </c:pt>
                <c:pt idx="15">
                  <c:v>0.17035726210350607</c:v>
                </c:pt>
                <c:pt idx="16">
                  <c:v>0.17035726210350607</c:v>
                </c:pt>
                <c:pt idx="17">
                  <c:v>0.17035726210350607</c:v>
                </c:pt>
                <c:pt idx="18">
                  <c:v>0.17035726210350607</c:v>
                </c:pt>
                <c:pt idx="19">
                  <c:v>0.17035726210350607</c:v>
                </c:pt>
                <c:pt idx="20">
                  <c:v>0.17035726210350607</c:v>
                </c:pt>
                <c:pt idx="21">
                  <c:v>0.17035726210350607</c:v>
                </c:pt>
                <c:pt idx="22">
                  <c:v>0.17035726210350607</c:v>
                </c:pt>
                <c:pt idx="23">
                  <c:v>0.17035726210350607</c:v>
                </c:pt>
                <c:pt idx="24">
                  <c:v>0.17035726210350607</c:v>
                </c:pt>
                <c:pt idx="25">
                  <c:v>0.17035726210350607</c:v>
                </c:pt>
                <c:pt idx="26">
                  <c:v>0.17035726210350607</c:v>
                </c:pt>
                <c:pt idx="27">
                  <c:v>0.17035726210350607</c:v>
                </c:pt>
                <c:pt idx="28">
                  <c:v>0.17035726210350607</c:v>
                </c:pt>
                <c:pt idx="29">
                  <c:v>0.17035726210350607</c:v>
                </c:pt>
                <c:pt idx="30">
                  <c:v>0.17035726210350607</c:v>
                </c:pt>
                <c:pt idx="31">
                  <c:v>0.17035726210350607</c:v>
                </c:pt>
                <c:pt idx="32">
                  <c:v>0.17035726210350607</c:v>
                </c:pt>
                <c:pt idx="33">
                  <c:v>0.17035726210350607</c:v>
                </c:pt>
                <c:pt idx="34">
                  <c:v>0.17035726210350607</c:v>
                </c:pt>
                <c:pt idx="35">
                  <c:v>0.17035726210350607</c:v>
                </c:pt>
                <c:pt idx="36">
                  <c:v>0.17035726210350607</c:v>
                </c:pt>
                <c:pt idx="37">
                  <c:v>0.17035726210350607</c:v>
                </c:pt>
                <c:pt idx="38">
                  <c:v>0.17035726210350607</c:v>
                </c:pt>
                <c:pt idx="39">
                  <c:v>0.17035726210350607</c:v>
                </c:pt>
                <c:pt idx="40">
                  <c:v>0.17035726210350607</c:v>
                </c:pt>
                <c:pt idx="41">
                  <c:v>0.17035726210350607</c:v>
                </c:pt>
                <c:pt idx="42">
                  <c:v>0.17035726210350607</c:v>
                </c:pt>
                <c:pt idx="43">
                  <c:v>0.17035726210350607</c:v>
                </c:pt>
                <c:pt idx="44">
                  <c:v>0.17035726210350607</c:v>
                </c:pt>
                <c:pt idx="45">
                  <c:v>0.17035726210350607</c:v>
                </c:pt>
                <c:pt idx="46">
                  <c:v>0.17035726210350607</c:v>
                </c:pt>
                <c:pt idx="47">
                  <c:v>0.17035726210350607</c:v>
                </c:pt>
                <c:pt idx="48">
                  <c:v>0.17035726210350607</c:v>
                </c:pt>
                <c:pt idx="49">
                  <c:v>0.17035726210350607</c:v>
                </c:pt>
                <c:pt idx="50">
                  <c:v>0.17035726210350607</c:v>
                </c:pt>
                <c:pt idx="51">
                  <c:v>0.17035726210350607</c:v>
                </c:pt>
                <c:pt idx="52">
                  <c:v>0.17035726210350607</c:v>
                </c:pt>
                <c:pt idx="53">
                  <c:v>0.17035726210350607</c:v>
                </c:pt>
                <c:pt idx="54">
                  <c:v>0.17035726210350607</c:v>
                </c:pt>
                <c:pt idx="55">
                  <c:v>0.17035726210350607</c:v>
                </c:pt>
                <c:pt idx="56">
                  <c:v>0.17035726210350607</c:v>
                </c:pt>
                <c:pt idx="57">
                  <c:v>0.17035726210350607</c:v>
                </c:pt>
                <c:pt idx="58">
                  <c:v>0.17035726210350607</c:v>
                </c:pt>
                <c:pt idx="59">
                  <c:v>0.17035726210350607</c:v>
                </c:pt>
                <c:pt idx="60">
                  <c:v>0.17035726210350607</c:v>
                </c:pt>
                <c:pt idx="61">
                  <c:v>0.17035726210350607</c:v>
                </c:pt>
                <c:pt idx="62">
                  <c:v>0.17035726210350607</c:v>
                </c:pt>
                <c:pt idx="63">
                  <c:v>0.17035726210350607</c:v>
                </c:pt>
                <c:pt idx="64">
                  <c:v>0.17035726210350607</c:v>
                </c:pt>
                <c:pt idx="65">
                  <c:v>0.17035726210350607</c:v>
                </c:pt>
                <c:pt idx="66">
                  <c:v>0.17035726210350607</c:v>
                </c:pt>
                <c:pt idx="67">
                  <c:v>0.17035726210350607</c:v>
                </c:pt>
                <c:pt idx="68">
                  <c:v>0.17035726210350607</c:v>
                </c:pt>
                <c:pt idx="69">
                  <c:v>0.17035726210350607</c:v>
                </c:pt>
                <c:pt idx="70">
                  <c:v>0.17035726210350607</c:v>
                </c:pt>
                <c:pt idx="71">
                  <c:v>0.17035726210350607</c:v>
                </c:pt>
                <c:pt idx="72">
                  <c:v>0.17035726210350607</c:v>
                </c:pt>
                <c:pt idx="73">
                  <c:v>0.17035726210350607</c:v>
                </c:pt>
                <c:pt idx="74">
                  <c:v>0.17035726210350607</c:v>
                </c:pt>
                <c:pt idx="75">
                  <c:v>0.17035726210350607</c:v>
                </c:pt>
                <c:pt idx="76">
                  <c:v>0.17035726210350607</c:v>
                </c:pt>
                <c:pt idx="77">
                  <c:v>0.17035726210350607</c:v>
                </c:pt>
                <c:pt idx="78">
                  <c:v>0.17035726210350607</c:v>
                </c:pt>
                <c:pt idx="79">
                  <c:v>0.17035726210350607</c:v>
                </c:pt>
                <c:pt idx="80">
                  <c:v>0.17035726210350607</c:v>
                </c:pt>
                <c:pt idx="81">
                  <c:v>0.17035726210350607</c:v>
                </c:pt>
                <c:pt idx="82">
                  <c:v>0.17035726210350607</c:v>
                </c:pt>
                <c:pt idx="83">
                  <c:v>0.17035726210350607</c:v>
                </c:pt>
                <c:pt idx="84">
                  <c:v>0.17035726210350607</c:v>
                </c:pt>
                <c:pt idx="85">
                  <c:v>0.17035726210350607</c:v>
                </c:pt>
                <c:pt idx="86">
                  <c:v>0.17035726210350607</c:v>
                </c:pt>
                <c:pt idx="87">
                  <c:v>0.17035726210350607</c:v>
                </c:pt>
                <c:pt idx="88">
                  <c:v>0.17035726210350607</c:v>
                </c:pt>
                <c:pt idx="89">
                  <c:v>0.17035726210350607</c:v>
                </c:pt>
                <c:pt idx="90">
                  <c:v>0.17035726210350607</c:v>
                </c:pt>
                <c:pt idx="91">
                  <c:v>0.17035726210350607</c:v>
                </c:pt>
                <c:pt idx="92">
                  <c:v>0.17035726210350607</c:v>
                </c:pt>
                <c:pt idx="93">
                  <c:v>0.17035726210350607</c:v>
                </c:pt>
                <c:pt idx="94">
                  <c:v>0.17035726210350607</c:v>
                </c:pt>
                <c:pt idx="95">
                  <c:v>0.17035726210350607</c:v>
                </c:pt>
                <c:pt idx="96">
                  <c:v>0.17035726210350607</c:v>
                </c:pt>
                <c:pt idx="97">
                  <c:v>0.17035726210350607</c:v>
                </c:pt>
                <c:pt idx="98">
                  <c:v>0.17035726210350607</c:v>
                </c:pt>
                <c:pt idx="99">
                  <c:v>0.17035726210350607</c:v>
                </c:pt>
                <c:pt idx="100">
                  <c:v>0.17035726210350607</c:v>
                </c:pt>
                <c:pt idx="101">
                  <c:v>0.17035726210350607</c:v>
                </c:pt>
                <c:pt idx="102">
                  <c:v>0.17035726210350607</c:v>
                </c:pt>
                <c:pt idx="103">
                  <c:v>0.17035726210350607</c:v>
                </c:pt>
                <c:pt idx="104">
                  <c:v>0.17035726210350607</c:v>
                </c:pt>
                <c:pt idx="105">
                  <c:v>0.17035726210350607</c:v>
                </c:pt>
                <c:pt idx="106">
                  <c:v>0.17035726210350607</c:v>
                </c:pt>
                <c:pt idx="107">
                  <c:v>0.17035726210350607</c:v>
                </c:pt>
                <c:pt idx="108">
                  <c:v>0.17035726210350607</c:v>
                </c:pt>
                <c:pt idx="109">
                  <c:v>0.17035726210350607</c:v>
                </c:pt>
                <c:pt idx="110">
                  <c:v>0.17035726210350607</c:v>
                </c:pt>
                <c:pt idx="111">
                  <c:v>0.17035726210350607</c:v>
                </c:pt>
                <c:pt idx="112">
                  <c:v>0.17035726210350607</c:v>
                </c:pt>
                <c:pt idx="113">
                  <c:v>0.17035726210350607</c:v>
                </c:pt>
                <c:pt idx="114">
                  <c:v>0.17035726210350607</c:v>
                </c:pt>
                <c:pt idx="115">
                  <c:v>0.17035726210350607</c:v>
                </c:pt>
                <c:pt idx="116">
                  <c:v>0.17035726210350607</c:v>
                </c:pt>
                <c:pt idx="117">
                  <c:v>0.17035726210350607</c:v>
                </c:pt>
                <c:pt idx="118">
                  <c:v>0.17035726210350607</c:v>
                </c:pt>
                <c:pt idx="119">
                  <c:v>0.17035726210350607</c:v>
                </c:pt>
                <c:pt idx="120">
                  <c:v>0.17035726210350607</c:v>
                </c:pt>
                <c:pt idx="121">
                  <c:v>0.17035726210350607</c:v>
                </c:pt>
                <c:pt idx="122">
                  <c:v>0.17035726210350607</c:v>
                </c:pt>
                <c:pt idx="123">
                  <c:v>0.17035726210350607</c:v>
                </c:pt>
                <c:pt idx="124">
                  <c:v>0.17035726210350607</c:v>
                </c:pt>
                <c:pt idx="125">
                  <c:v>0.17035726210350607</c:v>
                </c:pt>
                <c:pt idx="126">
                  <c:v>0.17035726210350607</c:v>
                </c:pt>
                <c:pt idx="127">
                  <c:v>0.17035726210350607</c:v>
                </c:pt>
                <c:pt idx="128">
                  <c:v>0.17035726210350607</c:v>
                </c:pt>
                <c:pt idx="129">
                  <c:v>0.17035726210350607</c:v>
                </c:pt>
                <c:pt idx="130">
                  <c:v>0.17035726210350607</c:v>
                </c:pt>
                <c:pt idx="131">
                  <c:v>0.17035726210350607</c:v>
                </c:pt>
                <c:pt idx="132">
                  <c:v>0.17035726210350607</c:v>
                </c:pt>
                <c:pt idx="133">
                  <c:v>0.17035726210350607</c:v>
                </c:pt>
                <c:pt idx="134">
                  <c:v>0.17035726210350607</c:v>
                </c:pt>
                <c:pt idx="135">
                  <c:v>0.17035726210350607</c:v>
                </c:pt>
                <c:pt idx="136">
                  <c:v>0.17035726210350607</c:v>
                </c:pt>
                <c:pt idx="137">
                  <c:v>0.17035726210350607</c:v>
                </c:pt>
                <c:pt idx="138">
                  <c:v>0.17035726210350607</c:v>
                </c:pt>
                <c:pt idx="139">
                  <c:v>0.17035726210350607</c:v>
                </c:pt>
                <c:pt idx="140">
                  <c:v>0.17035726210350607</c:v>
                </c:pt>
                <c:pt idx="141">
                  <c:v>0.17035726210350607</c:v>
                </c:pt>
                <c:pt idx="142">
                  <c:v>0.17035726210350607</c:v>
                </c:pt>
                <c:pt idx="143">
                  <c:v>0.17035726210350607</c:v>
                </c:pt>
                <c:pt idx="144">
                  <c:v>0.17035726210350607</c:v>
                </c:pt>
                <c:pt idx="145">
                  <c:v>0.17035726210350607</c:v>
                </c:pt>
                <c:pt idx="146">
                  <c:v>0.17035726210350607</c:v>
                </c:pt>
                <c:pt idx="147">
                  <c:v>0.17035726210350607</c:v>
                </c:pt>
                <c:pt idx="148">
                  <c:v>0.17035726210350607</c:v>
                </c:pt>
                <c:pt idx="149">
                  <c:v>0.17035726210350607</c:v>
                </c:pt>
                <c:pt idx="150">
                  <c:v>0.17035726210350607</c:v>
                </c:pt>
                <c:pt idx="151">
                  <c:v>0.17035726210350607</c:v>
                </c:pt>
                <c:pt idx="152">
                  <c:v>0.17035726210350607</c:v>
                </c:pt>
                <c:pt idx="153">
                  <c:v>0.17035726210350607</c:v>
                </c:pt>
                <c:pt idx="154">
                  <c:v>0.17035726210350607</c:v>
                </c:pt>
                <c:pt idx="155">
                  <c:v>0.17035726210350607</c:v>
                </c:pt>
                <c:pt idx="156">
                  <c:v>0.17035726210350607</c:v>
                </c:pt>
                <c:pt idx="157">
                  <c:v>0.17035726210350607</c:v>
                </c:pt>
                <c:pt idx="158">
                  <c:v>0.17035726210350607</c:v>
                </c:pt>
                <c:pt idx="159">
                  <c:v>0.17035726210350607</c:v>
                </c:pt>
                <c:pt idx="160">
                  <c:v>0.17035726210350607</c:v>
                </c:pt>
                <c:pt idx="161">
                  <c:v>0.17035726210350607</c:v>
                </c:pt>
                <c:pt idx="162">
                  <c:v>0.17035726210350607</c:v>
                </c:pt>
                <c:pt idx="163">
                  <c:v>0.17035726210350607</c:v>
                </c:pt>
                <c:pt idx="164">
                  <c:v>0.17035726210350607</c:v>
                </c:pt>
                <c:pt idx="165">
                  <c:v>0.17035726210350607</c:v>
                </c:pt>
                <c:pt idx="166">
                  <c:v>0.17035726210350607</c:v>
                </c:pt>
                <c:pt idx="167">
                  <c:v>0.17035726210350607</c:v>
                </c:pt>
                <c:pt idx="168">
                  <c:v>0.17035726210350607</c:v>
                </c:pt>
                <c:pt idx="169">
                  <c:v>0.17035726210350607</c:v>
                </c:pt>
                <c:pt idx="170">
                  <c:v>0.17035726210350607</c:v>
                </c:pt>
                <c:pt idx="171">
                  <c:v>0.17035726210350607</c:v>
                </c:pt>
                <c:pt idx="172">
                  <c:v>0.17035726210350607</c:v>
                </c:pt>
                <c:pt idx="173">
                  <c:v>0.17035726210350607</c:v>
                </c:pt>
                <c:pt idx="174">
                  <c:v>0.17035726210350607</c:v>
                </c:pt>
                <c:pt idx="175">
                  <c:v>0.17035726210350607</c:v>
                </c:pt>
                <c:pt idx="176">
                  <c:v>0.17035726210350607</c:v>
                </c:pt>
                <c:pt idx="177">
                  <c:v>0.17035726210350607</c:v>
                </c:pt>
                <c:pt idx="178">
                  <c:v>0.17035726210350607</c:v>
                </c:pt>
                <c:pt idx="179">
                  <c:v>0.17035726210350607</c:v>
                </c:pt>
                <c:pt idx="180">
                  <c:v>0.17035726210350607</c:v>
                </c:pt>
                <c:pt idx="181">
                  <c:v>0.17035726210350607</c:v>
                </c:pt>
                <c:pt idx="182">
                  <c:v>0.17035726210350607</c:v>
                </c:pt>
                <c:pt idx="183">
                  <c:v>0.17035726210350607</c:v>
                </c:pt>
                <c:pt idx="184">
                  <c:v>0.17035726210350607</c:v>
                </c:pt>
                <c:pt idx="185">
                  <c:v>0.17035726210350607</c:v>
                </c:pt>
                <c:pt idx="186">
                  <c:v>0.17035726210350607</c:v>
                </c:pt>
                <c:pt idx="187">
                  <c:v>0.17035726210350607</c:v>
                </c:pt>
                <c:pt idx="188">
                  <c:v>0.17035726210350607</c:v>
                </c:pt>
                <c:pt idx="189">
                  <c:v>0.17035726210350607</c:v>
                </c:pt>
                <c:pt idx="190">
                  <c:v>0.17035726210350607</c:v>
                </c:pt>
                <c:pt idx="191">
                  <c:v>0.17035726210350607</c:v>
                </c:pt>
                <c:pt idx="192">
                  <c:v>0.17035726210350607</c:v>
                </c:pt>
                <c:pt idx="193">
                  <c:v>0.17035726210350607</c:v>
                </c:pt>
                <c:pt idx="194">
                  <c:v>0.17035726210350607</c:v>
                </c:pt>
                <c:pt idx="195">
                  <c:v>0.17035726210350607</c:v>
                </c:pt>
                <c:pt idx="196">
                  <c:v>0.17035726210350607</c:v>
                </c:pt>
                <c:pt idx="197">
                  <c:v>0.17035726210350607</c:v>
                </c:pt>
                <c:pt idx="198">
                  <c:v>0.17035726210350607</c:v>
                </c:pt>
                <c:pt idx="199">
                  <c:v>0.17035726210350607</c:v>
                </c:pt>
                <c:pt idx="200">
                  <c:v>0.17035726210350607</c:v>
                </c:pt>
                <c:pt idx="201">
                  <c:v>0.17035726210350607</c:v>
                </c:pt>
                <c:pt idx="202">
                  <c:v>0.17035726210350607</c:v>
                </c:pt>
                <c:pt idx="203">
                  <c:v>0.17035726210350607</c:v>
                </c:pt>
                <c:pt idx="204">
                  <c:v>0.17035726210350607</c:v>
                </c:pt>
                <c:pt idx="205">
                  <c:v>0.17035726210350607</c:v>
                </c:pt>
                <c:pt idx="206">
                  <c:v>0.17035726210350607</c:v>
                </c:pt>
                <c:pt idx="207">
                  <c:v>0.17035726210350607</c:v>
                </c:pt>
                <c:pt idx="208">
                  <c:v>0.17035726210350607</c:v>
                </c:pt>
                <c:pt idx="209">
                  <c:v>0.17035726210350607</c:v>
                </c:pt>
                <c:pt idx="210">
                  <c:v>0.17035726210350607</c:v>
                </c:pt>
                <c:pt idx="211">
                  <c:v>0.17035726210350607</c:v>
                </c:pt>
                <c:pt idx="212">
                  <c:v>0.17035726210350607</c:v>
                </c:pt>
                <c:pt idx="213">
                  <c:v>0.17035726210350607</c:v>
                </c:pt>
                <c:pt idx="214">
                  <c:v>0.17035726210350607</c:v>
                </c:pt>
                <c:pt idx="215">
                  <c:v>0.17035726210350607</c:v>
                </c:pt>
                <c:pt idx="216">
                  <c:v>0.17035726210350607</c:v>
                </c:pt>
                <c:pt idx="217">
                  <c:v>0.17035726210350607</c:v>
                </c:pt>
                <c:pt idx="218">
                  <c:v>0.17035726210350607</c:v>
                </c:pt>
                <c:pt idx="219">
                  <c:v>0.17035726210350607</c:v>
                </c:pt>
                <c:pt idx="220">
                  <c:v>0.17035726210350607</c:v>
                </c:pt>
                <c:pt idx="221">
                  <c:v>0.17035726210350607</c:v>
                </c:pt>
                <c:pt idx="222">
                  <c:v>0.17035726210350607</c:v>
                </c:pt>
                <c:pt idx="223">
                  <c:v>0.17035726210350607</c:v>
                </c:pt>
                <c:pt idx="224">
                  <c:v>0.17035726210350607</c:v>
                </c:pt>
                <c:pt idx="225">
                  <c:v>0.17035726210350607</c:v>
                </c:pt>
                <c:pt idx="226">
                  <c:v>0.17035726210350607</c:v>
                </c:pt>
                <c:pt idx="227">
                  <c:v>0.17035726210350607</c:v>
                </c:pt>
                <c:pt idx="228">
                  <c:v>0.17035726210350607</c:v>
                </c:pt>
                <c:pt idx="229">
                  <c:v>0.17035726210350607</c:v>
                </c:pt>
                <c:pt idx="230">
                  <c:v>0.17035726210350607</c:v>
                </c:pt>
                <c:pt idx="231">
                  <c:v>0.17035726210350607</c:v>
                </c:pt>
                <c:pt idx="232">
                  <c:v>0.17035726210350607</c:v>
                </c:pt>
                <c:pt idx="233">
                  <c:v>0.17035726210350607</c:v>
                </c:pt>
                <c:pt idx="234">
                  <c:v>0.17035726210350607</c:v>
                </c:pt>
                <c:pt idx="235">
                  <c:v>0.17035726210350607</c:v>
                </c:pt>
                <c:pt idx="236">
                  <c:v>0.17035726210350607</c:v>
                </c:pt>
                <c:pt idx="237">
                  <c:v>0.17035726210350607</c:v>
                </c:pt>
                <c:pt idx="238">
                  <c:v>0.17035726210350607</c:v>
                </c:pt>
                <c:pt idx="239">
                  <c:v>0.17035726210350607</c:v>
                </c:pt>
                <c:pt idx="240">
                  <c:v>0.17035726210350607</c:v>
                </c:pt>
                <c:pt idx="241">
                  <c:v>0.17035726210350607</c:v>
                </c:pt>
                <c:pt idx="242">
                  <c:v>0.17035726210350607</c:v>
                </c:pt>
                <c:pt idx="243">
                  <c:v>0.17035726210350607</c:v>
                </c:pt>
                <c:pt idx="244">
                  <c:v>0.17035726210350607</c:v>
                </c:pt>
                <c:pt idx="245">
                  <c:v>0.17035726210350607</c:v>
                </c:pt>
                <c:pt idx="246">
                  <c:v>0.17035726210350607</c:v>
                </c:pt>
                <c:pt idx="247">
                  <c:v>0.17035726210350607</c:v>
                </c:pt>
                <c:pt idx="248">
                  <c:v>0.17035726210350607</c:v>
                </c:pt>
                <c:pt idx="249">
                  <c:v>0.17035726210350607</c:v>
                </c:pt>
                <c:pt idx="250">
                  <c:v>0.17035726210350607</c:v>
                </c:pt>
                <c:pt idx="251">
                  <c:v>0.17035726210350607</c:v>
                </c:pt>
                <c:pt idx="252">
                  <c:v>0.17035726210350607</c:v>
                </c:pt>
                <c:pt idx="253">
                  <c:v>0.17035726210350607</c:v>
                </c:pt>
                <c:pt idx="254">
                  <c:v>0.17035726210350607</c:v>
                </c:pt>
                <c:pt idx="255">
                  <c:v>0.17035726210350607</c:v>
                </c:pt>
                <c:pt idx="256">
                  <c:v>0.17035726210350607</c:v>
                </c:pt>
                <c:pt idx="257">
                  <c:v>0.17035726210350607</c:v>
                </c:pt>
                <c:pt idx="258">
                  <c:v>0.17035726210350607</c:v>
                </c:pt>
                <c:pt idx="259">
                  <c:v>0.17035726210350607</c:v>
                </c:pt>
                <c:pt idx="260">
                  <c:v>0.17035726210350607</c:v>
                </c:pt>
                <c:pt idx="261">
                  <c:v>0.17035726210350607</c:v>
                </c:pt>
                <c:pt idx="262">
                  <c:v>0.17035726210350607</c:v>
                </c:pt>
                <c:pt idx="263">
                  <c:v>0.17035726210350607</c:v>
                </c:pt>
                <c:pt idx="264">
                  <c:v>0.17035726210350607</c:v>
                </c:pt>
                <c:pt idx="265">
                  <c:v>0.17035726210350607</c:v>
                </c:pt>
                <c:pt idx="266">
                  <c:v>0.17035726210350607</c:v>
                </c:pt>
                <c:pt idx="267">
                  <c:v>0.17035726210350607</c:v>
                </c:pt>
                <c:pt idx="268">
                  <c:v>0.17035726210350607</c:v>
                </c:pt>
                <c:pt idx="269">
                  <c:v>0.17035726210350607</c:v>
                </c:pt>
                <c:pt idx="270">
                  <c:v>0.17035726210350607</c:v>
                </c:pt>
                <c:pt idx="271">
                  <c:v>0.17035726210350607</c:v>
                </c:pt>
                <c:pt idx="272">
                  <c:v>0.17035726210350607</c:v>
                </c:pt>
                <c:pt idx="273">
                  <c:v>0.17035726210350607</c:v>
                </c:pt>
                <c:pt idx="274">
                  <c:v>0.17035726210350607</c:v>
                </c:pt>
                <c:pt idx="275">
                  <c:v>0.17035726210350607</c:v>
                </c:pt>
                <c:pt idx="276">
                  <c:v>0.17035726210350607</c:v>
                </c:pt>
                <c:pt idx="277">
                  <c:v>0.17035726210350607</c:v>
                </c:pt>
                <c:pt idx="278">
                  <c:v>0.17035726210350607</c:v>
                </c:pt>
                <c:pt idx="279">
                  <c:v>0.17035726210350607</c:v>
                </c:pt>
                <c:pt idx="280">
                  <c:v>0.17035726210350607</c:v>
                </c:pt>
                <c:pt idx="281">
                  <c:v>0.17035726210350607</c:v>
                </c:pt>
                <c:pt idx="282">
                  <c:v>0.17035726210350607</c:v>
                </c:pt>
                <c:pt idx="283">
                  <c:v>0.17035726210350607</c:v>
                </c:pt>
                <c:pt idx="284">
                  <c:v>0.17035726210350607</c:v>
                </c:pt>
                <c:pt idx="285">
                  <c:v>0.17035726210350607</c:v>
                </c:pt>
                <c:pt idx="286">
                  <c:v>0.17035726210350607</c:v>
                </c:pt>
                <c:pt idx="287">
                  <c:v>0.17035726210350607</c:v>
                </c:pt>
                <c:pt idx="288">
                  <c:v>0.17035726210350607</c:v>
                </c:pt>
                <c:pt idx="289">
                  <c:v>0.17035726210350607</c:v>
                </c:pt>
                <c:pt idx="290">
                  <c:v>0.17035726210350607</c:v>
                </c:pt>
                <c:pt idx="291">
                  <c:v>0.17035726210350607</c:v>
                </c:pt>
                <c:pt idx="292">
                  <c:v>0.17035726210350607</c:v>
                </c:pt>
                <c:pt idx="293">
                  <c:v>0.17035726210350607</c:v>
                </c:pt>
                <c:pt idx="294">
                  <c:v>0.17035726210350607</c:v>
                </c:pt>
                <c:pt idx="295">
                  <c:v>0.17035726210350607</c:v>
                </c:pt>
                <c:pt idx="296">
                  <c:v>0.17035726210350607</c:v>
                </c:pt>
                <c:pt idx="297">
                  <c:v>0.17035726210350607</c:v>
                </c:pt>
                <c:pt idx="298">
                  <c:v>0.17035726210350607</c:v>
                </c:pt>
                <c:pt idx="299">
                  <c:v>0.17035726210350607</c:v>
                </c:pt>
                <c:pt idx="300">
                  <c:v>0.17035726210350607</c:v>
                </c:pt>
                <c:pt idx="301">
                  <c:v>0.17035726210350607</c:v>
                </c:pt>
                <c:pt idx="302">
                  <c:v>0.17035726210350607</c:v>
                </c:pt>
                <c:pt idx="303">
                  <c:v>0.17035726210350607</c:v>
                </c:pt>
                <c:pt idx="304">
                  <c:v>0.17035726210350607</c:v>
                </c:pt>
                <c:pt idx="305">
                  <c:v>0.17035726210350607</c:v>
                </c:pt>
                <c:pt idx="306">
                  <c:v>0.17035726210350607</c:v>
                </c:pt>
                <c:pt idx="307">
                  <c:v>0.17035726210350607</c:v>
                </c:pt>
                <c:pt idx="308">
                  <c:v>0.17035726210350607</c:v>
                </c:pt>
                <c:pt idx="309">
                  <c:v>0.17035726210350607</c:v>
                </c:pt>
                <c:pt idx="310">
                  <c:v>0.17035726210350607</c:v>
                </c:pt>
                <c:pt idx="311">
                  <c:v>0.17035726210350607</c:v>
                </c:pt>
                <c:pt idx="312">
                  <c:v>0.17035726210350607</c:v>
                </c:pt>
                <c:pt idx="313">
                  <c:v>0.17035726210350607</c:v>
                </c:pt>
                <c:pt idx="314">
                  <c:v>0.17035726210350607</c:v>
                </c:pt>
                <c:pt idx="315">
                  <c:v>0.17035726210350607</c:v>
                </c:pt>
                <c:pt idx="316">
                  <c:v>0.17035726210350607</c:v>
                </c:pt>
                <c:pt idx="317">
                  <c:v>0.17035726210350607</c:v>
                </c:pt>
                <c:pt idx="318">
                  <c:v>0.17035726210350607</c:v>
                </c:pt>
                <c:pt idx="319">
                  <c:v>0.17035726210350607</c:v>
                </c:pt>
                <c:pt idx="320">
                  <c:v>0.17035726210350607</c:v>
                </c:pt>
                <c:pt idx="321">
                  <c:v>0.17035726210350607</c:v>
                </c:pt>
                <c:pt idx="322">
                  <c:v>0.17035726210350607</c:v>
                </c:pt>
                <c:pt idx="323">
                  <c:v>0.17035726210350607</c:v>
                </c:pt>
                <c:pt idx="324">
                  <c:v>0.17035726210350607</c:v>
                </c:pt>
                <c:pt idx="325">
                  <c:v>0.17035726210350607</c:v>
                </c:pt>
                <c:pt idx="326">
                  <c:v>0.17035726210350607</c:v>
                </c:pt>
                <c:pt idx="327">
                  <c:v>0.17035726210350607</c:v>
                </c:pt>
                <c:pt idx="328">
                  <c:v>0.17035726210350607</c:v>
                </c:pt>
                <c:pt idx="329">
                  <c:v>0.17035726210350607</c:v>
                </c:pt>
                <c:pt idx="330">
                  <c:v>0.17035726210350607</c:v>
                </c:pt>
                <c:pt idx="331">
                  <c:v>0.17035726210350607</c:v>
                </c:pt>
                <c:pt idx="332">
                  <c:v>0.17035726210350607</c:v>
                </c:pt>
                <c:pt idx="333">
                  <c:v>0.17035726210350607</c:v>
                </c:pt>
                <c:pt idx="334">
                  <c:v>0.17035726210350607</c:v>
                </c:pt>
                <c:pt idx="335">
                  <c:v>0.17035726210350607</c:v>
                </c:pt>
                <c:pt idx="336">
                  <c:v>0.17035726210350607</c:v>
                </c:pt>
                <c:pt idx="337">
                  <c:v>0.17035726210350607</c:v>
                </c:pt>
                <c:pt idx="338">
                  <c:v>0.17035726210350607</c:v>
                </c:pt>
                <c:pt idx="339">
                  <c:v>0.17035726210350607</c:v>
                </c:pt>
                <c:pt idx="340">
                  <c:v>0.17035726210350607</c:v>
                </c:pt>
                <c:pt idx="341">
                  <c:v>0.17035726210350607</c:v>
                </c:pt>
                <c:pt idx="342">
                  <c:v>0.17035726210350607</c:v>
                </c:pt>
                <c:pt idx="343">
                  <c:v>0.17035726210350607</c:v>
                </c:pt>
                <c:pt idx="344">
                  <c:v>0.17035726210350607</c:v>
                </c:pt>
                <c:pt idx="345">
                  <c:v>0.17035726210350607</c:v>
                </c:pt>
                <c:pt idx="346">
                  <c:v>0.17035726210350607</c:v>
                </c:pt>
                <c:pt idx="347">
                  <c:v>0.17035726210350607</c:v>
                </c:pt>
                <c:pt idx="348">
                  <c:v>0.17035726210350607</c:v>
                </c:pt>
                <c:pt idx="349">
                  <c:v>0.17035726210350607</c:v>
                </c:pt>
                <c:pt idx="350">
                  <c:v>0.17035726210350607</c:v>
                </c:pt>
                <c:pt idx="351">
                  <c:v>0.17035726210350607</c:v>
                </c:pt>
                <c:pt idx="352">
                  <c:v>0.17035726210350607</c:v>
                </c:pt>
                <c:pt idx="353">
                  <c:v>0.17035726210350607</c:v>
                </c:pt>
                <c:pt idx="354">
                  <c:v>0.17035726210350607</c:v>
                </c:pt>
                <c:pt idx="355">
                  <c:v>0.17035726210350607</c:v>
                </c:pt>
                <c:pt idx="356">
                  <c:v>0.17035726210350607</c:v>
                </c:pt>
                <c:pt idx="357">
                  <c:v>0.17035726210350607</c:v>
                </c:pt>
                <c:pt idx="358">
                  <c:v>0.17035726210350607</c:v>
                </c:pt>
                <c:pt idx="359">
                  <c:v>0.17035726210350607</c:v>
                </c:pt>
                <c:pt idx="360">
                  <c:v>0.17035726210350607</c:v>
                </c:pt>
                <c:pt idx="361">
                  <c:v>0.17035726210350607</c:v>
                </c:pt>
                <c:pt idx="362">
                  <c:v>0.17035726210350607</c:v>
                </c:pt>
                <c:pt idx="363">
                  <c:v>0.17035726210350607</c:v>
                </c:pt>
                <c:pt idx="364">
                  <c:v>0.17035726210350607</c:v>
                </c:pt>
                <c:pt idx="365">
                  <c:v>0.17035726210350607</c:v>
                </c:pt>
                <c:pt idx="366">
                  <c:v>0.17035726210350607</c:v>
                </c:pt>
                <c:pt idx="367">
                  <c:v>0.17035726210350607</c:v>
                </c:pt>
                <c:pt idx="368">
                  <c:v>0.17035726210350607</c:v>
                </c:pt>
                <c:pt idx="369">
                  <c:v>0.17035726210350607</c:v>
                </c:pt>
                <c:pt idx="370">
                  <c:v>0.17035726210350607</c:v>
                </c:pt>
                <c:pt idx="371">
                  <c:v>0.17035726210350607</c:v>
                </c:pt>
                <c:pt idx="372">
                  <c:v>0.17035726210350607</c:v>
                </c:pt>
                <c:pt idx="373">
                  <c:v>0.17035726210350607</c:v>
                </c:pt>
                <c:pt idx="374">
                  <c:v>0.17035726210350607</c:v>
                </c:pt>
                <c:pt idx="375">
                  <c:v>0.17035726210350607</c:v>
                </c:pt>
                <c:pt idx="376">
                  <c:v>0.17035726210350607</c:v>
                </c:pt>
                <c:pt idx="377">
                  <c:v>0.17035726210350607</c:v>
                </c:pt>
                <c:pt idx="378">
                  <c:v>0.17035726210350607</c:v>
                </c:pt>
                <c:pt idx="379">
                  <c:v>0.17035726210350607</c:v>
                </c:pt>
                <c:pt idx="380">
                  <c:v>0.17035726210350607</c:v>
                </c:pt>
                <c:pt idx="381">
                  <c:v>0.17035726210350607</c:v>
                </c:pt>
                <c:pt idx="382">
                  <c:v>0.17035726210350607</c:v>
                </c:pt>
                <c:pt idx="383">
                  <c:v>0.17035726210350607</c:v>
                </c:pt>
                <c:pt idx="384">
                  <c:v>0.17035726210350607</c:v>
                </c:pt>
                <c:pt idx="385">
                  <c:v>0.17035726210350607</c:v>
                </c:pt>
                <c:pt idx="386">
                  <c:v>0.17035726210350607</c:v>
                </c:pt>
                <c:pt idx="387">
                  <c:v>0.17035726210350607</c:v>
                </c:pt>
                <c:pt idx="388">
                  <c:v>0.17035726210350607</c:v>
                </c:pt>
                <c:pt idx="389">
                  <c:v>0.17035726210350607</c:v>
                </c:pt>
                <c:pt idx="390">
                  <c:v>0.17035726210350607</c:v>
                </c:pt>
                <c:pt idx="391">
                  <c:v>0.17035726210350607</c:v>
                </c:pt>
                <c:pt idx="392">
                  <c:v>0.17035726210350607</c:v>
                </c:pt>
                <c:pt idx="393">
                  <c:v>0.17035726210350607</c:v>
                </c:pt>
                <c:pt idx="394">
                  <c:v>0.17035726210350607</c:v>
                </c:pt>
                <c:pt idx="395">
                  <c:v>0.17035726210350607</c:v>
                </c:pt>
                <c:pt idx="396">
                  <c:v>0.17035726210350607</c:v>
                </c:pt>
                <c:pt idx="397">
                  <c:v>0.17035726210350607</c:v>
                </c:pt>
                <c:pt idx="398">
                  <c:v>0.17035726210350607</c:v>
                </c:pt>
                <c:pt idx="399">
                  <c:v>0.17035726210350607</c:v>
                </c:pt>
                <c:pt idx="400">
                  <c:v>0.17035726210350607</c:v>
                </c:pt>
                <c:pt idx="401">
                  <c:v>0.17035726210350607</c:v>
                </c:pt>
                <c:pt idx="402">
                  <c:v>0.17035726210350607</c:v>
                </c:pt>
                <c:pt idx="403">
                  <c:v>0.17035726210350607</c:v>
                </c:pt>
                <c:pt idx="404">
                  <c:v>0.17035726210350607</c:v>
                </c:pt>
                <c:pt idx="405">
                  <c:v>0.17035726210350607</c:v>
                </c:pt>
                <c:pt idx="406">
                  <c:v>0.17035726210350607</c:v>
                </c:pt>
                <c:pt idx="407">
                  <c:v>0.17035726210350607</c:v>
                </c:pt>
                <c:pt idx="408">
                  <c:v>0.17035726210350607</c:v>
                </c:pt>
                <c:pt idx="409">
                  <c:v>0.17035726210350607</c:v>
                </c:pt>
                <c:pt idx="410">
                  <c:v>0.17035726210350607</c:v>
                </c:pt>
                <c:pt idx="411">
                  <c:v>0.17035726210350607</c:v>
                </c:pt>
                <c:pt idx="412">
                  <c:v>0.17035726210350607</c:v>
                </c:pt>
                <c:pt idx="413">
                  <c:v>0.17035726210350607</c:v>
                </c:pt>
                <c:pt idx="414">
                  <c:v>0.17035726210350607</c:v>
                </c:pt>
                <c:pt idx="415">
                  <c:v>0.17035726210350607</c:v>
                </c:pt>
                <c:pt idx="416">
                  <c:v>0.17035726210350607</c:v>
                </c:pt>
                <c:pt idx="417">
                  <c:v>0.17035726210350607</c:v>
                </c:pt>
                <c:pt idx="418">
                  <c:v>0.17035726210350607</c:v>
                </c:pt>
                <c:pt idx="419">
                  <c:v>0.17035726210350607</c:v>
                </c:pt>
                <c:pt idx="420">
                  <c:v>0.17035726210350607</c:v>
                </c:pt>
                <c:pt idx="421">
                  <c:v>0.17035726210350607</c:v>
                </c:pt>
                <c:pt idx="422">
                  <c:v>0.17035726210350607</c:v>
                </c:pt>
                <c:pt idx="423">
                  <c:v>0.17035726210350607</c:v>
                </c:pt>
                <c:pt idx="424">
                  <c:v>0.17035726210350607</c:v>
                </c:pt>
                <c:pt idx="425">
                  <c:v>0.17035726210350607</c:v>
                </c:pt>
                <c:pt idx="426">
                  <c:v>0.17035726210350607</c:v>
                </c:pt>
                <c:pt idx="427">
                  <c:v>0.17035726210350607</c:v>
                </c:pt>
                <c:pt idx="428">
                  <c:v>0.17035726210350607</c:v>
                </c:pt>
                <c:pt idx="429">
                  <c:v>0.17035726210350607</c:v>
                </c:pt>
                <c:pt idx="430">
                  <c:v>0.17035726210350607</c:v>
                </c:pt>
                <c:pt idx="431">
                  <c:v>0.17035726210350607</c:v>
                </c:pt>
                <c:pt idx="432">
                  <c:v>0.17035726210350607</c:v>
                </c:pt>
                <c:pt idx="433">
                  <c:v>0.17035726210350607</c:v>
                </c:pt>
                <c:pt idx="434">
                  <c:v>0.17035726210350607</c:v>
                </c:pt>
                <c:pt idx="435">
                  <c:v>0.17035726210350607</c:v>
                </c:pt>
                <c:pt idx="436">
                  <c:v>0.17035726210350607</c:v>
                </c:pt>
                <c:pt idx="437">
                  <c:v>0.17035726210350607</c:v>
                </c:pt>
                <c:pt idx="438">
                  <c:v>0.17035726210350607</c:v>
                </c:pt>
                <c:pt idx="439">
                  <c:v>0.17035726210350607</c:v>
                </c:pt>
                <c:pt idx="440">
                  <c:v>0.17035726210350607</c:v>
                </c:pt>
                <c:pt idx="441">
                  <c:v>0.17035726210350607</c:v>
                </c:pt>
                <c:pt idx="442">
                  <c:v>0.17035726210350607</c:v>
                </c:pt>
                <c:pt idx="443">
                  <c:v>0.17035726210350607</c:v>
                </c:pt>
                <c:pt idx="444">
                  <c:v>0.17035726210350607</c:v>
                </c:pt>
                <c:pt idx="445">
                  <c:v>0.17035726210350607</c:v>
                </c:pt>
                <c:pt idx="446">
                  <c:v>0.17035726210350607</c:v>
                </c:pt>
                <c:pt idx="447">
                  <c:v>0.17035726210350607</c:v>
                </c:pt>
                <c:pt idx="448">
                  <c:v>0.17035726210350607</c:v>
                </c:pt>
                <c:pt idx="449">
                  <c:v>0.17035726210350607</c:v>
                </c:pt>
                <c:pt idx="450">
                  <c:v>0.17035726210350607</c:v>
                </c:pt>
                <c:pt idx="451">
                  <c:v>0.17035726210350607</c:v>
                </c:pt>
                <c:pt idx="452">
                  <c:v>0.17035726210350607</c:v>
                </c:pt>
                <c:pt idx="453">
                  <c:v>0.17035726210350607</c:v>
                </c:pt>
                <c:pt idx="454">
                  <c:v>0.17035726210350607</c:v>
                </c:pt>
                <c:pt idx="455">
                  <c:v>0.17035726210350607</c:v>
                </c:pt>
                <c:pt idx="456">
                  <c:v>0.17035726210350607</c:v>
                </c:pt>
                <c:pt idx="457">
                  <c:v>0.17035726210350607</c:v>
                </c:pt>
                <c:pt idx="458">
                  <c:v>0.17035726210350607</c:v>
                </c:pt>
                <c:pt idx="459">
                  <c:v>0.17035726210350607</c:v>
                </c:pt>
                <c:pt idx="460">
                  <c:v>0.17035726210350607</c:v>
                </c:pt>
                <c:pt idx="461">
                  <c:v>0.17035726210350607</c:v>
                </c:pt>
                <c:pt idx="462">
                  <c:v>0.17035726210350607</c:v>
                </c:pt>
                <c:pt idx="463">
                  <c:v>0.17035726210350607</c:v>
                </c:pt>
                <c:pt idx="464">
                  <c:v>0.17035726210350607</c:v>
                </c:pt>
                <c:pt idx="465">
                  <c:v>0.17035726210350607</c:v>
                </c:pt>
                <c:pt idx="466">
                  <c:v>0.17035726210350607</c:v>
                </c:pt>
                <c:pt idx="467">
                  <c:v>0.17035726210350607</c:v>
                </c:pt>
                <c:pt idx="468">
                  <c:v>0.17035726210350607</c:v>
                </c:pt>
                <c:pt idx="469">
                  <c:v>0.17035726210350607</c:v>
                </c:pt>
                <c:pt idx="470">
                  <c:v>0.17035726210350607</c:v>
                </c:pt>
                <c:pt idx="471">
                  <c:v>0.17035726210350607</c:v>
                </c:pt>
                <c:pt idx="472">
                  <c:v>0.17035726210350607</c:v>
                </c:pt>
                <c:pt idx="473">
                  <c:v>0.17035726210350607</c:v>
                </c:pt>
                <c:pt idx="474">
                  <c:v>0.17035726210350607</c:v>
                </c:pt>
                <c:pt idx="475">
                  <c:v>0.17035726210350607</c:v>
                </c:pt>
                <c:pt idx="476">
                  <c:v>0.17035726210350607</c:v>
                </c:pt>
                <c:pt idx="477">
                  <c:v>0.17035726210350607</c:v>
                </c:pt>
                <c:pt idx="478">
                  <c:v>0.17035726210350607</c:v>
                </c:pt>
                <c:pt idx="479">
                  <c:v>0.17035726210350607</c:v>
                </c:pt>
                <c:pt idx="480">
                  <c:v>0.17035726210350607</c:v>
                </c:pt>
                <c:pt idx="481">
                  <c:v>0.17035726210350607</c:v>
                </c:pt>
                <c:pt idx="482">
                  <c:v>0.17035726210350607</c:v>
                </c:pt>
                <c:pt idx="483">
                  <c:v>0.17035726210350607</c:v>
                </c:pt>
                <c:pt idx="484">
                  <c:v>0.17035726210350607</c:v>
                </c:pt>
                <c:pt idx="485">
                  <c:v>0.17035726210350607</c:v>
                </c:pt>
                <c:pt idx="486">
                  <c:v>0.17035726210350607</c:v>
                </c:pt>
                <c:pt idx="487">
                  <c:v>0.17035726210350607</c:v>
                </c:pt>
                <c:pt idx="488">
                  <c:v>0.17035726210350607</c:v>
                </c:pt>
                <c:pt idx="489">
                  <c:v>0.17035726210350607</c:v>
                </c:pt>
                <c:pt idx="490">
                  <c:v>0.17035726210350607</c:v>
                </c:pt>
                <c:pt idx="491">
                  <c:v>0.17035726210350607</c:v>
                </c:pt>
                <c:pt idx="492">
                  <c:v>0.17035726210350607</c:v>
                </c:pt>
                <c:pt idx="493">
                  <c:v>0.17035726210350607</c:v>
                </c:pt>
                <c:pt idx="494">
                  <c:v>0.17035726210350607</c:v>
                </c:pt>
                <c:pt idx="495">
                  <c:v>0.17035726210350607</c:v>
                </c:pt>
                <c:pt idx="496">
                  <c:v>0.17035726210350607</c:v>
                </c:pt>
                <c:pt idx="497">
                  <c:v>0.17035726210350607</c:v>
                </c:pt>
                <c:pt idx="498">
                  <c:v>0.17035726210350607</c:v>
                </c:pt>
                <c:pt idx="499">
                  <c:v>0.17035726210350607</c:v>
                </c:pt>
                <c:pt idx="500">
                  <c:v>0.17035726210350607</c:v>
                </c:pt>
                <c:pt idx="501">
                  <c:v>0.17035726210350607</c:v>
                </c:pt>
                <c:pt idx="502">
                  <c:v>0.17035726210350607</c:v>
                </c:pt>
                <c:pt idx="503">
                  <c:v>0.17035726210350607</c:v>
                </c:pt>
                <c:pt idx="504">
                  <c:v>0.17035726210350607</c:v>
                </c:pt>
                <c:pt idx="505">
                  <c:v>0.17035726210350607</c:v>
                </c:pt>
                <c:pt idx="506">
                  <c:v>0.17035726210350607</c:v>
                </c:pt>
                <c:pt idx="507">
                  <c:v>0.17035726210350607</c:v>
                </c:pt>
                <c:pt idx="508">
                  <c:v>0.17035726210350607</c:v>
                </c:pt>
                <c:pt idx="509">
                  <c:v>0.17035726210350607</c:v>
                </c:pt>
                <c:pt idx="510">
                  <c:v>0.17035726210350607</c:v>
                </c:pt>
                <c:pt idx="511">
                  <c:v>0.17035726210350607</c:v>
                </c:pt>
                <c:pt idx="512">
                  <c:v>0.17035726210350607</c:v>
                </c:pt>
                <c:pt idx="513">
                  <c:v>0.17035726210350607</c:v>
                </c:pt>
                <c:pt idx="514">
                  <c:v>0.17035726210350607</c:v>
                </c:pt>
                <c:pt idx="515">
                  <c:v>0.17035726210350607</c:v>
                </c:pt>
                <c:pt idx="516">
                  <c:v>0.17035726210350607</c:v>
                </c:pt>
                <c:pt idx="517">
                  <c:v>0.17035726210350607</c:v>
                </c:pt>
                <c:pt idx="518">
                  <c:v>0.17035726210350607</c:v>
                </c:pt>
                <c:pt idx="519">
                  <c:v>0.17035726210350607</c:v>
                </c:pt>
                <c:pt idx="520">
                  <c:v>0.17035726210350607</c:v>
                </c:pt>
                <c:pt idx="521">
                  <c:v>0.17035726210350607</c:v>
                </c:pt>
                <c:pt idx="522">
                  <c:v>0.17035726210350607</c:v>
                </c:pt>
                <c:pt idx="523">
                  <c:v>0.17035726210350607</c:v>
                </c:pt>
                <c:pt idx="524">
                  <c:v>0.17035726210350607</c:v>
                </c:pt>
                <c:pt idx="525">
                  <c:v>0.17035726210350607</c:v>
                </c:pt>
                <c:pt idx="526">
                  <c:v>0.17035726210350607</c:v>
                </c:pt>
                <c:pt idx="527">
                  <c:v>0.17035726210350607</c:v>
                </c:pt>
                <c:pt idx="528">
                  <c:v>0.17035726210350607</c:v>
                </c:pt>
                <c:pt idx="529">
                  <c:v>0.17035726210350607</c:v>
                </c:pt>
                <c:pt idx="530">
                  <c:v>0.17035726210350607</c:v>
                </c:pt>
                <c:pt idx="531">
                  <c:v>0.17035726210350607</c:v>
                </c:pt>
                <c:pt idx="532">
                  <c:v>0.17035726210350607</c:v>
                </c:pt>
                <c:pt idx="533">
                  <c:v>0.17035726210350607</c:v>
                </c:pt>
                <c:pt idx="534">
                  <c:v>0.17035726210350607</c:v>
                </c:pt>
                <c:pt idx="535">
                  <c:v>0.17035726210350607</c:v>
                </c:pt>
                <c:pt idx="536">
                  <c:v>0.17035726210350607</c:v>
                </c:pt>
                <c:pt idx="537">
                  <c:v>0.17035726210350607</c:v>
                </c:pt>
                <c:pt idx="538">
                  <c:v>0.17035726210350607</c:v>
                </c:pt>
                <c:pt idx="539">
                  <c:v>0.17035726210350607</c:v>
                </c:pt>
                <c:pt idx="540">
                  <c:v>0.17035726210350607</c:v>
                </c:pt>
                <c:pt idx="541">
                  <c:v>0.17035726210350607</c:v>
                </c:pt>
                <c:pt idx="542">
                  <c:v>0.17035726210350607</c:v>
                </c:pt>
                <c:pt idx="543">
                  <c:v>0.17035726210350607</c:v>
                </c:pt>
                <c:pt idx="544">
                  <c:v>0.17035726210350607</c:v>
                </c:pt>
                <c:pt idx="545">
                  <c:v>0.17035726210350607</c:v>
                </c:pt>
                <c:pt idx="546">
                  <c:v>0.17035726210350607</c:v>
                </c:pt>
                <c:pt idx="547">
                  <c:v>0.17035726210350607</c:v>
                </c:pt>
                <c:pt idx="548">
                  <c:v>0.17035726210350607</c:v>
                </c:pt>
                <c:pt idx="549">
                  <c:v>0.17035726210350607</c:v>
                </c:pt>
                <c:pt idx="550">
                  <c:v>0.17035726210350607</c:v>
                </c:pt>
                <c:pt idx="551">
                  <c:v>0.17035726210350607</c:v>
                </c:pt>
                <c:pt idx="552">
                  <c:v>0.17035726210350607</c:v>
                </c:pt>
                <c:pt idx="553">
                  <c:v>0.17035726210350607</c:v>
                </c:pt>
                <c:pt idx="554">
                  <c:v>0.17035726210350607</c:v>
                </c:pt>
                <c:pt idx="555">
                  <c:v>0.17035726210350607</c:v>
                </c:pt>
                <c:pt idx="556">
                  <c:v>0.17035726210350607</c:v>
                </c:pt>
                <c:pt idx="557">
                  <c:v>0.17035726210350607</c:v>
                </c:pt>
                <c:pt idx="558">
                  <c:v>0.17035726210350607</c:v>
                </c:pt>
                <c:pt idx="559">
                  <c:v>0.17035726210350607</c:v>
                </c:pt>
                <c:pt idx="560">
                  <c:v>0.17035726210350607</c:v>
                </c:pt>
                <c:pt idx="561">
                  <c:v>0.17035726210350607</c:v>
                </c:pt>
                <c:pt idx="562">
                  <c:v>0.17035726210350607</c:v>
                </c:pt>
                <c:pt idx="563">
                  <c:v>0.17035726210350607</c:v>
                </c:pt>
                <c:pt idx="564">
                  <c:v>0.17035726210350607</c:v>
                </c:pt>
                <c:pt idx="565">
                  <c:v>0.17035726210350607</c:v>
                </c:pt>
                <c:pt idx="566">
                  <c:v>0.17035726210350607</c:v>
                </c:pt>
                <c:pt idx="567">
                  <c:v>0.17035726210350607</c:v>
                </c:pt>
                <c:pt idx="568">
                  <c:v>0.17035726210350607</c:v>
                </c:pt>
                <c:pt idx="569">
                  <c:v>0.17035726210350607</c:v>
                </c:pt>
                <c:pt idx="570">
                  <c:v>0.17035726210350607</c:v>
                </c:pt>
                <c:pt idx="571">
                  <c:v>0.17035726210350607</c:v>
                </c:pt>
                <c:pt idx="572">
                  <c:v>0.17035726210350607</c:v>
                </c:pt>
                <c:pt idx="573">
                  <c:v>0.17035726210350607</c:v>
                </c:pt>
                <c:pt idx="574">
                  <c:v>0.17035726210350607</c:v>
                </c:pt>
                <c:pt idx="575">
                  <c:v>0.17035726210350607</c:v>
                </c:pt>
                <c:pt idx="576">
                  <c:v>0.17035726210350607</c:v>
                </c:pt>
                <c:pt idx="577">
                  <c:v>0.17035726210350607</c:v>
                </c:pt>
                <c:pt idx="578">
                  <c:v>0.17035726210350607</c:v>
                </c:pt>
                <c:pt idx="579">
                  <c:v>0.17035726210350607</c:v>
                </c:pt>
                <c:pt idx="580">
                  <c:v>0.17035726210350607</c:v>
                </c:pt>
                <c:pt idx="581">
                  <c:v>0.17035726210350607</c:v>
                </c:pt>
                <c:pt idx="582">
                  <c:v>0.17035726210350607</c:v>
                </c:pt>
                <c:pt idx="583">
                  <c:v>0.17035726210350607</c:v>
                </c:pt>
                <c:pt idx="584">
                  <c:v>0.17035726210350607</c:v>
                </c:pt>
                <c:pt idx="585">
                  <c:v>0.17035726210350607</c:v>
                </c:pt>
                <c:pt idx="586">
                  <c:v>0.17035726210350607</c:v>
                </c:pt>
                <c:pt idx="587">
                  <c:v>0.17035726210350607</c:v>
                </c:pt>
                <c:pt idx="588">
                  <c:v>0.17035726210350607</c:v>
                </c:pt>
                <c:pt idx="589">
                  <c:v>0.17035726210350607</c:v>
                </c:pt>
                <c:pt idx="590">
                  <c:v>0.17035726210350607</c:v>
                </c:pt>
                <c:pt idx="591">
                  <c:v>0.17035726210350607</c:v>
                </c:pt>
                <c:pt idx="592">
                  <c:v>0.17035726210350607</c:v>
                </c:pt>
                <c:pt idx="593">
                  <c:v>0.17035726210350607</c:v>
                </c:pt>
                <c:pt idx="594">
                  <c:v>0.17035726210350607</c:v>
                </c:pt>
                <c:pt idx="595">
                  <c:v>0.17035726210350607</c:v>
                </c:pt>
                <c:pt idx="596">
                  <c:v>0.17035726210350607</c:v>
                </c:pt>
                <c:pt idx="597">
                  <c:v>0.17035726210350607</c:v>
                </c:pt>
                <c:pt idx="598">
                  <c:v>0.17035726210350607</c:v>
                </c:pt>
                <c:pt idx="599">
                  <c:v>0.17035726210350607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139-4925-BA07-0B08B90DEBA2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TTV_IMR!$A$13:$A$612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TTV_IMR!$I$13:$I$612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139-4925-BA07-0B08B90D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612</xdr:row>
      <xdr:rowOff>0</xdr:rowOff>
    </xdr:from>
    <xdr:ext cx="79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631</xdr:row>
      <xdr:rowOff>0</xdr:rowOff>
    </xdr:from>
    <xdr:ext cx="79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614</xdr:row>
      <xdr:rowOff>0</xdr:rowOff>
    </xdr:from>
    <xdr:ext cx="79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633</xdr:row>
      <xdr:rowOff>0</xdr:rowOff>
    </xdr:from>
    <xdr:ext cx="79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614</xdr:row>
      <xdr:rowOff>0</xdr:rowOff>
    </xdr:from>
    <xdr:ext cx="79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633</xdr:row>
      <xdr:rowOff>0</xdr:rowOff>
    </xdr:from>
    <xdr:ext cx="79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zoomScale="90" zoomScaleNormal="90" workbookViewId="0">
      <selection activeCell="E21" sqref="E21:H21"/>
    </sheetView>
  </sheetViews>
  <sheetFormatPr defaultRowHeight="15.75"/>
  <cols>
    <col min="1" max="1" width="4" style="6" customWidth="1"/>
    <col min="2" max="10" width="14" style="6" customWidth="1"/>
    <col min="11" max="11" width="12.85546875" style="6" bestFit="1" customWidth="1"/>
    <col min="12" max="16384" width="9.140625" style="6"/>
  </cols>
  <sheetData>
    <row r="1" spans="1:11" ht="27.95" customHeight="1">
      <c r="A1" s="30" t="s">
        <v>677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>
      <c r="A2" s="32" t="s">
        <v>722</v>
      </c>
      <c r="B2" s="31"/>
      <c r="C2" s="31"/>
      <c r="D2" s="32" t="s">
        <v>678</v>
      </c>
      <c r="E2" s="31"/>
      <c r="F2" s="31"/>
      <c r="G2" s="32" t="s">
        <v>721</v>
      </c>
      <c r="H2" s="31"/>
      <c r="I2" s="31"/>
      <c r="J2" s="32" t="s">
        <v>679</v>
      </c>
      <c r="K2" s="31"/>
    </row>
    <row r="3" spans="1:11" ht="16.5">
      <c r="A3" s="33" t="s">
        <v>680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45" customHeight="1">
      <c r="A4" s="34" t="s">
        <v>681</v>
      </c>
      <c r="B4" s="35"/>
      <c r="C4" s="35"/>
      <c r="D4" s="36" t="s">
        <v>682</v>
      </c>
      <c r="E4" s="31"/>
      <c r="F4" s="31"/>
      <c r="G4" s="36" t="s">
        <v>683</v>
      </c>
      <c r="H4" s="31"/>
      <c r="I4" s="31"/>
      <c r="J4" s="34" t="s">
        <v>684</v>
      </c>
      <c r="K4" s="35"/>
    </row>
    <row r="5" spans="1:11" ht="20.100000000000001" customHeight="1">
      <c r="A5" s="36" t="s">
        <v>685</v>
      </c>
      <c r="B5" s="31"/>
      <c r="C5" s="31"/>
      <c r="D5" s="36" t="s">
        <v>686</v>
      </c>
      <c r="E5" s="31"/>
      <c r="F5" s="31"/>
      <c r="G5" s="36" t="s">
        <v>687</v>
      </c>
      <c r="H5" s="31"/>
      <c r="I5" s="31"/>
      <c r="J5" s="36" t="s">
        <v>688</v>
      </c>
      <c r="K5" s="31"/>
    </row>
    <row r="6" spans="1:11" ht="20.100000000000001" customHeight="1">
      <c r="A6" s="36" t="s">
        <v>689</v>
      </c>
      <c r="B6" s="31"/>
      <c r="C6" s="31"/>
      <c r="D6" s="36" t="s">
        <v>690</v>
      </c>
      <c r="E6" s="31"/>
      <c r="F6" s="31"/>
      <c r="G6" s="36" t="s">
        <v>691</v>
      </c>
      <c r="H6" s="31"/>
      <c r="I6" s="31"/>
      <c r="J6" s="36" t="s">
        <v>692</v>
      </c>
      <c r="K6" s="31"/>
    </row>
    <row r="7" spans="1:11" ht="20.100000000000001" customHeight="1">
      <c r="A7" s="36" t="s">
        <v>693</v>
      </c>
      <c r="B7" s="31"/>
      <c r="C7" s="31"/>
      <c r="D7" s="36" t="s">
        <v>694</v>
      </c>
      <c r="E7" s="31"/>
      <c r="F7" s="31"/>
      <c r="G7" s="36"/>
      <c r="H7" s="31"/>
      <c r="I7" s="31"/>
      <c r="J7" s="36" t="s">
        <v>695</v>
      </c>
      <c r="K7" s="31"/>
    </row>
    <row r="8" spans="1:11" ht="16.5">
      <c r="A8" s="33" t="s">
        <v>696</v>
      </c>
      <c r="B8" s="31"/>
      <c r="C8" s="31"/>
      <c r="D8" s="31"/>
      <c r="E8" s="31"/>
      <c r="F8" s="31"/>
      <c r="G8" s="31"/>
      <c r="H8" s="31"/>
      <c r="I8" s="31"/>
      <c r="J8" s="31"/>
      <c r="K8" s="31"/>
    </row>
    <row r="9" spans="1:11" ht="38.1" customHeight="1">
      <c r="A9" s="36" t="s">
        <v>697</v>
      </c>
      <c r="B9" s="31"/>
      <c r="C9" s="31"/>
      <c r="D9" s="36" t="s">
        <v>698</v>
      </c>
      <c r="E9" s="31"/>
      <c r="F9" s="31"/>
      <c r="G9" s="36"/>
      <c r="H9" s="31"/>
      <c r="I9" s="31"/>
      <c r="J9" s="36"/>
      <c r="K9" s="31"/>
    </row>
    <row r="10" spans="1:11">
      <c r="A10" s="31" t="s">
        <v>699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15.75" customHeight="1">
      <c r="A11" s="37" t="s">
        <v>700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1" customHeight="1">
      <c r="A12" s="38" t="s">
        <v>701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ht="16.5">
      <c r="A13" s="33" t="s">
        <v>702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32.1" customHeight="1">
      <c r="A14" s="39" t="s">
        <v>703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</row>
    <row r="15" spans="1:11" ht="21.95" customHeight="1">
      <c r="A15" s="35" t="s">
        <v>704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21.95" customHeight="1" thickBot="1">
      <c r="A16" s="40" t="s">
        <v>705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7" spans="1:12" ht="63.75" thickBot="1">
      <c r="A17" s="42" t="s">
        <v>706</v>
      </c>
      <c r="B17" s="43" t="s">
        <v>2</v>
      </c>
      <c r="C17" s="43" t="s">
        <v>3</v>
      </c>
      <c r="D17" s="43" t="s">
        <v>707</v>
      </c>
      <c r="E17" s="43" t="s">
        <v>708</v>
      </c>
      <c r="F17" s="43" t="s">
        <v>6</v>
      </c>
      <c r="G17" s="44" t="s">
        <v>709</v>
      </c>
      <c r="H17" s="43" t="s">
        <v>710</v>
      </c>
      <c r="I17" s="43" t="s">
        <v>669</v>
      </c>
      <c r="J17" s="43" t="s">
        <v>711</v>
      </c>
      <c r="K17" s="43" t="s">
        <v>712</v>
      </c>
      <c r="L17" s="45" t="s">
        <v>713</v>
      </c>
    </row>
    <row r="18" spans="1:12" ht="31.5">
      <c r="A18" s="46" t="s">
        <v>714</v>
      </c>
      <c r="B18" s="47" t="s">
        <v>13</v>
      </c>
      <c r="C18" s="47">
        <v>600</v>
      </c>
      <c r="D18" s="47">
        <v>0</v>
      </c>
      <c r="E18" s="47">
        <v>150</v>
      </c>
      <c r="F18" s="47">
        <v>50.45</v>
      </c>
      <c r="G18" s="48">
        <v>14.298</v>
      </c>
      <c r="H18" s="48">
        <f>(E18-D18)/(6*$G$18)</f>
        <v>1.7484962931878585</v>
      </c>
      <c r="I18" s="48">
        <f>(E18-F18)/(3*$G$18)</f>
        <v>2.3208374131580176</v>
      </c>
      <c r="J18" s="49" t="s">
        <v>715</v>
      </c>
      <c r="K18" s="50" t="s">
        <v>715</v>
      </c>
      <c r="L18" s="23"/>
    </row>
    <row r="19" spans="1:12" ht="47.25">
      <c r="A19" s="51" t="s">
        <v>716</v>
      </c>
      <c r="B19" s="47" t="s">
        <v>13</v>
      </c>
      <c r="C19" s="47">
        <v>600</v>
      </c>
      <c r="D19" s="47">
        <v>695</v>
      </c>
      <c r="E19" s="47">
        <v>705</v>
      </c>
      <c r="F19" s="48">
        <v>701.26400000000001</v>
      </c>
      <c r="G19" s="52">
        <v>0.84799999999999998</v>
      </c>
      <c r="H19" s="48">
        <f>(E19-D19)/(6*$G$19)</f>
        <v>1.9654088050314464</v>
      </c>
      <c r="I19" s="48">
        <f>MIN((F19-D19)/(3*$G$19),(E19-F19)/(3*$G$19))</f>
        <v>1.4685534591194929</v>
      </c>
      <c r="J19" s="53" t="s">
        <v>715</v>
      </c>
      <c r="K19" s="54" t="s">
        <v>715</v>
      </c>
      <c r="L19" s="23"/>
    </row>
    <row r="20" spans="1:12" ht="31.5">
      <c r="A20" s="51" t="s">
        <v>717</v>
      </c>
      <c r="B20" s="47" t="s">
        <v>13</v>
      </c>
      <c r="C20" s="47">
        <v>600</v>
      </c>
      <c r="D20" s="47">
        <v>0</v>
      </c>
      <c r="E20" s="47">
        <v>2</v>
      </c>
      <c r="F20" s="48">
        <v>0.32700000000000001</v>
      </c>
      <c r="G20" s="52">
        <v>0.129</v>
      </c>
      <c r="H20" s="48">
        <f>(E20-D20)/(6*$G$20)</f>
        <v>2.5839793281653747</v>
      </c>
      <c r="I20" s="48">
        <f>(E20-F20)/(3*$G$20)</f>
        <v>4.3229974160206721</v>
      </c>
      <c r="J20" s="55" t="s">
        <v>715</v>
      </c>
      <c r="K20" s="56" t="s">
        <v>715</v>
      </c>
      <c r="L20" s="57"/>
    </row>
    <row r="21" spans="1:12" ht="21.95" customHeight="1" thickBot="1">
      <c r="A21" s="58" t="s">
        <v>718</v>
      </c>
      <c r="B21" s="59"/>
      <c r="C21" s="59"/>
      <c r="D21" s="60"/>
      <c r="E21" s="61" t="s">
        <v>719</v>
      </c>
      <c r="F21" s="59"/>
      <c r="G21" s="59"/>
      <c r="H21" s="59"/>
      <c r="I21" s="62" t="s">
        <v>720</v>
      </c>
      <c r="J21" s="63"/>
      <c r="K21" s="63"/>
      <c r="L21" s="63"/>
    </row>
    <row r="22" spans="1:12" ht="21.95" customHeight="1"/>
    <row r="23" spans="1:12" ht="21.95" customHeight="1"/>
    <row r="24" spans="1:12" ht="21.95" customHeight="1"/>
    <row r="25" spans="1:12" ht="21.95" customHeight="1"/>
    <row r="26" spans="1:12" ht="21.95" customHeight="1"/>
    <row r="27" spans="1:12" ht="21.95" customHeight="1"/>
    <row r="28" spans="1:12" ht="21.95" customHeight="1"/>
    <row r="29" spans="1:12" ht="21.95" customHeight="1"/>
    <row r="30" spans="1:12" ht="21.95" customHeight="1"/>
    <row r="31" spans="1:12" ht="21.95" customHeight="1"/>
    <row r="32" spans="1:1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8" ht="32.1" customHeight="1"/>
  </sheetData>
  <mergeCells count="37">
    <mergeCell ref="A21:D21"/>
    <mergeCell ref="E21:H21"/>
    <mergeCell ref="I21:L21"/>
    <mergeCell ref="A11:K11"/>
    <mergeCell ref="A12:K12"/>
    <mergeCell ref="A13:K13"/>
    <mergeCell ref="A14:K14"/>
    <mergeCell ref="A15:K15"/>
    <mergeCell ref="A16:K16"/>
    <mergeCell ref="A8:K8"/>
    <mergeCell ref="A9:C9"/>
    <mergeCell ref="D9:F9"/>
    <mergeCell ref="G9:I9"/>
    <mergeCell ref="J9:K9"/>
    <mergeCell ref="A10:K10"/>
    <mergeCell ref="A6:C6"/>
    <mergeCell ref="D6:F6"/>
    <mergeCell ref="G6:I6"/>
    <mergeCell ref="J6:K6"/>
    <mergeCell ref="A7:C7"/>
    <mergeCell ref="D7:F7"/>
    <mergeCell ref="G7:I7"/>
    <mergeCell ref="J7:K7"/>
    <mergeCell ref="A4:C4"/>
    <mergeCell ref="D4:F4"/>
    <mergeCell ref="G4:I4"/>
    <mergeCell ref="J4:K4"/>
    <mergeCell ref="A5:C5"/>
    <mergeCell ref="D5:F5"/>
    <mergeCell ref="G5:I5"/>
    <mergeCell ref="J5:K5"/>
    <mergeCell ref="A1:K1"/>
    <mergeCell ref="A2:C2"/>
    <mergeCell ref="D2:F2"/>
    <mergeCell ref="G2:I2"/>
    <mergeCell ref="J2:K2"/>
    <mergeCell ref="A3:K3"/>
  </mergeCells>
  <phoneticPr fontId="3" type="noConversion"/>
  <pageMargins left="0.75" right="0.75" top="1" bottom="1" header="0.5" footer="0.5"/>
  <pageSetup paperSize="9" scale="88" orientation="landscape" r:id="rId1"/>
  <headerFooter>
    <oddHeader>&amp;L&amp;C&amp;BMR12-03(001)A_Template&amp;B&amp;RMR12-03(001)A  生效日: 2025-12-21</oddHeader>
    <evenHeader>&amp;L&amp;C&amp;BMR12-03(001)A_Template&amp;B&amp;RMR12-03(001)A  生效日: 2025-12-21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sqref="A1:I1"/>
    </sheetView>
  </sheetViews>
  <sheetFormatPr defaultRowHeight="15.75"/>
  <cols>
    <col min="1" max="1" width="18" customWidth="1"/>
    <col min="2" max="2" width="20" customWidth="1"/>
    <col min="3" max="5" width="10" customWidth="1"/>
    <col min="6" max="8" width="12" customWidth="1"/>
    <col min="9" max="9" width="52.42578125" bestFit="1" customWidth="1"/>
  </cols>
  <sheetData>
    <row r="1" spans="1:9" ht="21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3" spans="1:9" ht="31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2" t="s">
        <v>11</v>
      </c>
      <c r="C4" s="3">
        <v>600</v>
      </c>
      <c r="D4" s="4">
        <f>Settings!B4</f>
        <v>0</v>
      </c>
      <c r="E4" s="4">
        <f>Settings!C4</f>
        <v>300</v>
      </c>
      <c r="F4" s="4">
        <f>AOI_u_Laney!F5</f>
        <v>23.186666666666667</v>
      </c>
      <c r="G4" s="4">
        <f>AOI_u_Laney!F8</f>
        <v>9.2278501995050863</v>
      </c>
      <c r="H4" s="4" t="e">
        <f ca="1">_xludf.STDEV.S(AOI_u_Laney!D11:D610)</f>
        <v>#NAME?</v>
      </c>
      <c r="I4" s="2" t="str">
        <f>"CPU="&amp;TEXT(AOI_u_Laney!F9,"0.000")&amp;", PPU="&amp;TEXT(AOI_u_Laney!F11,"0.000")&amp;"; OOC(u)="&amp;TEXT(AOI_u_Laney!I5,"0")&amp;", OOC(u′)="&amp;TEXT(AOI_u_Laney!I6,"0")</f>
        <v>CPU=9.999, PPU=23.187; OOC(u)=108, OOC(u′)=11</v>
      </c>
    </row>
    <row r="5" spans="1:9">
      <c r="A5" s="2" t="s">
        <v>12</v>
      </c>
      <c r="B5" s="2" t="s">
        <v>13</v>
      </c>
      <c r="C5" s="3">
        <v>600</v>
      </c>
      <c r="D5" s="4">
        <f>Settings!B5</f>
        <v>695</v>
      </c>
      <c r="E5" s="4">
        <f>Settings!C5</f>
        <v>705</v>
      </c>
      <c r="F5" s="4">
        <f>Thickness_IMR!G7</f>
        <v>700.98336000000052</v>
      </c>
      <c r="G5" s="4">
        <f>Thickness_IMR!G9</f>
        <v>0.95666832427568471</v>
      </c>
      <c r="H5" s="4">
        <f>Thickness_IMR!G10</f>
        <v>1.2611188610526898</v>
      </c>
      <c r="I5" s="2" t="str">
        <f>"Cp="&amp;TEXT(Thickness_IMR!G11,"0.000")&amp;", Cpk="&amp;TEXT(Thickness_IMR!G12,"0.000")&amp;", Pp="&amp;TEXT(Thickness_IMR!G13,"0.000")&amp;", Ppk="&amp;TEXT(Thickness_IMR!G14,"0.000")</f>
        <v>Cp=1.742, Cpk=1.400, Pp=1.322, Ppk=1.062</v>
      </c>
    </row>
    <row r="6" spans="1:9">
      <c r="A6" s="2" t="s">
        <v>14</v>
      </c>
      <c r="B6" s="2" t="s">
        <v>13</v>
      </c>
      <c r="C6" s="3">
        <v>600</v>
      </c>
      <c r="D6" s="4">
        <f>Settings!B6</f>
        <v>0</v>
      </c>
      <c r="E6" s="4">
        <f>Settings!C6</f>
        <v>4</v>
      </c>
      <c r="F6" s="4">
        <f>TTV_IMR!G7</f>
        <v>0.36946333333333364</v>
      </c>
      <c r="G6" s="4">
        <f>TTV_IMR!G9</f>
        <v>0.15102594158112242</v>
      </c>
      <c r="H6" s="4">
        <f>TTV_IMR!G10</f>
        <v>0.21430322390290951</v>
      </c>
      <c r="I6" s="2" t="str">
        <f>"Cp="&amp;TEXT(TTV_IMR!G11,"0.000")&amp;", Cpk="&amp;TEXT(TTV_IMR!G12,"0.000")&amp;", Pp="&amp;TEXT(TTV_IMR!G13,"0.000")&amp;", Ppk="&amp;TEXT(TTV_IMR!G14,"0.000")</f>
        <v>Cp=2.207, Cpk=0.815, Pp=1.555, Ppk=0.575</v>
      </c>
    </row>
    <row r="8" spans="1:9">
      <c r="A8" s="19" t="s">
        <v>15</v>
      </c>
      <c r="B8" s="18"/>
      <c r="C8" s="18"/>
      <c r="D8" s="18"/>
      <c r="E8" s="18"/>
      <c r="F8" s="18"/>
      <c r="G8" s="18"/>
      <c r="H8" s="18"/>
      <c r="I8" s="18"/>
    </row>
    <row r="9" spans="1:9">
      <c r="A9" s="18"/>
      <c r="B9" s="18"/>
      <c r="C9" s="18"/>
      <c r="D9" s="18"/>
      <c r="E9" s="18"/>
      <c r="F9" s="18"/>
      <c r="G9" s="18"/>
      <c r="H9" s="18"/>
      <c r="I9" s="18"/>
    </row>
    <row r="10" spans="1:9">
      <c r="A10" s="18"/>
      <c r="B10" s="18"/>
      <c r="C10" s="18"/>
      <c r="D10" s="18"/>
      <c r="E10" s="18"/>
      <c r="F10" s="18"/>
      <c r="G10" s="18"/>
      <c r="H10" s="18"/>
      <c r="I10" s="18"/>
    </row>
    <row r="11" spans="1:9">
      <c r="A11" s="18"/>
      <c r="B11" s="18"/>
      <c r="C11" s="18"/>
      <c r="D11" s="18"/>
      <c r="E11" s="18"/>
      <c r="F11" s="18"/>
      <c r="G11" s="18"/>
      <c r="H11" s="18"/>
      <c r="I11" s="18"/>
    </row>
    <row r="12" spans="1:9">
      <c r="A12" s="18"/>
      <c r="B12" s="18"/>
      <c r="C12" s="18"/>
      <c r="D12" s="18"/>
      <c r="E12" s="18"/>
      <c r="F12" s="18"/>
      <c r="G12" s="18"/>
      <c r="H12" s="18"/>
      <c r="I12" s="18"/>
    </row>
  </sheetData>
  <mergeCells count="2">
    <mergeCell ref="A1:I1"/>
    <mergeCell ref="A8:I1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7" sqref="C7"/>
    </sheetView>
  </sheetViews>
  <sheetFormatPr defaultRowHeight="15.75"/>
  <cols>
    <col min="1" max="1" width="26" customWidth="1"/>
    <col min="2" max="3" width="18" customWidth="1"/>
    <col min="4" max="4" width="60" customWidth="1"/>
  </cols>
  <sheetData>
    <row r="1" spans="1:4" ht="21">
      <c r="A1" s="17" t="s">
        <v>16</v>
      </c>
      <c r="B1" s="18"/>
      <c r="C1" s="18"/>
      <c r="D1" s="18"/>
    </row>
    <row r="3" spans="1:4">
      <c r="A3" s="1" t="s">
        <v>1</v>
      </c>
      <c r="B3" s="1" t="s">
        <v>4</v>
      </c>
      <c r="C3" s="1" t="s">
        <v>5</v>
      </c>
      <c r="D3" s="1" t="s">
        <v>17</v>
      </c>
    </row>
    <row r="4" spans="1:4">
      <c r="A4" s="15" t="s">
        <v>18</v>
      </c>
      <c r="B4" s="15">
        <v>0</v>
      </c>
      <c r="C4" s="15">
        <v>300</v>
      </c>
      <c r="D4" s="15" t="s">
        <v>19</v>
      </c>
    </row>
    <row r="5" spans="1:4">
      <c r="A5" s="15" t="s">
        <v>20</v>
      </c>
      <c r="B5" s="15">
        <v>695</v>
      </c>
      <c r="C5" s="15">
        <v>705</v>
      </c>
      <c r="D5" s="15" t="s">
        <v>21</v>
      </c>
    </row>
    <row r="6" spans="1:4">
      <c r="A6" s="15" t="s">
        <v>22</v>
      </c>
      <c r="B6" s="15">
        <v>0</v>
      </c>
      <c r="C6" s="15">
        <v>4</v>
      </c>
      <c r="D6" s="15" t="s">
        <v>21</v>
      </c>
    </row>
  </sheetData>
  <mergeCells count="1">
    <mergeCell ref="A1:D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workbookViewId="0">
      <pane ySplit="1" topLeftCell="A452" activePane="bottomLeft" state="frozen"/>
      <selection pane="bottomLeft" activeCell="B4" sqref="B4"/>
    </sheetView>
  </sheetViews>
  <sheetFormatPr defaultRowHeight="15.75"/>
  <cols>
    <col min="1" max="3" width="14" customWidth="1"/>
    <col min="4" max="4" width="18" customWidth="1"/>
    <col min="5" max="5" width="14" customWidth="1"/>
    <col min="6" max="6" width="15.7109375" customWidth="1"/>
    <col min="7" max="7" width="14" customWidth="1"/>
  </cols>
  <sheetData>
    <row r="1" spans="1:7">
      <c r="A1" s="26" t="s">
        <v>23</v>
      </c>
      <c r="B1" s="26" t="s">
        <v>24</v>
      </c>
      <c r="C1" s="26" t="s">
        <v>25</v>
      </c>
      <c r="D1" s="26" t="s">
        <v>26</v>
      </c>
      <c r="E1" s="26" t="s">
        <v>27</v>
      </c>
      <c r="F1" s="26" t="s">
        <v>28</v>
      </c>
      <c r="G1" s="26" t="s">
        <v>29</v>
      </c>
    </row>
    <row r="2" spans="1:7">
      <c r="A2" s="9" t="s">
        <v>30</v>
      </c>
      <c r="B2" s="9">
        <v>1</v>
      </c>
      <c r="C2" s="9">
        <v>25</v>
      </c>
      <c r="D2" s="9" t="s">
        <v>31</v>
      </c>
      <c r="E2" s="9">
        <v>9</v>
      </c>
      <c r="F2" s="9">
        <v>701.52</v>
      </c>
      <c r="G2" s="9">
        <v>0.72199999999999998</v>
      </c>
    </row>
    <row r="3" spans="1:7">
      <c r="A3" s="9" t="s">
        <v>30</v>
      </c>
      <c r="B3" s="9">
        <v>1</v>
      </c>
      <c r="C3" s="9">
        <v>24</v>
      </c>
      <c r="D3" s="9" t="s">
        <v>32</v>
      </c>
      <c r="E3" s="9">
        <v>29</v>
      </c>
      <c r="F3" s="9">
        <v>703.13400000000001</v>
      </c>
      <c r="G3" s="9">
        <v>0.159</v>
      </c>
    </row>
    <row r="4" spans="1:7">
      <c r="A4" s="9" t="s">
        <v>30</v>
      </c>
      <c r="B4" s="9">
        <v>1</v>
      </c>
      <c r="C4" s="9">
        <v>23</v>
      </c>
      <c r="D4" s="9" t="s">
        <v>33</v>
      </c>
      <c r="E4" s="9">
        <v>29</v>
      </c>
      <c r="F4" s="9">
        <v>702.59500000000003</v>
      </c>
      <c r="G4" s="9">
        <v>6.6000000000000003E-2</v>
      </c>
    </row>
    <row r="5" spans="1:7">
      <c r="A5" s="9" t="s">
        <v>30</v>
      </c>
      <c r="B5" s="9">
        <v>1</v>
      </c>
      <c r="C5" s="9">
        <v>22</v>
      </c>
      <c r="D5" s="9" t="s">
        <v>34</v>
      </c>
      <c r="E5" s="9">
        <v>21</v>
      </c>
      <c r="F5" s="9">
        <v>700.29499999999996</v>
      </c>
      <c r="G5" s="9">
        <v>0.36099999999999999</v>
      </c>
    </row>
    <row r="6" spans="1:7">
      <c r="A6" s="9" t="s">
        <v>30</v>
      </c>
      <c r="B6" s="9">
        <v>1</v>
      </c>
      <c r="C6" s="9">
        <v>21</v>
      </c>
      <c r="D6" s="9" t="s">
        <v>35</v>
      </c>
      <c r="E6" s="9">
        <v>38</v>
      </c>
      <c r="F6" s="9">
        <v>702.40899999999999</v>
      </c>
      <c r="G6" s="9">
        <v>0.27900000000000003</v>
      </c>
    </row>
    <row r="7" spans="1:7">
      <c r="A7" s="9" t="s">
        <v>30</v>
      </c>
      <c r="B7" s="9">
        <v>1</v>
      </c>
      <c r="C7" s="9">
        <v>20</v>
      </c>
      <c r="D7" s="9" t="s">
        <v>36</v>
      </c>
      <c r="E7" s="9">
        <v>15</v>
      </c>
      <c r="F7" s="9">
        <v>703.72799999999995</v>
      </c>
      <c r="G7" s="9">
        <v>0.28299999999999997</v>
      </c>
    </row>
    <row r="8" spans="1:7">
      <c r="A8" s="9" t="s">
        <v>30</v>
      </c>
      <c r="B8" s="9">
        <v>1</v>
      </c>
      <c r="C8" s="9">
        <v>19</v>
      </c>
      <c r="D8" s="9" t="s">
        <v>37</v>
      </c>
      <c r="E8" s="9">
        <v>15</v>
      </c>
      <c r="F8" s="9">
        <v>703.63199999999995</v>
      </c>
      <c r="G8" s="9">
        <v>0.29899999999999999</v>
      </c>
    </row>
    <row r="9" spans="1:7">
      <c r="A9" s="9" t="s">
        <v>30</v>
      </c>
      <c r="B9" s="9">
        <v>1</v>
      </c>
      <c r="C9" s="9">
        <v>18</v>
      </c>
      <c r="D9" s="9" t="s">
        <v>38</v>
      </c>
      <c r="E9" s="9">
        <v>8</v>
      </c>
      <c r="F9" s="9">
        <v>702.16099999999994</v>
      </c>
      <c r="G9" s="9">
        <v>0.55200000000000005</v>
      </c>
    </row>
    <row r="10" spans="1:7">
      <c r="A10" s="9" t="s">
        <v>30</v>
      </c>
      <c r="B10" s="9">
        <v>1</v>
      </c>
      <c r="C10" s="9">
        <v>17</v>
      </c>
      <c r="D10" s="9" t="s">
        <v>39</v>
      </c>
      <c r="E10" s="9">
        <v>18</v>
      </c>
      <c r="F10" s="9">
        <v>700.49599999999998</v>
      </c>
      <c r="G10" s="9">
        <v>0.40799999999999997</v>
      </c>
    </row>
    <row r="11" spans="1:7">
      <c r="A11" s="9" t="s">
        <v>30</v>
      </c>
      <c r="B11" s="9">
        <v>1</v>
      </c>
      <c r="C11" s="9">
        <v>16</v>
      </c>
      <c r="D11" s="9" t="s">
        <v>40</v>
      </c>
      <c r="E11" s="9">
        <v>19</v>
      </c>
      <c r="F11" s="9">
        <v>699.45600000000002</v>
      </c>
      <c r="G11" s="9">
        <v>0.51800000000000002</v>
      </c>
    </row>
    <row r="12" spans="1:7">
      <c r="A12" s="9" t="s">
        <v>30</v>
      </c>
      <c r="B12" s="9">
        <v>1</v>
      </c>
      <c r="C12" s="9">
        <v>15</v>
      </c>
      <c r="D12" s="9" t="s">
        <v>41</v>
      </c>
      <c r="E12" s="9">
        <v>14</v>
      </c>
      <c r="F12" s="9">
        <v>700.75099999999998</v>
      </c>
      <c r="G12" s="9">
        <v>0.495</v>
      </c>
    </row>
    <row r="13" spans="1:7">
      <c r="A13" s="9" t="s">
        <v>30</v>
      </c>
      <c r="B13" s="9">
        <v>1</v>
      </c>
      <c r="C13" s="9">
        <v>14</v>
      </c>
      <c r="D13" s="9" t="s">
        <v>42</v>
      </c>
      <c r="E13" s="9">
        <v>13</v>
      </c>
      <c r="F13" s="9">
        <v>700.69500000000005</v>
      </c>
      <c r="G13" s="9">
        <v>0.45300000000000001</v>
      </c>
    </row>
    <row r="14" spans="1:7">
      <c r="A14" s="9" t="s">
        <v>30</v>
      </c>
      <c r="B14" s="9">
        <v>1</v>
      </c>
      <c r="C14" s="9">
        <v>13</v>
      </c>
      <c r="D14" s="9" t="s">
        <v>43</v>
      </c>
      <c r="E14" s="9">
        <v>8</v>
      </c>
      <c r="F14" s="9">
        <v>703.56899999999996</v>
      </c>
      <c r="G14" s="9">
        <v>0.33</v>
      </c>
    </row>
    <row r="15" spans="1:7">
      <c r="A15" s="9" t="s">
        <v>30</v>
      </c>
      <c r="B15" s="9">
        <v>1</v>
      </c>
      <c r="C15" s="9">
        <v>12</v>
      </c>
      <c r="D15" s="9" t="s">
        <v>44</v>
      </c>
      <c r="E15" s="9">
        <v>6</v>
      </c>
      <c r="F15" s="9">
        <v>702.75400000000002</v>
      </c>
      <c r="G15" s="9">
        <v>0.51900000000000002</v>
      </c>
    </row>
    <row r="16" spans="1:7">
      <c r="A16" s="9" t="s">
        <v>30</v>
      </c>
      <c r="B16" s="9">
        <v>1</v>
      </c>
      <c r="C16" s="9">
        <v>11</v>
      </c>
      <c r="D16" s="9" t="s">
        <v>45</v>
      </c>
      <c r="E16" s="9">
        <v>16</v>
      </c>
      <c r="F16" s="9">
        <v>702.56799999999998</v>
      </c>
      <c r="G16" s="9">
        <v>0.34100000000000003</v>
      </c>
    </row>
    <row r="17" spans="1:7">
      <c r="A17" s="9" t="s">
        <v>30</v>
      </c>
      <c r="B17" s="9">
        <v>1</v>
      </c>
      <c r="C17" s="9">
        <v>10</v>
      </c>
      <c r="D17" s="9" t="s">
        <v>46</v>
      </c>
      <c r="E17" s="9">
        <v>27</v>
      </c>
      <c r="F17" s="9">
        <v>701.32799999999997</v>
      </c>
      <c r="G17" s="9">
        <v>0.996</v>
      </c>
    </row>
    <row r="18" spans="1:7">
      <c r="A18" s="9" t="s">
        <v>30</v>
      </c>
      <c r="B18" s="9">
        <v>1</v>
      </c>
      <c r="C18" s="9">
        <v>9</v>
      </c>
      <c r="D18" s="9" t="s">
        <v>47</v>
      </c>
      <c r="E18" s="9">
        <v>13</v>
      </c>
      <c r="F18" s="9">
        <v>702.09699999999998</v>
      </c>
      <c r="G18" s="9">
        <v>0.252</v>
      </c>
    </row>
    <row r="19" spans="1:7">
      <c r="A19" s="9" t="s">
        <v>30</v>
      </c>
      <c r="B19" s="9">
        <v>1</v>
      </c>
      <c r="C19" s="9">
        <v>8</v>
      </c>
      <c r="D19" s="9" t="s">
        <v>48</v>
      </c>
      <c r="E19" s="9">
        <v>11</v>
      </c>
      <c r="F19" s="9">
        <v>702.35199999999998</v>
      </c>
      <c r="G19" s="9">
        <v>0.13</v>
      </c>
    </row>
    <row r="20" spans="1:7">
      <c r="A20" s="9" t="s">
        <v>30</v>
      </c>
      <c r="B20" s="9">
        <v>1</v>
      </c>
      <c r="C20" s="9">
        <v>7</v>
      </c>
      <c r="D20" s="9" t="s">
        <v>49</v>
      </c>
      <c r="E20" s="9">
        <v>40</v>
      </c>
      <c r="F20" s="9">
        <v>702.125</v>
      </c>
      <c r="G20" s="9">
        <v>0.44800000000000001</v>
      </c>
    </row>
    <row r="21" spans="1:7">
      <c r="A21" s="9" t="s">
        <v>30</v>
      </c>
      <c r="B21" s="9">
        <v>1</v>
      </c>
      <c r="C21" s="9">
        <v>6</v>
      </c>
      <c r="D21" s="9" t="s">
        <v>50</v>
      </c>
      <c r="E21" s="9">
        <v>18</v>
      </c>
      <c r="F21" s="9">
        <v>699.53800000000001</v>
      </c>
      <c r="G21" s="9">
        <v>0.434</v>
      </c>
    </row>
    <row r="22" spans="1:7">
      <c r="A22" s="9" t="s">
        <v>30</v>
      </c>
      <c r="B22" s="9">
        <v>1</v>
      </c>
      <c r="C22" s="9">
        <v>5</v>
      </c>
      <c r="D22" s="9" t="s">
        <v>51</v>
      </c>
      <c r="E22" s="9">
        <v>21</v>
      </c>
      <c r="F22" s="9">
        <v>700.24400000000003</v>
      </c>
      <c r="G22" s="9">
        <v>0.215</v>
      </c>
    </row>
    <row r="23" spans="1:7">
      <c r="A23" s="9" t="s">
        <v>30</v>
      </c>
      <c r="B23" s="9">
        <v>1</v>
      </c>
      <c r="C23" s="9">
        <v>4</v>
      </c>
      <c r="D23" s="9" t="s">
        <v>52</v>
      </c>
      <c r="E23" s="9">
        <v>33</v>
      </c>
      <c r="F23" s="9">
        <v>700.00599999999997</v>
      </c>
      <c r="G23" s="9">
        <v>0.309</v>
      </c>
    </row>
    <row r="24" spans="1:7">
      <c r="A24" s="9" t="s">
        <v>30</v>
      </c>
      <c r="B24" s="9">
        <v>1</v>
      </c>
      <c r="C24" s="9">
        <v>3</v>
      </c>
      <c r="D24" s="9" t="s">
        <v>53</v>
      </c>
      <c r="E24" s="9">
        <v>13</v>
      </c>
      <c r="F24" s="9">
        <v>699.69200000000001</v>
      </c>
      <c r="G24" s="9">
        <v>0.125</v>
      </c>
    </row>
    <row r="25" spans="1:7">
      <c r="A25" s="9" t="s">
        <v>30</v>
      </c>
      <c r="B25" s="9">
        <v>1</v>
      </c>
      <c r="C25" s="9">
        <v>2</v>
      </c>
      <c r="D25" s="9" t="s">
        <v>54</v>
      </c>
      <c r="E25" s="9">
        <v>15</v>
      </c>
      <c r="F25" s="9">
        <v>702.13</v>
      </c>
      <c r="G25" s="9">
        <v>0.27200000000000002</v>
      </c>
    </row>
    <row r="26" spans="1:7">
      <c r="A26" s="9" t="s">
        <v>30</v>
      </c>
      <c r="B26" s="9">
        <v>1</v>
      </c>
      <c r="C26" s="9">
        <v>1</v>
      </c>
      <c r="D26" s="9" t="s">
        <v>55</v>
      </c>
      <c r="E26" s="9">
        <v>9</v>
      </c>
      <c r="F26" s="9">
        <v>700.02599999999995</v>
      </c>
      <c r="G26" s="9">
        <v>0.309</v>
      </c>
    </row>
    <row r="27" spans="1:7">
      <c r="A27" s="9" t="s">
        <v>30</v>
      </c>
      <c r="B27" s="9">
        <v>2</v>
      </c>
      <c r="C27" s="9">
        <v>25</v>
      </c>
      <c r="D27" s="9" t="s">
        <v>56</v>
      </c>
      <c r="E27" s="9">
        <v>13</v>
      </c>
      <c r="F27" s="9">
        <v>701.70899999999995</v>
      </c>
      <c r="G27" s="9">
        <v>0.43099999999999999</v>
      </c>
    </row>
    <row r="28" spans="1:7">
      <c r="A28" s="9" t="s">
        <v>30</v>
      </c>
      <c r="B28" s="9">
        <v>2</v>
      </c>
      <c r="C28" s="9">
        <v>24</v>
      </c>
      <c r="D28" s="9" t="s">
        <v>57</v>
      </c>
      <c r="E28" s="9">
        <v>6</v>
      </c>
      <c r="F28" s="9">
        <v>704.32600000000002</v>
      </c>
      <c r="G28" s="9">
        <v>0.23499999999999999</v>
      </c>
    </row>
    <row r="29" spans="1:7">
      <c r="A29" s="9" t="s">
        <v>30</v>
      </c>
      <c r="B29" s="9">
        <v>2</v>
      </c>
      <c r="C29" s="9">
        <v>23</v>
      </c>
      <c r="D29" s="9" t="s">
        <v>58</v>
      </c>
      <c r="E29" s="9">
        <v>9</v>
      </c>
      <c r="F29" s="9">
        <v>701.11400000000003</v>
      </c>
      <c r="G29" s="9">
        <v>0.249</v>
      </c>
    </row>
    <row r="30" spans="1:7">
      <c r="A30" s="9" t="s">
        <v>30</v>
      </c>
      <c r="B30" s="9">
        <v>2</v>
      </c>
      <c r="C30" s="9">
        <v>22</v>
      </c>
      <c r="D30" s="9" t="s">
        <v>59</v>
      </c>
      <c r="E30" s="9">
        <v>8</v>
      </c>
      <c r="F30" s="9">
        <v>703.65200000000004</v>
      </c>
      <c r="G30" s="9">
        <v>0.311</v>
      </c>
    </row>
    <row r="31" spans="1:7">
      <c r="A31" s="9" t="s">
        <v>30</v>
      </c>
      <c r="B31" s="9">
        <v>2</v>
      </c>
      <c r="C31" s="9">
        <v>21</v>
      </c>
      <c r="D31" s="9" t="s">
        <v>60</v>
      </c>
      <c r="E31" s="9">
        <v>15</v>
      </c>
      <c r="F31" s="9">
        <v>703.81200000000001</v>
      </c>
      <c r="G31" s="9">
        <v>0.26200000000000001</v>
      </c>
    </row>
    <row r="32" spans="1:7">
      <c r="A32" s="9" t="s">
        <v>30</v>
      </c>
      <c r="B32" s="9">
        <v>2</v>
      </c>
      <c r="C32" s="9">
        <v>20</v>
      </c>
      <c r="D32" s="9" t="s">
        <v>61</v>
      </c>
      <c r="E32" s="9">
        <v>10</v>
      </c>
      <c r="F32" s="9">
        <v>704.18</v>
      </c>
      <c r="G32" s="9">
        <v>0.33300000000000002</v>
      </c>
    </row>
    <row r="33" spans="1:7">
      <c r="A33" s="9" t="s">
        <v>30</v>
      </c>
      <c r="B33" s="9">
        <v>2</v>
      </c>
      <c r="C33" s="9">
        <v>19</v>
      </c>
      <c r="D33" s="9" t="s">
        <v>62</v>
      </c>
      <c r="E33" s="9">
        <v>14</v>
      </c>
      <c r="F33" s="9">
        <v>703.98599999999999</v>
      </c>
      <c r="G33" s="9">
        <v>0.26400000000000001</v>
      </c>
    </row>
    <row r="34" spans="1:7">
      <c r="A34" s="9" t="s">
        <v>30</v>
      </c>
      <c r="B34" s="9">
        <v>2</v>
      </c>
      <c r="C34" s="9">
        <v>18</v>
      </c>
      <c r="D34" s="9" t="s">
        <v>63</v>
      </c>
      <c r="E34" s="9">
        <v>24</v>
      </c>
      <c r="F34" s="9">
        <v>701.01300000000003</v>
      </c>
      <c r="G34" s="9">
        <v>0.58899999999999997</v>
      </c>
    </row>
    <row r="35" spans="1:7">
      <c r="A35" s="9" t="s">
        <v>30</v>
      </c>
      <c r="B35" s="9">
        <v>2</v>
      </c>
      <c r="C35" s="9">
        <v>17</v>
      </c>
      <c r="D35" s="9" t="s">
        <v>64</v>
      </c>
      <c r="E35" s="9">
        <v>23</v>
      </c>
      <c r="F35" s="9">
        <v>701.37099999999998</v>
      </c>
      <c r="G35" s="9">
        <v>1.044</v>
      </c>
    </row>
    <row r="36" spans="1:7">
      <c r="A36" s="9" t="s">
        <v>30</v>
      </c>
      <c r="B36" s="9">
        <v>2</v>
      </c>
      <c r="C36" s="9">
        <v>16</v>
      </c>
      <c r="D36" s="9" t="s">
        <v>65</v>
      </c>
      <c r="E36" s="9">
        <v>31</v>
      </c>
      <c r="F36" s="9">
        <v>701.37199999999996</v>
      </c>
      <c r="G36" s="9">
        <v>0.57099999999999995</v>
      </c>
    </row>
    <row r="37" spans="1:7">
      <c r="A37" s="9" t="s">
        <v>30</v>
      </c>
      <c r="B37" s="9">
        <v>2</v>
      </c>
      <c r="C37" s="9">
        <v>15</v>
      </c>
      <c r="D37" s="9" t="s">
        <v>66</v>
      </c>
      <c r="E37" s="9">
        <v>34</v>
      </c>
      <c r="F37" s="9">
        <v>701.07299999999998</v>
      </c>
      <c r="G37" s="9">
        <v>0.80500000000000005</v>
      </c>
    </row>
    <row r="38" spans="1:7">
      <c r="A38" s="9" t="s">
        <v>30</v>
      </c>
      <c r="B38" s="9">
        <v>2</v>
      </c>
      <c r="C38" s="9">
        <v>14</v>
      </c>
      <c r="D38" s="9" t="s">
        <v>67</v>
      </c>
      <c r="E38" s="9">
        <v>20</v>
      </c>
      <c r="F38" s="9">
        <v>701.29300000000001</v>
      </c>
      <c r="G38" s="9">
        <v>0.40699999999999997</v>
      </c>
    </row>
    <row r="39" spans="1:7">
      <c r="A39" s="9" t="s">
        <v>30</v>
      </c>
      <c r="B39" s="9">
        <v>2</v>
      </c>
      <c r="C39" s="9">
        <v>13</v>
      </c>
      <c r="D39" s="9" t="s">
        <v>68</v>
      </c>
      <c r="E39" s="9">
        <v>10</v>
      </c>
      <c r="F39" s="9">
        <v>701.00699999999995</v>
      </c>
      <c r="G39" s="9">
        <v>1.1319999999999999</v>
      </c>
    </row>
    <row r="40" spans="1:7">
      <c r="A40" s="9" t="s">
        <v>30</v>
      </c>
      <c r="B40" s="9">
        <v>2</v>
      </c>
      <c r="C40" s="9">
        <v>12</v>
      </c>
      <c r="D40" s="9" t="s">
        <v>69</v>
      </c>
      <c r="E40" s="9">
        <v>19</v>
      </c>
      <c r="F40" s="9">
        <v>702.62099999999998</v>
      </c>
      <c r="G40" s="9">
        <v>0.46100000000000002</v>
      </c>
    </row>
    <row r="41" spans="1:7">
      <c r="A41" s="9" t="s">
        <v>30</v>
      </c>
      <c r="B41" s="9">
        <v>2</v>
      </c>
      <c r="C41" s="9">
        <v>11</v>
      </c>
      <c r="D41" s="9" t="s">
        <v>70</v>
      </c>
      <c r="E41" s="9">
        <v>22</v>
      </c>
      <c r="F41" s="9">
        <v>702.43200000000002</v>
      </c>
      <c r="G41" s="9">
        <v>0.44900000000000001</v>
      </c>
    </row>
    <row r="42" spans="1:7">
      <c r="A42" s="9" t="s">
        <v>30</v>
      </c>
      <c r="B42" s="9">
        <v>2</v>
      </c>
      <c r="C42" s="9">
        <v>10</v>
      </c>
      <c r="D42" s="9" t="s">
        <v>71</v>
      </c>
      <c r="E42" s="9">
        <v>14</v>
      </c>
      <c r="F42" s="9">
        <v>702.23599999999999</v>
      </c>
      <c r="G42" s="9">
        <v>0.443</v>
      </c>
    </row>
    <row r="43" spans="1:7">
      <c r="A43" s="9" t="s">
        <v>30</v>
      </c>
      <c r="B43" s="9">
        <v>2</v>
      </c>
      <c r="C43" s="9">
        <v>9</v>
      </c>
      <c r="D43" s="9" t="s">
        <v>72</v>
      </c>
      <c r="E43" s="9">
        <v>34</v>
      </c>
      <c r="F43" s="9">
        <v>702.05200000000002</v>
      </c>
      <c r="G43" s="9">
        <v>0.41899999999999998</v>
      </c>
    </row>
    <row r="44" spans="1:7">
      <c r="A44" s="9" t="s">
        <v>30</v>
      </c>
      <c r="B44" s="9">
        <v>2</v>
      </c>
      <c r="C44" s="9">
        <v>8</v>
      </c>
      <c r="D44" s="9" t="s">
        <v>73</v>
      </c>
      <c r="E44" s="9">
        <v>41</v>
      </c>
      <c r="F44" s="9">
        <v>703.42100000000005</v>
      </c>
      <c r="G44" s="9">
        <v>0.45700000000000002</v>
      </c>
    </row>
    <row r="45" spans="1:7">
      <c r="A45" s="9" t="s">
        <v>30</v>
      </c>
      <c r="B45" s="9">
        <v>2</v>
      </c>
      <c r="C45" s="9">
        <v>7</v>
      </c>
      <c r="D45" s="9" t="s">
        <v>74</v>
      </c>
      <c r="E45" s="9">
        <v>41</v>
      </c>
      <c r="F45" s="9">
        <v>702.10299999999995</v>
      </c>
      <c r="G45" s="9">
        <v>0.437</v>
      </c>
    </row>
    <row r="46" spans="1:7">
      <c r="A46" s="9" t="s">
        <v>30</v>
      </c>
      <c r="B46" s="9">
        <v>2</v>
      </c>
      <c r="C46" s="9">
        <v>6</v>
      </c>
      <c r="D46" s="9" t="s">
        <v>75</v>
      </c>
      <c r="E46" s="9">
        <v>13</v>
      </c>
      <c r="F46" s="9">
        <v>701.20399999999995</v>
      </c>
      <c r="G46" s="9">
        <v>0.502</v>
      </c>
    </row>
    <row r="47" spans="1:7">
      <c r="A47" s="9" t="s">
        <v>30</v>
      </c>
      <c r="B47" s="9">
        <v>2</v>
      </c>
      <c r="C47" s="9">
        <v>5</v>
      </c>
      <c r="D47" s="9" t="s">
        <v>76</v>
      </c>
      <c r="E47" s="9">
        <v>9</v>
      </c>
      <c r="F47" s="9">
        <v>700.25800000000004</v>
      </c>
      <c r="G47" s="9">
        <v>0.23799999999999999</v>
      </c>
    </row>
    <row r="48" spans="1:7">
      <c r="A48" s="9" t="s">
        <v>30</v>
      </c>
      <c r="B48" s="9">
        <v>2</v>
      </c>
      <c r="C48" s="9">
        <v>4</v>
      </c>
      <c r="D48" s="9" t="s">
        <v>77</v>
      </c>
      <c r="E48" s="9">
        <v>20</v>
      </c>
      <c r="F48" s="9">
        <v>702.43299999999999</v>
      </c>
      <c r="G48" s="9">
        <v>0.17</v>
      </c>
    </row>
    <row r="49" spans="1:7">
      <c r="A49" s="9" t="s">
        <v>30</v>
      </c>
      <c r="B49" s="9">
        <v>2</v>
      </c>
      <c r="C49" s="9">
        <v>3</v>
      </c>
      <c r="D49" s="9" t="s">
        <v>78</v>
      </c>
      <c r="E49" s="9">
        <v>6</v>
      </c>
      <c r="F49" s="9">
        <v>697.93399999999997</v>
      </c>
      <c r="G49" s="9">
        <v>0.35599999999999998</v>
      </c>
    </row>
    <row r="50" spans="1:7">
      <c r="A50" s="9" t="s">
        <v>30</v>
      </c>
      <c r="B50" s="9">
        <v>2</v>
      </c>
      <c r="C50" s="9">
        <v>2</v>
      </c>
      <c r="D50" s="9" t="s">
        <v>79</v>
      </c>
      <c r="E50" s="9">
        <v>21</v>
      </c>
      <c r="F50" s="9">
        <v>702.84299999999996</v>
      </c>
      <c r="G50" s="9">
        <v>0.33100000000000002</v>
      </c>
    </row>
    <row r="51" spans="1:7">
      <c r="A51" s="9" t="s">
        <v>30</v>
      </c>
      <c r="B51" s="9">
        <v>2</v>
      </c>
      <c r="C51" s="9">
        <v>1</v>
      </c>
      <c r="D51" s="9" t="s">
        <v>80</v>
      </c>
      <c r="E51" s="9">
        <v>14</v>
      </c>
      <c r="F51" s="9">
        <v>700.16399999999999</v>
      </c>
      <c r="G51" s="9">
        <v>0.58599999999999997</v>
      </c>
    </row>
    <row r="52" spans="1:7">
      <c r="A52" s="9" t="s">
        <v>30</v>
      </c>
      <c r="B52" s="9">
        <v>3</v>
      </c>
      <c r="C52" s="9">
        <v>25</v>
      </c>
      <c r="D52" s="9" t="s">
        <v>81</v>
      </c>
      <c r="E52" s="9">
        <v>8</v>
      </c>
      <c r="F52" s="9">
        <v>702.98800000000006</v>
      </c>
      <c r="G52" s="9">
        <v>0.14599999999999999</v>
      </c>
    </row>
    <row r="53" spans="1:7">
      <c r="A53" s="9" t="s">
        <v>30</v>
      </c>
      <c r="B53" s="9">
        <v>3</v>
      </c>
      <c r="C53" s="9">
        <v>24</v>
      </c>
      <c r="D53" s="9" t="s">
        <v>82</v>
      </c>
      <c r="E53" s="9">
        <v>9</v>
      </c>
      <c r="F53" s="9">
        <v>703.06799999999998</v>
      </c>
      <c r="G53" s="9">
        <v>0.432</v>
      </c>
    </row>
    <row r="54" spans="1:7">
      <c r="A54" s="9" t="s">
        <v>30</v>
      </c>
      <c r="B54" s="9">
        <v>3</v>
      </c>
      <c r="C54" s="9">
        <v>23</v>
      </c>
      <c r="D54" s="9" t="s">
        <v>83</v>
      </c>
      <c r="E54" s="9">
        <v>11</v>
      </c>
      <c r="F54" s="9">
        <v>702.56899999999996</v>
      </c>
      <c r="G54" s="9">
        <v>0.26400000000000001</v>
      </c>
    </row>
    <row r="55" spans="1:7">
      <c r="A55" s="9" t="s">
        <v>30</v>
      </c>
      <c r="B55" s="9">
        <v>3</v>
      </c>
      <c r="C55" s="9">
        <v>22</v>
      </c>
      <c r="D55" s="9" t="s">
        <v>84</v>
      </c>
      <c r="E55" s="9">
        <v>12</v>
      </c>
      <c r="F55" s="9">
        <v>701.53899999999999</v>
      </c>
      <c r="G55" s="9">
        <v>0.33400000000000002</v>
      </c>
    </row>
    <row r="56" spans="1:7">
      <c r="A56" s="9" t="s">
        <v>30</v>
      </c>
      <c r="B56" s="9">
        <v>3</v>
      </c>
      <c r="C56" s="9">
        <v>21</v>
      </c>
      <c r="D56" s="9" t="s">
        <v>85</v>
      </c>
      <c r="E56" s="9">
        <v>15</v>
      </c>
      <c r="F56" s="9">
        <v>700.69100000000003</v>
      </c>
      <c r="G56" s="9">
        <v>0.36899999999999999</v>
      </c>
    </row>
    <row r="57" spans="1:7">
      <c r="A57" s="9" t="s">
        <v>30</v>
      </c>
      <c r="B57" s="9">
        <v>3</v>
      </c>
      <c r="C57" s="9">
        <v>20</v>
      </c>
      <c r="D57" s="9" t="s">
        <v>86</v>
      </c>
      <c r="E57" s="9">
        <v>21</v>
      </c>
      <c r="F57" s="9">
        <v>698.35699999999997</v>
      </c>
      <c r="G57" s="9">
        <v>0.23599999999999999</v>
      </c>
    </row>
    <row r="58" spans="1:7">
      <c r="A58" s="9" t="s">
        <v>30</v>
      </c>
      <c r="B58" s="9">
        <v>3</v>
      </c>
      <c r="C58" s="9">
        <v>19</v>
      </c>
      <c r="D58" s="9" t="s">
        <v>87</v>
      </c>
      <c r="E58" s="9">
        <v>25</v>
      </c>
      <c r="F58" s="9">
        <v>700.08799999999997</v>
      </c>
      <c r="G58" s="9">
        <v>0.60299999999999998</v>
      </c>
    </row>
    <row r="59" spans="1:7">
      <c r="A59" s="9" t="s">
        <v>30</v>
      </c>
      <c r="B59" s="9">
        <v>3</v>
      </c>
      <c r="C59" s="9">
        <v>18</v>
      </c>
      <c r="D59" s="9" t="s">
        <v>88</v>
      </c>
      <c r="E59" s="9">
        <v>10</v>
      </c>
      <c r="F59" s="9">
        <v>700.10699999999997</v>
      </c>
      <c r="G59" s="9">
        <v>0.41099999999999998</v>
      </c>
    </row>
    <row r="60" spans="1:7">
      <c r="A60" s="9" t="s">
        <v>30</v>
      </c>
      <c r="B60" s="9">
        <v>3</v>
      </c>
      <c r="C60" s="9">
        <v>17</v>
      </c>
      <c r="D60" s="9" t="s">
        <v>89</v>
      </c>
      <c r="E60" s="9">
        <v>19</v>
      </c>
      <c r="F60" s="9">
        <v>700.13900000000001</v>
      </c>
      <c r="G60" s="9">
        <v>0.38900000000000001</v>
      </c>
    </row>
    <row r="61" spans="1:7">
      <c r="A61" s="9" t="s">
        <v>30</v>
      </c>
      <c r="B61" s="9">
        <v>3</v>
      </c>
      <c r="C61" s="9">
        <v>16</v>
      </c>
      <c r="D61" s="9" t="s">
        <v>90</v>
      </c>
      <c r="E61" s="9">
        <v>16</v>
      </c>
      <c r="F61" s="9">
        <v>702.745</v>
      </c>
      <c r="G61" s="9">
        <v>0.27</v>
      </c>
    </row>
    <row r="62" spans="1:7">
      <c r="A62" s="9" t="s">
        <v>30</v>
      </c>
      <c r="B62" s="9">
        <v>3</v>
      </c>
      <c r="C62" s="9">
        <v>15</v>
      </c>
      <c r="D62" s="9" t="s">
        <v>91</v>
      </c>
      <c r="E62" s="9">
        <v>10</v>
      </c>
      <c r="F62" s="9">
        <v>701.27300000000002</v>
      </c>
      <c r="G62" s="9">
        <v>0.43</v>
      </c>
    </row>
    <row r="63" spans="1:7">
      <c r="A63" s="9" t="s">
        <v>30</v>
      </c>
      <c r="B63" s="9">
        <v>3</v>
      </c>
      <c r="C63" s="9">
        <v>14</v>
      </c>
      <c r="D63" s="9" t="s">
        <v>92</v>
      </c>
      <c r="E63" s="9">
        <v>9</v>
      </c>
      <c r="F63" s="9">
        <v>701.09900000000005</v>
      </c>
      <c r="G63" s="9">
        <v>0.496</v>
      </c>
    </row>
    <row r="64" spans="1:7">
      <c r="A64" s="9" t="s">
        <v>30</v>
      </c>
      <c r="B64" s="9">
        <v>3</v>
      </c>
      <c r="C64" s="9">
        <v>13</v>
      </c>
      <c r="D64" s="9" t="s">
        <v>93</v>
      </c>
      <c r="E64" s="9">
        <v>10</v>
      </c>
      <c r="F64" s="9">
        <v>700.89499999999998</v>
      </c>
      <c r="G64" s="9">
        <v>0.29899999999999999</v>
      </c>
    </row>
    <row r="65" spans="1:7">
      <c r="A65" s="9" t="s">
        <v>30</v>
      </c>
      <c r="B65" s="9">
        <v>3</v>
      </c>
      <c r="C65" s="9">
        <v>12</v>
      </c>
      <c r="D65" s="9" t="s">
        <v>94</v>
      </c>
      <c r="E65" s="9">
        <v>16</v>
      </c>
      <c r="F65" s="9">
        <v>701.33</v>
      </c>
      <c r="G65" s="9">
        <v>0.31</v>
      </c>
    </row>
    <row r="66" spans="1:7">
      <c r="A66" s="9" t="s">
        <v>30</v>
      </c>
      <c r="B66" s="9">
        <v>3</v>
      </c>
      <c r="C66" s="9">
        <v>11</v>
      </c>
      <c r="D66" s="9" t="s">
        <v>95</v>
      </c>
      <c r="E66" s="9">
        <v>14</v>
      </c>
      <c r="F66" s="9">
        <v>700.99300000000005</v>
      </c>
      <c r="G66" s="9">
        <v>0.34100000000000003</v>
      </c>
    </row>
    <row r="67" spans="1:7">
      <c r="A67" s="9" t="s">
        <v>30</v>
      </c>
      <c r="B67" s="9">
        <v>3</v>
      </c>
      <c r="C67" s="9">
        <v>10</v>
      </c>
      <c r="D67" s="9" t="s">
        <v>96</v>
      </c>
      <c r="E67" s="9">
        <v>15</v>
      </c>
      <c r="F67" s="9">
        <v>700.99699999999996</v>
      </c>
      <c r="G67" s="9">
        <v>0.86</v>
      </c>
    </row>
    <row r="68" spans="1:7">
      <c r="A68" s="9" t="s">
        <v>30</v>
      </c>
      <c r="B68" s="9">
        <v>3</v>
      </c>
      <c r="C68" s="9">
        <v>9</v>
      </c>
      <c r="D68" s="9" t="s">
        <v>97</v>
      </c>
      <c r="E68" s="9">
        <v>11</v>
      </c>
      <c r="F68" s="9">
        <v>701.053</v>
      </c>
      <c r="G68" s="9">
        <v>0.879</v>
      </c>
    </row>
    <row r="69" spans="1:7">
      <c r="A69" s="9" t="s">
        <v>30</v>
      </c>
      <c r="B69" s="9">
        <v>3</v>
      </c>
      <c r="C69" s="9">
        <v>8</v>
      </c>
      <c r="D69" s="9" t="s">
        <v>98</v>
      </c>
      <c r="E69" s="9">
        <v>15</v>
      </c>
      <c r="F69" s="9">
        <v>701.43200000000002</v>
      </c>
      <c r="G69" s="9">
        <v>0.246</v>
      </c>
    </row>
    <row r="70" spans="1:7">
      <c r="A70" s="9" t="s">
        <v>30</v>
      </c>
      <c r="B70" s="9">
        <v>3</v>
      </c>
      <c r="C70" s="9">
        <v>7</v>
      </c>
      <c r="D70" s="9" t="s">
        <v>99</v>
      </c>
      <c r="E70" s="9">
        <v>16</v>
      </c>
      <c r="F70" s="9">
        <v>701.61400000000003</v>
      </c>
      <c r="G70" s="9">
        <v>0.14699999999999999</v>
      </c>
    </row>
    <row r="71" spans="1:7">
      <c r="A71" s="9" t="s">
        <v>30</v>
      </c>
      <c r="B71" s="9">
        <v>3</v>
      </c>
      <c r="C71" s="9">
        <v>6</v>
      </c>
      <c r="D71" s="9" t="s">
        <v>100</v>
      </c>
      <c r="E71" s="9">
        <v>13</v>
      </c>
      <c r="F71" s="9">
        <v>700.72799999999995</v>
      </c>
      <c r="G71" s="9">
        <v>0.34200000000000003</v>
      </c>
    </row>
    <row r="72" spans="1:7">
      <c r="A72" s="9" t="s">
        <v>30</v>
      </c>
      <c r="B72" s="9">
        <v>3</v>
      </c>
      <c r="C72" s="9">
        <v>5</v>
      </c>
      <c r="D72" s="9" t="s">
        <v>101</v>
      </c>
      <c r="E72" s="9">
        <v>9</v>
      </c>
      <c r="F72" s="9">
        <v>700.72500000000002</v>
      </c>
      <c r="G72" s="9">
        <v>0.313</v>
      </c>
    </row>
    <row r="73" spans="1:7">
      <c r="A73" s="9" t="s">
        <v>30</v>
      </c>
      <c r="B73" s="9">
        <v>3</v>
      </c>
      <c r="C73" s="9">
        <v>4</v>
      </c>
      <c r="D73" s="9" t="s">
        <v>102</v>
      </c>
      <c r="E73" s="9">
        <v>23</v>
      </c>
      <c r="F73" s="9">
        <v>700.71699999999998</v>
      </c>
      <c r="G73" s="9">
        <v>0.27200000000000002</v>
      </c>
    </row>
    <row r="74" spans="1:7">
      <c r="A74" s="9" t="s">
        <v>30</v>
      </c>
      <c r="B74" s="9">
        <v>3</v>
      </c>
      <c r="C74" s="9">
        <v>3</v>
      </c>
      <c r="D74" s="9" t="s">
        <v>103</v>
      </c>
      <c r="E74" s="9">
        <v>10</v>
      </c>
      <c r="F74" s="9">
        <v>700.87900000000002</v>
      </c>
      <c r="G74" s="9">
        <v>0.34</v>
      </c>
    </row>
    <row r="75" spans="1:7">
      <c r="A75" s="9" t="s">
        <v>30</v>
      </c>
      <c r="B75" s="9">
        <v>3</v>
      </c>
      <c r="C75" s="9">
        <v>2</v>
      </c>
      <c r="D75" s="9" t="s">
        <v>104</v>
      </c>
      <c r="E75" s="9">
        <v>10</v>
      </c>
      <c r="F75" s="9">
        <v>700.68100000000004</v>
      </c>
      <c r="G75" s="9">
        <v>0.35699999999999998</v>
      </c>
    </row>
    <row r="76" spans="1:7">
      <c r="A76" s="9" t="s">
        <v>30</v>
      </c>
      <c r="B76" s="9">
        <v>3</v>
      </c>
      <c r="C76" s="9">
        <v>1</v>
      </c>
      <c r="D76" s="9" t="s">
        <v>105</v>
      </c>
      <c r="E76" s="9">
        <v>12</v>
      </c>
      <c r="F76" s="9">
        <v>700.98800000000006</v>
      </c>
      <c r="G76" s="9">
        <v>0.32100000000000001</v>
      </c>
    </row>
    <row r="77" spans="1:7">
      <c r="A77" s="9" t="s">
        <v>30</v>
      </c>
      <c r="B77" s="9">
        <v>4</v>
      </c>
      <c r="C77" s="9">
        <v>25</v>
      </c>
      <c r="D77" s="9" t="s">
        <v>106</v>
      </c>
      <c r="E77" s="9">
        <v>17</v>
      </c>
      <c r="F77" s="9">
        <v>698.06200000000001</v>
      </c>
      <c r="G77" s="9">
        <v>0.24</v>
      </c>
    </row>
    <row r="78" spans="1:7">
      <c r="A78" s="9" t="s">
        <v>30</v>
      </c>
      <c r="B78" s="9">
        <v>4</v>
      </c>
      <c r="C78" s="9">
        <v>24</v>
      </c>
      <c r="D78" s="9" t="s">
        <v>107</v>
      </c>
      <c r="E78" s="9">
        <v>11</v>
      </c>
      <c r="F78" s="9">
        <v>700.94299999999998</v>
      </c>
      <c r="G78" s="9">
        <v>0.159</v>
      </c>
    </row>
    <row r="79" spans="1:7">
      <c r="A79" s="9" t="s">
        <v>30</v>
      </c>
      <c r="B79" s="9">
        <v>4</v>
      </c>
      <c r="C79" s="9">
        <v>23</v>
      </c>
      <c r="D79" s="9" t="s">
        <v>108</v>
      </c>
      <c r="E79" s="9">
        <v>20</v>
      </c>
      <c r="F79" s="9">
        <v>702.375</v>
      </c>
      <c r="G79" s="9">
        <v>0.16300000000000001</v>
      </c>
    </row>
    <row r="80" spans="1:7">
      <c r="A80" s="9" t="s">
        <v>30</v>
      </c>
      <c r="B80" s="9">
        <v>4</v>
      </c>
      <c r="C80" s="9">
        <v>22</v>
      </c>
      <c r="D80" s="9" t="s">
        <v>109</v>
      </c>
      <c r="E80" s="9">
        <v>22</v>
      </c>
      <c r="F80" s="9">
        <v>701.85699999999997</v>
      </c>
      <c r="G80" s="9">
        <v>0.48499999999999999</v>
      </c>
    </row>
    <row r="81" spans="1:7">
      <c r="A81" s="9" t="s">
        <v>30</v>
      </c>
      <c r="B81" s="9">
        <v>4</v>
      </c>
      <c r="C81" s="9">
        <v>21</v>
      </c>
      <c r="D81" s="9" t="s">
        <v>110</v>
      </c>
      <c r="E81" s="9">
        <v>23</v>
      </c>
      <c r="F81" s="9">
        <v>700.34100000000001</v>
      </c>
      <c r="G81" s="9">
        <v>0.34499999999999997</v>
      </c>
    </row>
    <row r="82" spans="1:7">
      <c r="A82" s="9" t="s">
        <v>30</v>
      </c>
      <c r="B82" s="9">
        <v>4</v>
      </c>
      <c r="C82" s="9">
        <v>20</v>
      </c>
      <c r="D82" s="9" t="s">
        <v>111</v>
      </c>
      <c r="E82" s="9">
        <v>38</v>
      </c>
      <c r="F82" s="9">
        <v>702.89400000000001</v>
      </c>
      <c r="G82" s="9">
        <v>0.156</v>
      </c>
    </row>
    <row r="83" spans="1:7">
      <c r="A83" s="9" t="s">
        <v>30</v>
      </c>
      <c r="B83" s="9">
        <v>4</v>
      </c>
      <c r="C83" s="9">
        <v>19</v>
      </c>
      <c r="D83" s="9" t="s">
        <v>112</v>
      </c>
      <c r="E83" s="9">
        <v>40</v>
      </c>
      <c r="F83" s="9">
        <v>703.06899999999996</v>
      </c>
      <c r="G83" s="9">
        <v>0.318</v>
      </c>
    </row>
    <row r="84" spans="1:7">
      <c r="A84" s="9" t="s">
        <v>30</v>
      </c>
      <c r="B84" s="9">
        <v>4</v>
      </c>
      <c r="C84" s="9">
        <v>18</v>
      </c>
      <c r="D84" s="9" t="s">
        <v>113</v>
      </c>
      <c r="E84" s="9">
        <v>7</v>
      </c>
      <c r="F84" s="9">
        <v>699.70500000000004</v>
      </c>
      <c r="G84" s="9">
        <v>1.2749999999999999</v>
      </c>
    </row>
    <row r="85" spans="1:7">
      <c r="A85" s="9" t="s">
        <v>30</v>
      </c>
      <c r="B85" s="9">
        <v>4</v>
      </c>
      <c r="C85" s="9">
        <v>17</v>
      </c>
      <c r="D85" s="9" t="s">
        <v>114</v>
      </c>
      <c r="E85" s="9">
        <v>14</v>
      </c>
      <c r="F85" s="9">
        <v>699.79600000000005</v>
      </c>
      <c r="G85" s="9">
        <v>1.256</v>
      </c>
    </row>
    <row r="86" spans="1:7">
      <c r="A86" s="9" t="s">
        <v>30</v>
      </c>
      <c r="B86" s="9">
        <v>4</v>
      </c>
      <c r="C86" s="9">
        <v>16</v>
      </c>
      <c r="D86" s="9" t="s">
        <v>115</v>
      </c>
      <c r="E86" s="9">
        <v>14</v>
      </c>
      <c r="F86" s="9">
        <v>699.58900000000006</v>
      </c>
      <c r="G86" s="9">
        <v>1.2410000000000001</v>
      </c>
    </row>
    <row r="87" spans="1:7">
      <c r="A87" s="9" t="s">
        <v>30</v>
      </c>
      <c r="B87" s="9">
        <v>4</v>
      </c>
      <c r="C87" s="9">
        <v>15</v>
      </c>
      <c r="D87" s="9" t="s">
        <v>116</v>
      </c>
      <c r="E87" s="9">
        <v>24</v>
      </c>
      <c r="F87" s="9">
        <v>699.88499999999999</v>
      </c>
      <c r="G87" s="9">
        <v>1.286</v>
      </c>
    </row>
    <row r="88" spans="1:7">
      <c r="A88" s="9" t="s">
        <v>30</v>
      </c>
      <c r="B88" s="9">
        <v>4</v>
      </c>
      <c r="C88" s="9">
        <v>14</v>
      </c>
      <c r="D88" s="9" t="s">
        <v>117</v>
      </c>
      <c r="E88" s="9">
        <v>10</v>
      </c>
      <c r="F88" s="9">
        <v>699.87199999999996</v>
      </c>
      <c r="G88" s="9">
        <v>1.3440000000000001</v>
      </c>
    </row>
    <row r="89" spans="1:7">
      <c r="A89" s="9" t="s">
        <v>30</v>
      </c>
      <c r="B89" s="9">
        <v>4</v>
      </c>
      <c r="C89" s="9">
        <v>13</v>
      </c>
      <c r="D89" s="9" t="s">
        <v>118</v>
      </c>
      <c r="E89" s="9">
        <v>7</v>
      </c>
      <c r="F89" s="9">
        <v>699.75900000000001</v>
      </c>
      <c r="G89" s="9">
        <v>1.1539999999999999</v>
      </c>
    </row>
    <row r="90" spans="1:7">
      <c r="A90" s="9" t="s">
        <v>30</v>
      </c>
      <c r="B90" s="9">
        <v>4</v>
      </c>
      <c r="C90" s="9">
        <v>12</v>
      </c>
      <c r="D90" s="9" t="s">
        <v>119</v>
      </c>
      <c r="E90" s="9">
        <v>6</v>
      </c>
      <c r="F90" s="9">
        <v>699.79</v>
      </c>
      <c r="G90" s="9">
        <v>1.2669999999999999</v>
      </c>
    </row>
    <row r="91" spans="1:7">
      <c r="A91" s="9" t="s">
        <v>30</v>
      </c>
      <c r="B91" s="9">
        <v>4</v>
      </c>
      <c r="C91" s="9">
        <v>11</v>
      </c>
      <c r="D91" s="9" t="s">
        <v>120</v>
      </c>
      <c r="E91" s="9">
        <v>12</v>
      </c>
      <c r="F91" s="9">
        <v>697.72799999999995</v>
      </c>
      <c r="G91" s="9">
        <v>0.23100000000000001</v>
      </c>
    </row>
    <row r="92" spans="1:7">
      <c r="A92" s="9" t="s">
        <v>30</v>
      </c>
      <c r="B92" s="9">
        <v>4</v>
      </c>
      <c r="C92" s="9">
        <v>10</v>
      </c>
      <c r="D92" s="9" t="s">
        <v>121</v>
      </c>
      <c r="E92" s="9">
        <v>11</v>
      </c>
      <c r="F92" s="9">
        <v>697.88199999999995</v>
      </c>
      <c r="G92" s="9">
        <v>0.25700000000000001</v>
      </c>
    </row>
    <row r="93" spans="1:7">
      <c r="A93" s="9" t="s">
        <v>30</v>
      </c>
      <c r="B93" s="9">
        <v>4</v>
      </c>
      <c r="C93" s="9">
        <v>9</v>
      </c>
      <c r="D93" s="9" t="s">
        <v>122</v>
      </c>
      <c r="E93" s="9">
        <v>15</v>
      </c>
      <c r="F93" s="9">
        <v>700.02300000000002</v>
      </c>
      <c r="G93" s="9">
        <v>0.372</v>
      </c>
    </row>
    <row r="94" spans="1:7">
      <c r="A94" s="9" t="s">
        <v>30</v>
      </c>
      <c r="B94" s="9">
        <v>4</v>
      </c>
      <c r="C94" s="9">
        <v>8</v>
      </c>
      <c r="D94" s="9" t="s">
        <v>123</v>
      </c>
      <c r="E94" s="9">
        <v>9</v>
      </c>
      <c r="F94" s="9">
        <v>698.00699999999995</v>
      </c>
      <c r="G94" s="9">
        <v>0.20899999999999999</v>
      </c>
    </row>
    <row r="95" spans="1:7">
      <c r="A95" s="9" t="s">
        <v>30</v>
      </c>
      <c r="B95" s="9">
        <v>4</v>
      </c>
      <c r="C95" s="9">
        <v>7</v>
      </c>
      <c r="D95" s="9" t="s">
        <v>124</v>
      </c>
      <c r="E95" s="9">
        <v>8</v>
      </c>
      <c r="F95" s="9">
        <v>700.33500000000004</v>
      </c>
      <c r="G95" s="9">
        <v>0.35</v>
      </c>
    </row>
    <row r="96" spans="1:7">
      <c r="A96" s="9" t="s">
        <v>30</v>
      </c>
      <c r="B96" s="9">
        <v>4</v>
      </c>
      <c r="C96" s="9">
        <v>6</v>
      </c>
      <c r="D96" s="9" t="s">
        <v>125</v>
      </c>
      <c r="E96" s="9">
        <v>13</v>
      </c>
      <c r="F96" s="9">
        <v>700.49400000000003</v>
      </c>
      <c r="G96" s="9">
        <v>0.66700000000000004</v>
      </c>
    </row>
    <row r="97" spans="1:7">
      <c r="A97" s="9" t="s">
        <v>30</v>
      </c>
      <c r="B97" s="9">
        <v>4</v>
      </c>
      <c r="C97" s="9">
        <v>5</v>
      </c>
      <c r="D97" s="9" t="s">
        <v>126</v>
      </c>
      <c r="E97" s="9">
        <v>11</v>
      </c>
      <c r="F97" s="9">
        <v>701.2</v>
      </c>
      <c r="G97" s="9">
        <v>0.40600000000000003</v>
      </c>
    </row>
    <row r="98" spans="1:7">
      <c r="A98" s="9" t="s">
        <v>30</v>
      </c>
      <c r="B98" s="9">
        <v>4</v>
      </c>
      <c r="C98" s="9">
        <v>4</v>
      </c>
      <c r="D98" s="9" t="s">
        <v>127</v>
      </c>
      <c r="E98" s="9">
        <v>10</v>
      </c>
      <c r="F98" s="9">
        <v>697.73099999999999</v>
      </c>
      <c r="G98" s="9">
        <v>0.14099999999999999</v>
      </c>
    </row>
    <row r="99" spans="1:7">
      <c r="A99" s="9" t="s">
        <v>30</v>
      </c>
      <c r="B99" s="9">
        <v>4</v>
      </c>
      <c r="C99" s="9">
        <v>3</v>
      </c>
      <c r="D99" s="9" t="s">
        <v>128</v>
      </c>
      <c r="E99" s="9">
        <v>7</v>
      </c>
      <c r="F99" s="9">
        <v>697.77099999999996</v>
      </c>
      <c r="G99" s="9">
        <v>0.246</v>
      </c>
    </row>
    <row r="100" spans="1:7">
      <c r="A100" s="9" t="s">
        <v>30</v>
      </c>
      <c r="B100" s="9">
        <v>4</v>
      </c>
      <c r="C100" s="9">
        <v>2</v>
      </c>
      <c r="D100" s="9" t="s">
        <v>129</v>
      </c>
      <c r="E100" s="9">
        <v>10</v>
      </c>
      <c r="F100" s="9">
        <v>697.91600000000005</v>
      </c>
      <c r="G100" s="9">
        <v>0.20300000000000001</v>
      </c>
    </row>
    <row r="101" spans="1:7">
      <c r="A101" s="9" t="s">
        <v>30</v>
      </c>
      <c r="B101" s="9">
        <v>4</v>
      </c>
      <c r="C101" s="9">
        <v>1</v>
      </c>
      <c r="D101" s="9" t="s">
        <v>130</v>
      </c>
      <c r="E101" s="9">
        <v>13</v>
      </c>
      <c r="F101" s="9">
        <v>701.00199999999995</v>
      </c>
      <c r="G101" s="9">
        <v>0.4</v>
      </c>
    </row>
    <row r="102" spans="1:7">
      <c r="A102" s="9" t="s">
        <v>30</v>
      </c>
      <c r="B102" s="9">
        <v>5</v>
      </c>
      <c r="C102" s="9">
        <v>25</v>
      </c>
      <c r="D102" s="9" t="s">
        <v>131</v>
      </c>
      <c r="E102" s="9">
        <v>32</v>
      </c>
      <c r="F102" s="9">
        <v>702.54499999999996</v>
      </c>
      <c r="G102" s="9">
        <v>0.20399999999999999</v>
      </c>
    </row>
    <row r="103" spans="1:7">
      <c r="A103" s="9" t="s">
        <v>30</v>
      </c>
      <c r="B103" s="9">
        <v>5</v>
      </c>
      <c r="C103" s="9">
        <v>24</v>
      </c>
      <c r="D103" s="9" t="s">
        <v>132</v>
      </c>
      <c r="E103" s="9">
        <v>33</v>
      </c>
      <c r="F103" s="9">
        <v>701.51099999999997</v>
      </c>
      <c r="G103" s="9">
        <v>0.20699999999999999</v>
      </c>
    </row>
    <row r="104" spans="1:7">
      <c r="A104" s="9" t="s">
        <v>30</v>
      </c>
      <c r="B104" s="9">
        <v>5</v>
      </c>
      <c r="C104" s="9">
        <v>23</v>
      </c>
      <c r="D104" s="9" t="s">
        <v>133</v>
      </c>
      <c r="E104" s="9">
        <v>41</v>
      </c>
      <c r="F104" s="9">
        <v>701.40899999999999</v>
      </c>
      <c r="G104" s="9">
        <v>0.36</v>
      </c>
    </row>
    <row r="105" spans="1:7">
      <c r="A105" s="9" t="s">
        <v>30</v>
      </c>
      <c r="B105" s="9">
        <v>5</v>
      </c>
      <c r="C105" s="9">
        <v>22</v>
      </c>
      <c r="D105" s="9" t="s">
        <v>134</v>
      </c>
      <c r="E105" s="9">
        <v>29</v>
      </c>
      <c r="F105" s="9">
        <v>701.66399999999999</v>
      </c>
      <c r="G105" s="9">
        <v>0.34499999999999997</v>
      </c>
    </row>
    <row r="106" spans="1:7">
      <c r="A106" s="9" t="s">
        <v>30</v>
      </c>
      <c r="B106" s="9">
        <v>5</v>
      </c>
      <c r="C106" s="9">
        <v>21</v>
      </c>
      <c r="D106" s="9" t="s">
        <v>135</v>
      </c>
      <c r="E106" s="9">
        <v>27</v>
      </c>
      <c r="F106" s="9">
        <v>701.79700000000003</v>
      </c>
      <c r="G106" s="9">
        <v>0.33900000000000002</v>
      </c>
    </row>
    <row r="107" spans="1:7">
      <c r="A107" s="9" t="s">
        <v>30</v>
      </c>
      <c r="B107" s="9">
        <v>5</v>
      </c>
      <c r="C107" s="9">
        <v>20</v>
      </c>
      <c r="D107" s="9" t="s">
        <v>136</v>
      </c>
      <c r="E107" s="9">
        <v>44</v>
      </c>
      <c r="F107" s="9">
        <v>701.49199999999996</v>
      </c>
      <c r="G107" s="9">
        <v>0.35899999999999999</v>
      </c>
    </row>
    <row r="108" spans="1:7">
      <c r="A108" s="9" t="s">
        <v>30</v>
      </c>
      <c r="B108" s="9">
        <v>5</v>
      </c>
      <c r="C108" s="9">
        <v>19</v>
      </c>
      <c r="D108" s="9" t="s">
        <v>137</v>
      </c>
      <c r="E108" s="9">
        <v>47</v>
      </c>
      <c r="F108" s="9">
        <v>701.61300000000006</v>
      </c>
      <c r="G108" s="9">
        <v>0.38400000000000001</v>
      </c>
    </row>
    <row r="109" spans="1:7">
      <c r="A109" s="9" t="s">
        <v>30</v>
      </c>
      <c r="B109" s="9">
        <v>5</v>
      </c>
      <c r="C109" s="9">
        <v>18</v>
      </c>
      <c r="D109" s="9" t="s">
        <v>138</v>
      </c>
      <c r="E109" s="9">
        <v>30</v>
      </c>
      <c r="F109" s="9">
        <v>701.66499999999996</v>
      </c>
      <c r="G109" s="9">
        <v>0.25600000000000001</v>
      </c>
    </row>
    <row r="110" spans="1:7">
      <c r="A110" s="9" t="s">
        <v>30</v>
      </c>
      <c r="B110" s="9">
        <v>5</v>
      </c>
      <c r="C110" s="9">
        <v>17</v>
      </c>
      <c r="D110" s="9" t="s">
        <v>139</v>
      </c>
      <c r="E110" s="9">
        <v>36</v>
      </c>
      <c r="F110" s="9">
        <v>701.70600000000002</v>
      </c>
      <c r="G110" s="9">
        <v>0.30599999999999999</v>
      </c>
    </row>
    <row r="111" spans="1:7">
      <c r="A111" s="9" t="s">
        <v>30</v>
      </c>
      <c r="B111" s="9">
        <v>5</v>
      </c>
      <c r="C111" s="9">
        <v>16</v>
      </c>
      <c r="D111" s="9" t="s">
        <v>140</v>
      </c>
      <c r="E111" s="9">
        <v>16</v>
      </c>
      <c r="F111" s="9">
        <v>700.03399999999999</v>
      </c>
      <c r="G111" s="9">
        <v>0.48499999999999999</v>
      </c>
    </row>
    <row r="112" spans="1:7">
      <c r="A112" s="9" t="s">
        <v>30</v>
      </c>
      <c r="B112" s="9">
        <v>5</v>
      </c>
      <c r="C112" s="9">
        <v>15</v>
      </c>
      <c r="D112" s="9" t="s">
        <v>141</v>
      </c>
      <c r="E112" s="9">
        <v>28</v>
      </c>
      <c r="F112" s="9">
        <v>702.01300000000003</v>
      </c>
      <c r="G112" s="9">
        <v>0.59799999999999998</v>
      </c>
    </row>
    <row r="113" spans="1:7">
      <c r="A113" s="9" t="s">
        <v>30</v>
      </c>
      <c r="B113" s="9">
        <v>5</v>
      </c>
      <c r="C113" s="9">
        <v>14</v>
      </c>
      <c r="D113" s="9" t="s">
        <v>142</v>
      </c>
      <c r="E113" s="9">
        <v>12</v>
      </c>
      <c r="F113" s="9">
        <v>700.90099999999995</v>
      </c>
      <c r="G113" s="9">
        <v>0.57999999999999996</v>
      </c>
    </row>
    <row r="114" spans="1:7">
      <c r="A114" s="9" t="s">
        <v>30</v>
      </c>
      <c r="B114" s="9">
        <v>5</v>
      </c>
      <c r="C114" s="9">
        <v>13</v>
      </c>
      <c r="D114" s="9" t="s">
        <v>143</v>
      </c>
      <c r="E114" s="9">
        <v>16</v>
      </c>
      <c r="F114" s="9">
        <v>700.04399999999998</v>
      </c>
      <c r="G114" s="9">
        <v>0.57899999999999996</v>
      </c>
    </row>
    <row r="115" spans="1:7">
      <c r="A115" s="9" t="s">
        <v>30</v>
      </c>
      <c r="B115" s="9">
        <v>5</v>
      </c>
      <c r="C115" s="9">
        <v>12</v>
      </c>
      <c r="D115" s="9" t="s">
        <v>144</v>
      </c>
      <c r="E115" s="9">
        <v>8</v>
      </c>
      <c r="F115" s="9">
        <v>701.25</v>
      </c>
      <c r="G115" s="9">
        <v>0.57399999999999995</v>
      </c>
    </row>
    <row r="116" spans="1:7">
      <c r="A116" s="9" t="s">
        <v>30</v>
      </c>
      <c r="B116" s="9">
        <v>5</v>
      </c>
      <c r="C116" s="9">
        <v>11</v>
      </c>
      <c r="D116" s="9" t="s">
        <v>145</v>
      </c>
      <c r="E116" s="9">
        <v>27</v>
      </c>
      <c r="F116" s="9">
        <v>702.94899999999996</v>
      </c>
      <c r="G116" s="9">
        <v>0.33200000000000002</v>
      </c>
    </row>
    <row r="117" spans="1:7">
      <c r="A117" s="9" t="s">
        <v>30</v>
      </c>
      <c r="B117" s="9">
        <v>5</v>
      </c>
      <c r="C117" s="9">
        <v>10</v>
      </c>
      <c r="D117" s="9" t="s">
        <v>146</v>
      </c>
      <c r="E117" s="9">
        <v>17</v>
      </c>
      <c r="F117" s="9">
        <v>700.38800000000003</v>
      </c>
      <c r="G117" s="9">
        <v>0.374</v>
      </c>
    </row>
    <row r="118" spans="1:7">
      <c r="A118" s="9" t="s">
        <v>30</v>
      </c>
      <c r="B118" s="9">
        <v>5</v>
      </c>
      <c r="C118" s="9">
        <v>9</v>
      </c>
      <c r="D118" s="9" t="s">
        <v>147</v>
      </c>
      <c r="E118" s="9">
        <v>16</v>
      </c>
      <c r="F118" s="9">
        <v>700.351</v>
      </c>
      <c r="G118" s="9">
        <v>0.36299999999999999</v>
      </c>
    </row>
    <row r="119" spans="1:7">
      <c r="A119" s="9" t="s">
        <v>30</v>
      </c>
      <c r="B119" s="9">
        <v>5</v>
      </c>
      <c r="C119" s="9">
        <v>8</v>
      </c>
      <c r="D119" s="9" t="s">
        <v>148</v>
      </c>
      <c r="E119" s="9">
        <v>11</v>
      </c>
      <c r="F119" s="9">
        <v>700.88900000000001</v>
      </c>
      <c r="G119" s="9">
        <v>0.33300000000000002</v>
      </c>
    </row>
    <row r="120" spans="1:7">
      <c r="A120" s="9" t="s">
        <v>30</v>
      </c>
      <c r="B120" s="9">
        <v>5</v>
      </c>
      <c r="C120" s="9">
        <v>7</v>
      </c>
      <c r="D120" s="9" t="s">
        <v>149</v>
      </c>
      <c r="E120" s="9">
        <v>11</v>
      </c>
      <c r="F120" s="9">
        <v>699.851</v>
      </c>
      <c r="G120" s="9">
        <v>0.18</v>
      </c>
    </row>
    <row r="121" spans="1:7">
      <c r="A121" s="9" t="s">
        <v>30</v>
      </c>
      <c r="B121" s="9">
        <v>5</v>
      </c>
      <c r="C121" s="9">
        <v>6</v>
      </c>
      <c r="D121" s="9" t="s">
        <v>150</v>
      </c>
      <c r="E121" s="9">
        <v>10</v>
      </c>
      <c r="F121" s="9">
        <v>700.03300000000002</v>
      </c>
      <c r="G121" s="9">
        <v>0.19900000000000001</v>
      </c>
    </row>
    <row r="122" spans="1:7">
      <c r="A122" s="9" t="s">
        <v>30</v>
      </c>
      <c r="B122" s="9">
        <v>5</v>
      </c>
      <c r="C122" s="9">
        <v>5</v>
      </c>
      <c r="D122" s="9" t="s">
        <v>151</v>
      </c>
      <c r="E122" s="9">
        <v>21</v>
      </c>
      <c r="F122" s="9">
        <v>701.63499999999999</v>
      </c>
      <c r="G122" s="9">
        <v>0.377</v>
      </c>
    </row>
    <row r="123" spans="1:7">
      <c r="A123" s="9" t="s">
        <v>30</v>
      </c>
      <c r="B123" s="9">
        <v>5</v>
      </c>
      <c r="C123" s="9">
        <v>4</v>
      </c>
      <c r="D123" s="9" t="s">
        <v>152</v>
      </c>
      <c r="E123" s="9">
        <v>13</v>
      </c>
      <c r="F123" s="9">
        <v>701.73400000000004</v>
      </c>
      <c r="G123" s="9">
        <v>0.28499999999999998</v>
      </c>
    </row>
    <row r="124" spans="1:7">
      <c r="A124" s="9" t="s">
        <v>30</v>
      </c>
      <c r="B124" s="9">
        <v>5</v>
      </c>
      <c r="C124" s="9">
        <v>3</v>
      </c>
      <c r="D124" s="9" t="s">
        <v>153</v>
      </c>
      <c r="E124" s="9">
        <v>17</v>
      </c>
      <c r="F124" s="9">
        <v>703.45600000000002</v>
      </c>
      <c r="G124" s="9">
        <v>0.27300000000000002</v>
      </c>
    </row>
    <row r="125" spans="1:7">
      <c r="A125" s="9" t="s">
        <v>30</v>
      </c>
      <c r="B125" s="9">
        <v>5</v>
      </c>
      <c r="C125" s="9">
        <v>2</v>
      </c>
      <c r="D125" s="9" t="s">
        <v>154</v>
      </c>
      <c r="E125" s="9">
        <v>24</v>
      </c>
      <c r="F125" s="9">
        <v>703.202</v>
      </c>
      <c r="G125" s="9">
        <v>0.16600000000000001</v>
      </c>
    </row>
    <row r="126" spans="1:7">
      <c r="A126" s="9" t="s">
        <v>30</v>
      </c>
      <c r="B126" s="9">
        <v>5</v>
      </c>
      <c r="C126" s="9">
        <v>1</v>
      </c>
      <c r="D126" s="9" t="s">
        <v>155</v>
      </c>
      <c r="E126" s="9">
        <v>21</v>
      </c>
      <c r="F126" s="9">
        <v>701.83799999999997</v>
      </c>
      <c r="G126" s="9">
        <v>0.32800000000000001</v>
      </c>
    </row>
    <row r="127" spans="1:7">
      <c r="A127" s="9" t="s">
        <v>30</v>
      </c>
      <c r="B127" s="9">
        <v>6</v>
      </c>
      <c r="C127" s="9">
        <v>25</v>
      </c>
      <c r="D127" s="9" t="s">
        <v>156</v>
      </c>
      <c r="E127" s="9">
        <v>5</v>
      </c>
      <c r="F127" s="9">
        <v>700.13300000000004</v>
      </c>
      <c r="G127" s="9">
        <v>0.27700000000000002</v>
      </c>
    </row>
    <row r="128" spans="1:7">
      <c r="A128" s="9" t="s">
        <v>30</v>
      </c>
      <c r="B128" s="9">
        <v>6</v>
      </c>
      <c r="C128" s="9">
        <v>24</v>
      </c>
      <c r="D128" s="9" t="s">
        <v>157</v>
      </c>
      <c r="E128" s="9">
        <v>24</v>
      </c>
      <c r="F128" s="9">
        <v>702.75</v>
      </c>
      <c r="G128" s="9">
        <v>6.7000000000000004E-2</v>
      </c>
    </row>
    <row r="129" spans="1:7">
      <c r="A129" s="9" t="s">
        <v>30</v>
      </c>
      <c r="B129" s="9">
        <v>6</v>
      </c>
      <c r="C129" s="9">
        <v>23</v>
      </c>
      <c r="D129" s="9" t="s">
        <v>158</v>
      </c>
      <c r="E129" s="9">
        <v>31</v>
      </c>
      <c r="F129" s="9">
        <v>701.33299999999997</v>
      </c>
      <c r="G129" s="9">
        <v>0.105</v>
      </c>
    </row>
    <row r="130" spans="1:7">
      <c r="A130" s="9" t="s">
        <v>30</v>
      </c>
      <c r="B130" s="9">
        <v>6</v>
      </c>
      <c r="C130" s="9">
        <v>22</v>
      </c>
      <c r="D130" s="9" t="s">
        <v>159</v>
      </c>
      <c r="E130" s="9">
        <v>43</v>
      </c>
      <c r="F130" s="9">
        <v>702.26099999999997</v>
      </c>
      <c r="G130" s="9">
        <v>0.187</v>
      </c>
    </row>
    <row r="131" spans="1:7">
      <c r="A131" s="9" t="s">
        <v>30</v>
      </c>
      <c r="B131" s="9">
        <v>6</v>
      </c>
      <c r="C131" s="9">
        <v>21</v>
      </c>
      <c r="D131" s="9" t="s">
        <v>160</v>
      </c>
      <c r="E131" s="9">
        <v>27</v>
      </c>
      <c r="F131" s="9">
        <v>702.01099999999997</v>
      </c>
      <c r="G131" s="9">
        <v>0.45100000000000001</v>
      </c>
    </row>
    <row r="132" spans="1:7">
      <c r="A132" s="9" t="s">
        <v>30</v>
      </c>
      <c r="B132" s="9">
        <v>6</v>
      </c>
      <c r="C132" s="9">
        <v>20</v>
      </c>
      <c r="D132" s="9" t="s">
        <v>161</v>
      </c>
      <c r="E132" s="9">
        <v>25</v>
      </c>
      <c r="F132" s="9">
        <v>702.06700000000001</v>
      </c>
      <c r="G132" s="9">
        <v>0.35899999999999999</v>
      </c>
    </row>
    <row r="133" spans="1:7">
      <c r="A133" s="9" t="s">
        <v>30</v>
      </c>
      <c r="B133" s="9">
        <v>6</v>
      </c>
      <c r="C133" s="9">
        <v>19</v>
      </c>
      <c r="D133" s="9" t="s">
        <v>162</v>
      </c>
      <c r="E133" s="9">
        <v>38</v>
      </c>
      <c r="F133" s="9">
        <v>701.52300000000002</v>
      </c>
      <c r="G133" s="9">
        <v>0.28000000000000003</v>
      </c>
    </row>
    <row r="134" spans="1:7">
      <c r="A134" s="9" t="s">
        <v>30</v>
      </c>
      <c r="B134" s="9">
        <v>6</v>
      </c>
      <c r="C134" s="9">
        <v>18</v>
      </c>
      <c r="D134" s="9" t="s">
        <v>163</v>
      </c>
      <c r="E134" s="9">
        <v>42</v>
      </c>
      <c r="F134" s="9">
        <v>702.21</v>
      </c>
      <c r="G134" s="9">
        <v>0.38</v>
      </c>
    </row>
    <row r="135" spans="1:7">
      <c r="A135" s="9" t="s">
        <v>30</v>
      </c>
      <c r="B135" s="9">
        <v>6</v>
      </c>
      <c r="C135" s="9">
        <v>17</v>
      </c>
      <c r="D135" s="9" t="s">
        <v>164</v>
      </c>
      <c r="E135" s="9">
        <v>31</v>
      </c>
      <c r="F135" s="9">
        <v>701.64400000000001</v>
      </c>
      <c r="G135" s="9">
        <v>0.42699999999999999</v>
      </c>
    </row>
    <row r="136" spans="1:7">
      <c r="A136" s="9" t="s">
        <v>30</v>
      </c>
      <c r="B136" s="9">
        <v>6</v>
      </c>
      <c r="C136" s="9">
        <v>16</v>
      </c>
      <c r="D136" s="9" t="s">
        <v>165</v>
      </c>
      <c r="E136" s="9">
        <v>20</v>
      </c>
      <c r="F136" s="9">
        <v>700.16399999999999</v>
      </c>
      <c r="G136" s="9">
        <v>0.46100000000000002</v>
      </c>
    </row>
    <row r="137" spans="1:7">
      <c r="A137" s="9" t="s">
        <v>30</v>
      </c>
      <c r="B137" s="9">
        <v>6</v>
      </c>
      <c r="C137" s="9">
        <v>15</v>
      </c>
      <c r="D137" s="9" t="s">
        <v>166</v>
      </c>
      <c r="E137" s="9">
        <v>11</v>
      </c>
      <c r="F137" s="9">
        <v>698.35900000000004</v>
      </c>
      <c r="G137" s="9">
        <v>0.25</v>
      </c>
    </row>
    <row r="138" spans="1:7">
      <c r="A138" s="9" t="s">
        <v>30</v>
      </c>
      <c r="B138" s="9">
        <v>6</v>
      </c>
      <c r="C138" s="9">
        <v>14</v>
      </c>
      <c r="D138" s="9" t="s">
        <v>167</v>
      </c>
      <c r="E138" s="9">
        <v>16</v>
      </c>
      <c r="F138" s="9">
        <v>700.23699999999997</v>
      </c>
      <c r="G138" s="9">
        <v>0.49099999999999999</v>
      </c>
    </row>
    <row r="139" spans="1:7">
      <c r="A139" s="9" t="s">
        <v>30</v>
      </c>
      <c r="B139" s="9">
        <v>6</v>
      </c>
      <c r="C139" s="9">
        <v>13</v>
      </c>
      <c r="D139" s="9" t="s">
        <v>168</v>
      </c>
      <c r="E139" s="9">
        <v>18</v>
      </c>
      <c r="F139" s="9">
        <v>700.06700000000001</v>
      </c>
      <c r="G139" s="9">
        <v>0.44900000000000001</v>
      </c>
    </row>
    <row r="140" spans="1:7">
      <c r="A140" s="9" t="s">
        <v>30</v>
      </c>
      <c r="B140" s="9">
        <v>6</v>
      </c>
      <c r="C140" s="9">
        <v>12</v>
      </c>
      <c r="D140" s="9" t="s">
        <v>169</v>
      </c>
      <c r="E140" s="9">
        <v>22</v>
      </c>
      <c r="F140" s="9">
        <v>700.06100000000004</v>
      </c>
      <c r="G140" s="9">
        <v>0.51200000000000001</v>
      </c>
    </row>
    <row r="141" spans="1:7">
      <c r="A141" s="9" t="s">
        <v>30</v>
      </c>
      <c r="B141" s="9">
        <v>6</v>
      </c>
      <c r="C141" s="9">
        <v>11</v>
      </c>
      <c r="D141" s="9" t="s">
        <v>170</v>
      </c>
      <c r="E141" s="9">
        <v>18</v>
      </c>
      <c r="F141" s="9">
        <v>700.16600000000005</v>
      </c>
      <c r="G141" s="9">
        <v>0.496</v>
      </c>
    </row>
    <row r="142" spans="1:7">
      <c r="A142" s="9" t="s">
        <v>30</v>
      </c>
      <c r="B142" s="9">
        <v>6</v>
      </c>
      <c r="C142" s="9">
        <v>10</v>
      </c>
      <c r="D142" s="9" t="s">
        <v>171</v>
      </c>
      <c r="E142" s="9">
        <v>13</v>
      </c>
      <c r="F142" s="9">
        <v>698.93299999999999</v>
      </c>
      <c r="G142" s="9">
        <v>0.316</v>
      </c>
    </row>
    <row r="143" spans="1:7">
      <c r="A143" s="9" t="s">
        <v>30</v>
      </c>
      <c r="B143" s="9">
        <v>6</v>
      </c>
      <c r="C143" s="9">
        <v>9</v>
      </c>
      <c r="D143" s="9" t="s">
        <v>172</v>
      </c>
      <c r="E143" s="9">
        <v>12</v>
      </c>
      <c r="F143" s="9">
        <v>698.77</v>
      </c>
      <c r="G143" s="9">
        <v>0.34</v>
      </c>
    </row>
    <row r="144" spans="1:7">
      <c r="A144" s="9" t="s">
        <v>30</v>
      </c>
      <c r="B144" s="9">
        <v>6</v>
      </c>
      <c r="C144" s="9">
        <v>8</v>
      </c>
      <c r="D144" s="9" t="s">
        <v>173</v>
      </c>
      <c r="E144" s="9">
        <v>15</v>
      </c>
      <c r="F144" s="9">
        <v>700.23599999999999</v>
      </c>
      <c r="G144" s="9">
        <v>0.47599999999999998</v>
      </c>
    </row>
    <row r="145" spans="1:7">
      <c r="A145" s="9" t="s">
        <v>30</v>
      </c>
      <c r="B145" s="9">
        <v>6</v>
      </c>
      <c r="C145" s="9">
        <v>7</v>
      </c>
      <c r="D145" s="9" t="s">
        <v>174</v>
      </c>
      <c r="E145" s="9">
        <v>16</v>
      </c>
      <c r="F145" s="9">
        <v>702.58199999999999</v>
      </c>
      <c r="G145" s="9">
        <v>0.14599999999999999</v>
      </c>
    </row>
    <row r="146" spans="1:7">
      <c r="A146" s="9" t="s">
        <v>30</v>
      </c>
      <c r="B146" s="9">
        <v>6</v>
      </c>
      <c r="C146" s="9">
        <v>6</v>
      </c>
      <c r="D146" s="9" t="s">
        <v>175</v>
      </c>
      <c r="E146" s="9">
        <v>28</v>
      </c>
      <c r="F146" s="9">
        <v>702.46900000000005</v>
      </c>
      <c r="G146" s="9">
        <v>0.27300000000000002</v>
      </c>
    </row>
    <row r="147" spans="1:7">
      <c r="A147" s="9" t="s">
        <v>30</v>
      </c>
      <c r="B147" s="9">
        <v>6</v>
      </c>
      <c r="C147" s="9">
        <v>5</v>
      </c>
      <c r="D147" s="9" t="s">
        <v>176</v>
      </c>
      <c r="E147" s="9">
        <v>12</v>
      </c>
      <c r="F147" s="9">
        <v>701.05499999999995</v>
      </c>
      <c r="G147" s="9">
        <v>0.09</v>
      </c>
    </row>
    <row r="148" spans="1:7">
      <c r="A148" s="9" t="s">
        <v>30</v>
      </c>
      <c r="B148" s="9">
        <v>6</v>
      </c>
      <c r="C148" s="9">
        <v>4</v>
      </c>
      <c r="D148" s="9" t="s">
        <v>177</v>
      </c>
      <c r="E148" s="9">
        <v>34</v>
      </c>
      <c r="F148" s="9">
        <v>702.19200000000001</v>
      </c>
      <c r="G148" s="9">
        <v>0.38700000000000001</v>
      </c>
    </row>
    <row r="149" spans="1:7">
      <c r="A149" s="9" t="s">
        <v>30</v>
      </c>
      <c r="B149" s="9">
        <v>6</v>
      </c>
      <c r="C149" s="9">
        <v>3</v>
      </c>
      <c r="D149" s="9" t="s">
        <v>178</v>
      </c>
      <c r="E149" s="9">
        <v>32</v>
      </c>
      <c r="F149" s="9">
        <v>701.71299999999997</v>
      </c>
      <c r="G149" s="9">
        <v>0.373</v>
      </c>
    </row>
    <row r="150" spans="1:7">
      <c r="A150" s="9" t="s">
        <v>30</v>
      </c>
      <c r="B150" s="9">
        <v>6</v>
      </c>
      <c r="C150" s="9">
        <v>2</v>
      </c>
      <c r="D150" s="9" t="s">
        <v>179</v>
      </c>
      <c r="E150" s="9">
        <v>62</v>
      </c>
      <c r="F150" s="9">
        <v>702.28599999999994</v>
      </c>
      <c r="G150" s="9">
        <v>0.39700000000000002</v>
      </c>
    </row>
    <row r="151" spans="1:7">
      <c r="A151" s="9" t="s">
        <v>30</v>
      </c>
      <c r="B151" s="9">
        <v>6</v>
      </c>
      <c r="C151" s="9">
        <v>1</v>
      </c>
      <c r="D151" s="9" t="s">
        <v>180</v>
      </c>
      <c r="E151" s="9">
        <v>4</v>
      </c>
      <c r="F151" s="9">
        <v>702.04100000000005</v>
      </c>
      <c r="G151" s="9">
        <v>0.309</v>
      </c>
    </row>
    <row r="152" spans="1:7">
      <c r="A152" s="9" t="s">
        <v>181</v>
      </c>
      <c r="B152" s="9">
        <v>1</v>
      </c>
      <c r="C152" s="9">
        <v>25</v>
      </c>
      <c r="D152" s="9" t="s">
        <v>182</v>
      </c>
      <c r="E152" s="9">
        <v>36</v>
      </c>
      <c r="F152" s="9">
        <v>703.13599999999997</v>
      </c>
      <c r="G152" s="9">
        <v>0.38300000000000001</v>
      </c>
    </row>
    <row r="153" spans="1:7">
      <c r="A153" s="9" t="s">
        <v>181</v>
      </c>
      <c r="B153" s="9">
        <v>1</v>
      </c>
      <c r="C153" s="9">
        <v>24</v>
      </c>
      <c r="D153" s="9" t="s">
        <v>183</v>
      </c>
      <c r="E153" s="9">
        <v>25</v>
      </c>
      <c r="F153" s="9">
        <v>700.60799999999995</v>
      </c>
      <c r="G153" s="9">
        <v>0.315</v>
      </c>
    </row>
    <row r="154" spans="1:7">
      <c r="A154" s="9" t="s">
        <v>181</v>
      </c>
      <c r="B154" s="9">
        <v>1</v>
      </c>
      <c r="C154" s="9">
        <v>23</v>
      </c>
      <c r="D154" s="9" t="s">
        <v>184</v>
      </c>
      <c r="E154" s="9">
        <v>23</v>
      </c>
      <c r="F154" s="9">
        <v>700.51400000000001</v>
      </c>
      <c r="G154" s="9">
        <v>0.21</v>
      </c>
    </row>
    <row r="155" spans="1:7">
      <c r="A155" s="9" t="s">
        <v>181</v>
      </c>
      <c r="B155" s="9">
        <v>1</v>
      </c>
      <c r="C155" s="9">
        <v>22</v>
      </c>
      <c r="D155" s="9" t="s">
        <v>185</v>
      </c>
      <c r="E155" s="9">
        <v>19</v>
      </c>
      <c r="F155" s="9">
        <v>698.22900000000004</v>
      </c>
      <c r="G155" s="9">
        <v>1.208</v>
      </c>
    </row>
    <row r="156" spans="1:7">
      <c r="A156" s="9" t="s">
        <v>181</v>
      </c>
      <c r="B156" s="9">
        <v>1</v>
      </c>
      <c r="C156" s="9">
        <v>21</v>
      </c>
      <c r="D156" s="9" t="s">
        <v>186</v>
      </c>
      <c r="E156" s="9">
        <v>8</v>
      </c>
      <c r="F156" s="9">
        <v>702.28899999999999</v>
      </c>
      <c r="G156" s="9">
        <v>0.27700000000000002</v>
      </c>
    </row>
    <row r="157" spans="1:7">
      <c r="A157" s="9" t="s">
        <v>181</v>
      </c>
      <c r="B157" s="9">
        <v>1</v>
      </c>
      <c r="C157" s="9">
        <v>20</v>
      </c>
      <c r="D157" s="9" t="s">
        <v>187</v>
      </c>
      <c r="E157" s="9">
        <v>10</v>
      </c>
      <c r="F157" s="9">
        <v>698.53300000000002</v>
      </c>
      <c r="G157" s="9">
        <v>0.48199999999999998</v>
      </c>
    </row>
    <row r="158" spans="1:7">
      <c r="A158" s="9" t="s">
        <v>181</v>
      </c>
      <c r="B158" s="9">
        <v>1</v>
      </c>
      <c r="C158" s="9">
        <v>19</v>
      </c>
      <c r="D158" s="9" t="s">
        <v>188</v>
      </c>
      <c r="E158" s="9">
        <v>12</v>
      </c>
      <c r="F158" s="9">
        <v>701.23699999999997</v>
      </c>
      <c r="G158" s="9">
        <v>0.33500000000000002</v>
      </c>
    </row>
    <row r="159" spans="1:7">
      <c r="A159" s="9" t="s">
        <v>181</v>
      </c>
      <c r="B159" s="9">
        <v>1</v>
      </c>
      <c r="C159" s="9">
        <v>18</v>
      </c>
      <c r="D159" s="9" t="s">
        <v>189</v>
      </c>
      <c r="E159" s="9">
        <v>15</v>
      </c>
      <c r="F159" s="9">
        <v>699.49199999999996</v>
      </c>
      <c r="G159" s="9">
        <v>0.309</v>
      </c>
    </row>
    <row r="160" spans="1:7">
      <c r="A160" s="9" t="s">
        <v>181</v>
      </c>
      <c r="B160" s="9">
        <v>1</v>
      </c>
      <c r="C160" s="9">
        <v>17</v>
      </c>
      <c r="D160" s="9" t="s">
        <v>190</v>
      </c>
      <c r="E160" s="9">
        <v>11</v>
      </c>
      <c r="F160" s="9">
        <v>699.52099999999996</v>
      </c>
      <c r="G160" s="9">
        <v>0.248</v>
      </c>
    </row>
    <row r="161" spans="1:7">
      <c r="A161" s="9" t="s">
        <v>181</v>
      </c>
      <c r="B161" s="9">
        <v>1</v>
      </c>
      <c r="C161" s="9">
        <v>16</v>
      </c>
      <c r="D161" s="9" t="s">
        <v>191</v>
      </c>
      <c r="E161" s="9">
        <v>3</v>
      </c>
      <c r="F161" s="9">
        <v>701.27700000000004</v>
      </c>
      <c r="G161" s="9">
        <v>0.47599999999999998</v>
      </c>
    </row>
    <row r="162" spans="1:7">
      <c r="A162" s="9" t="s">
        <v>181</v>
      </c>
      <c r="B162" s="9">
        <v>1</v>
      </c>
      <c r="C162" s="9">
        <v>15</v>
      </c>
      <c r="D162" s="9" t="s">
        <v>192</v>
      </c>
      <c r="E162" s="9">
        <v>13</v>
      </c>
      <c r="F162" s="9">
        <v>701.61500000000001</v>
      </c>
      <c r="G162" s="9">
        <v>0.34899999999999998</v>
      </c>
    </row>
    <row r="163" spans="1:7">
      <c r="A163" s="9" t="s">
        <v>181</v>
      </c>
      <c r="B163" s="9">
        <v>1</v>
      </c>
      <c r="C163" s="9">
        <v>14</v>
      </c>
      <c r="D163" s="9" t="s">
        <v>193</v>
      </c>
      <c r="E163" s="9">
        <v>13</v>
      </c>
      <c r="F163" s="9">
        <v>698.33699999999999</v>
      </c>
      <c r="G163" s="9">
        <v>0.95199999999999996</v>
      </c>
    </row>
    <row r="164" spans="1:7">
      <c r="A164" s="9" t="s">
        <v>181</v>
      </c>
      <c r="B164" s="9">
        <v>1</v>
      </c>
      <c r="C164" s="9">
        <v>13</v>
      </c>
      <c r="D164" s="9" t="s">
        <v>194</v>
      </c>
      <c r="E164" s="9">
        <v>21</v>
      </c>
      <c r="F164" s="9">
        <v>700.12099999999998</v>
      </c>
      <c r="G164" s="9">
        <v>0.31900000000000001</v>
      </c>
    </row>
    <row r="165" spans="1:7">
      <c r="A165" s="9" t="s">
        <v>181</v>
      </c>
      <c r="B165" s="9">
        <v>1</v>
      </c>
      <c r="C165" s="9">
        <v>12</v>
      </c>
      <c r="D165" s="9" t="s">
        <v>195</v>
      </c>
      <c r="E165" s="9">
        <v>18</v>
      </c>
      <c r="F165" s="9">
        <v>700.95399999999995</v>
      </c>
      <c r="G165" s="9">
        <v>0.157</v>
      </c>
    </row>
    <row r="166" spans="1:7">
      <c r="A166" s="9" t="s">
        <v>181</v>
      </c>
      <c r="B166" s="9">
        <v>1</v>
      </c>
      <c r="C166" s="9">
        <v>11</v>
      </c>
      <c r="D166" s="9" t="s">
        <v>196</v>
      </c>
      <c r="E166" s="9">
        <v>11</v>
      </c>
      <c r="F166" s="9">
        <v>701.26800000000003</v>
      </c>
      <c r="G166" s="9">
        <v>0.26</v>
      </c>
    </row>
    <row r="167" spans="1:7">
      <c r="A167" s="9" t="s">
        <v>181</v>
      </c>
      <c r="B167" s="9">
        <v>1</v>
      </c>
      <c r="C167" s="9">
        <v>10</v>
      </c>
      <c r="D167" s="9" t="s">
        <v>197</v>
      </c>
      <c r="E167" s="9">
        <v>19</v>
      </c>
      <c r="F167" s="9">
        <v>701.67399999999998</v>
      </c>
      <c r="G167" s="9">
        <v>0.14499999999999999</v>
      </c>
    </row>
    <row r="168" spans="1:7">
      <c r="A168" s="9" t="s">
        <v>181</v>
      </c>
      <c r="B168" s="9">
        <v>1</v>
      </c>
      <c r="C168" s="9">
        <v>9</v>
      </c>
      <c r="D168" s="9" t="s">
        <v>198</v>
      </c>
      <c r="E168" s="9">
        <v>17</v>
      </c>
      <c r="F168" s="9">
        <v>700.98599999999999</v>
      </c>
      <c r="G168" s="9">
        <v>0.20899999999999999</v>
      </c>
    </row>
    <row r="169" spans="1:7">
      <c r="A169" s="9" t="s">
        <v>181</v>
      </c>
      <c r="B169" s="9">
        <v>1</v>
      </c>
      <c r="C169" s="9">
        <v>8</v>
      </c>
      <c r="D169" s="9" t="s">
        <v>199</v>
      </c>
      <c r="E169" s="9">
        <v>20</v>
      </c>
      <c r="F169" s="9">
        <v>701.25900000000001</v>
      </c>
      <c r="G169" s="9">
        <v>0.216</v>
      </c>
    </row>
    <row r="170" spans="1:7">
      <c r="A170" s="9" t="s">
        <v>181</v>
      </c>
      <c r="B170" s="9">
        <v>1</v>
      </c>
      <c r="C170" s="9">
        <v>7</v>
      </c>
      <c r="D170" s="9" t="s">
        <v>200</v>
      </c>
      <c r="E170" s="9">
        <v>17</v>
      </c>
      <c r="F170" s="9">
        <v>700.2</v>
      </c>
      <c r="G170" s="9">
        <v>0.221</v>
      </c>
    </row>
    <row r="171" spans="1:7">
      <c r="A171" s="9" t="s">
        <v>181</v>
      </c>
      <c r="B171" s="9">
        <v>1</v>
      </c>
      <c r="C171" s="9">
        <v>6</v>
      </c>
      <c r="D171" s="9" t="s">
        <v>201</v>
      </c>
      <c r="E171" s="9">
        <v>15</v>
      </c>
      <c r="F171" s="9">
        <v>701.75400000000002</v>
      </c>
      <c r="G171" s="9">
        <v>0.34300000000000003</v>
      </c>
    </row>
    <row r="172" spans="1:7">
      <c r="A172" s="9" t="s">
        <v>181</v>
      </c>
      <c r="B172" s="9">
        <v>1</v>
      </c>
      <c r="C172" s="9">
        <v>5</v>
      </c>
      <c r="D172" s="9" t="s">
        <v>202</v>
      </c>
      <c r="E172" s="9">
        <v>11</v>
      </c>
      <c r="F172" s="9">
        <v>701.56200000000001</v>
      </c>
      <c r="G172" s="9">
        <v>0.29499999999999998</v>
      </c>
    </row>
    <row r="173" spans="1:7">
      <c r="A173" s="9" t="s">
        <v>181</v>
      </c>
      <c r="B173" s="9">
        <v>1</v>
      </c>
      <c r="C173" s="9">
        <v>4</v>
      </c>
      <c r="D173" s="9" t="s">
        <v>203</v>
      </c>
      <c r="E173" s="9">
        <v>15</v>
      </c>
      <c r="F173" s="9">
        <v>701.15</v>
      </c>
      <c r="G173" s="9">
        <v>0.3</v>
      </c>
    </row>
    <row r="174" spans="1:7">
      <c r="A174" s="9" t="s">
        <v>181</v>
      </c>
      <c r="B174" s="9">
        <v>1</v>
      </c>
      <c r="C174" s="9">
        <v>3</v>
      </c>
      <c r="D174" s="9" t="s">
        <v>204</v>
      </c>
      <c r="E174" s="9">
        <v>8</v>
      </c>
      <c r="F174" s="9">
        <v>699.50099999999998</v>
      </c>
      <c r="G174" s="9">
        <v>0.17699999999999999</v>
      </c>
    </row>
    <row r="175" spans="1:7">
      <c r="A175" s="9" t="s">
        <v>181</v>
      </c>
      <c r="B175" s="9">
        <v>1</v>
      </c>
      <c r="C175" s="9">
        <v>2</v>
      </c>
      <c r="D175" s="9" t="s">
        <v>205</v>
      </c>
      <c r="E175" s="9">
        <v>14</v>
      </c>
      <c r="F175" s="9">
        <v>702.37599999999998</v>
      </c>
      <c r="G175" s="9">
        <v>0.159</v>
      </c>
    </row>
    <row r="176" spans="1:7">
      <c r="A176" s="9" t="s">
        <v>181</v>
      </c>
      <c r="B176" s="9">
        <v>1</v>
      </c>
      <c r="C176" s="9">
        <v>1</v>
      </c>
      <c r="D176" s="9" t="s">
        <v>206</v>
      </c>
      <c r="E176" s="9">
        <v>12</v>
      </c>
      <c r="F176" s="9">
        <v>702.20699999999999</v>
      </c>
      <c r="G176" s="9">
        <v>0.156</v>
      </c>
    </row>
    <row r="177" spans="1:7">
      <c r="A177" s="9" t="s">
        <v>181</v>
      </c>
      <c r="B177" s="9">
        <v>2</v>
      </c>
      <c r="C177" s="9">
        <v>25</v>
      </c>
      <c r="D177" s="9" t="s">
        <v>207</v>
      </c>
      <c r="E177" s="9">
        <v>33</v>
      </c>
      <c r="F177" s="9">
        <v>699.97699999999998</v>
      </c>
      <c r="G177" s="9">
        <v>1.1619999999999999</v>
      </c>
    </row>
    <row r="178" spans="1:7">
      <c r="A178" s="9" t="s">
        <v>181</v>
      </c>
      <c r="B178" s="9">
        <v>2</v>
      </c>
      <c r="C178" s="9">
        <v>24</v>
      </c>
      <c r="D178" s="9" t="s">
        <v>208</v>
      </c>
      <c r="E178" s="9">
        <v>29</v>
      </c>
      <c r="F178" s="9">
        <v>701.29100000000005</v>
      </c>
      <c r="G178" s="9">
        <v>0.47399999999999998</v>
      </c>
    </row>
    <row r="179" spans="1:7">
      <c r="A179" s="9" t="s">
        <v>181</v>
      </c>
      <c r="B179" s="9">
        <v>2</v>
      </c>
      <c r="C179" s="9">
        <v>23</v>
      </c>
      <c r="D179" s="9" t="s">
        <v>209</v>
      </c>
      <c r="E179" s="9">
        <v>35</v>
      </c>
      <c r="F179" s="9">
        <v>701.601</v>
      </c>
      <c r="G179" s="9">
        <v>0.34599999999999997</v>
      </c>
    </row>
    <row r="180" spans="1:7">
      <c r="A180" s="9" t="s">
        <v>181</v>
      </c>
      <c r="B180" s="9">
        <v>2</v>
      </c>
      <c r="C180" s="9">
        <v>22</v>
      </c>
      <c r="D180" s="9" t="s">
        <v>210</v>
      </c>
      <c r="E180" s="9">
        <v>26</v>
      </c>
      <c r="F180" s="9">
        <v>700.428</v>
      </c>
      <c r="G180" s="9">
        <v>0.46</v>
      </c>
    </row>
    <row r="181" spans="1:7">
      <c r="A181" s="9" t="s">
        <v>181</v>
      </c>
      <c r="B181" s="9">
        <v>2</v>
      </c>
      <c r="C181" s="9">
        <v>21</v>
      </c>
      <c r="D181" s="9" t="s">
        <v>211</v>
      </c>
      <c r="E181" s="9">
        <v>14</v>
      </c>
      <c r="F181" s="9">
        <v>699.99300000000005</v>
      </c>
      <c r="G181" s="9">
        <v>0.51</v>
      </c>
    </row>
    <row r="182" spans="1:7">
      <c r="A182" s="9" t="s">
        <v>181</v>
      </c>
      <c r="B182" s="9">
        <v>2</v>
      </c>
      <c r="C182" s="9">
        <v>20</v>
      </c>
      <c r="D182" s="9" t="s">
        <v>212</v>
      </c>
      <c r="E182" s="9">
        <v>10</v>
      </c>
      <c r="F182" s="9">
        <v>701.125</v>
      </c>
      <c r="G182" s="9">
        <v>0.32</v>
      </c>
    </row>
    <row r="183" spans="1:7">
      <c r="A183" s="9" t="s">
        <v>181</v>
      </c>
      <c r="B183" s="9">
        <v>2</v>
      </c>
      <c r="C183" s="9">
        <v>19</v>
      </c>
      <c r="D183" s="9" t="s">
        <v>213</v>
      </c>
      <c r="E183" s="9">
        <v>23</v>
      </c>
      <c r="F183" s="9">
        <v>699.89</v>
      </c>
      <c r="G183" s="9">
        <v>0.74099999999999999</v>
      </c>
    </row>
    <row r="184" spans="1:7">
      <c r="A184" s="9" t="s">
        <v>181</v>
      </c>
      <c r="B184" s="9">
        <v>2</v>
      </c>
      <c r="C184" s="9">
        <v>18</v>
      </c>
      <c r="D184" s="9" t="s">
        <v>214</v>
      </c>
      <c r="E184" s="9">
        <v>9</v>
      </c>
      <c r="F184" s="9">
        <v>700.65</v>
      </c>
      <c r="G184" s="9">
        <v>0.312</v>
      </c>
    </row>
    <row r="185" spans="1:7">
      <c r="A185" s="9" t="s">
        <v>181</v>
      </c>
      <c r="B185" s="9">
        <v>2</v>
      </c>
      <c r="C185" s="9">
        <v>17</v>
      </c>
      <c r="D185" s="9" t="s">
        <v>215</v>
      </c>
      <c r="E185" s="9">
        <v>15</v>
      </c>
      <c r="F185" s="9">
        <v>699.81299999999999</v>
      </c>
      <c r="G185" s="9">
        <v>0.80900000000000005</v>
      </c>
    </row>
    <row r="186" spans="1:7">
      <c r="A186" s="9" t="s">
        <v>181</v>
      </c>
      <c r="B186" s="9">
        <v>2</v>
      </c>
      <c r="C186" s="9">
        <v>16</v>
      </c>
      <c r="D186" s="9" t="s">
        <v>216</v>
      </c>
      <c r="E186" s="9">
        <v>13</v>
      </c>
      <c r="F186" s="9">
        <v>700.452</v>
      </c>
      <c r="G186" s="9">
        <v>0.629</v>
      </c>
    </row>
    <row r="187" spans="1:7">
      <c r="A187" s="9" t="s">
        <v>181</v>
      </c>
      <c r="B187" s="9">
        <v>2</v>
      </c>
      <c r="C187" s="9">
        <v>15</v>
      </c>
      <c r="D187" s="9" t="s">
        <v>217</v>
      </c>
      <c r="E187" s="9">
        <v>21</v>
      </c>
      <c r="F187" s="9">
        <v>700.82100000000003</v>
      </c>
      <c r="G187" s="9">
        <v>0.33600000000000002</v>
      </c>
    </row>
    <row r="188" spans="1:7">
      <c r="A188" s="9" t="s">
        <v>181</v>
      </c>
      <c r="B188" s="9">
        <v>2</v>
      </c>
      <c r="C188" s="9">
        <v>14</v>
      </c>
      <c r="D188" s="9" t="s">
        <v>218</v>
      </c>
      <c r="E188" s="9">
        <v>8</v>
      </c>
      <c r="F188" s="9">
        <v>700.73599999999999</v>
      </c>
      <c r="G188" s="9">
        <v>0.32200000000000001</v>
      </c>
    </row>
    <row r="189" spans="1:7">
      <c r="A189" s="9" t="s">
        <v>181</v>
      </c>
      <c r="B189" s="9">
        <v>2</v>
      </c>
      <c r="C189" s="9">
        <v>13</v>
      </c>
      <c r="D189" s="9" t="s">
        <v>219</v>
      </c>
      <c r="E189" s="9">
        <v>22</v>
      </c>
      <c r="F189" s="9">
        <v>700.79600000000005</v>
      </c>
      <c r="G189" s="9">
        <v>0.14599999999999999</v>
      </c>
    </row>
    <row r="190" spans="1:7">
      <c r="A190" s="9" t="s">
        <v>181</v>
      </c>
      <c r="B190" s="9">
        <v>2</v>
      </c>
      <c r="C190" s="9">
        <v>12</v>
      </c>
      <c r="D190" s="9" t="s">
        <v>220</v>
      </c>
      <c r="E190" s="9">
        <v>30</v>
      </c>
      <c r="F190" s="9">
        <v>701.096</v>
      </c>
      <c r="G190" s="9">
        <v>0.26</v>
      </c>
    </row>
    <row r="191" spans="1:7">
      <c r="A191" s="9" t="s">
        <v>181</v>
      </c>
      <c r="B191" s="9">
        <v>2</v>
      </c>
      <c r="C191" s="9">
        <v>11</v>
      </c>
      <c r="D191" s="9" t="s">
        <v>221</v>
      </c>
      <c r="E191" s="9">
        <v>23</v>
      </c>
      <c r="F191" s="9">
        <v>701.16700000000003</v>
      </c>
      <c r="G191" s="9">
        <v>0.27700000000000002</v>
      </c>
    </row>
    <row r="192" spans="1:7">
      <c r="A192" s="9" t="s">
        <v>181</v>
      </c>
      <c r="B192" s="9">
        <v>2</v>
      </c>
      <c r="C192" s="9">
        <v>10</v>
      </c>
      <c r="D192" s="9" t="s">
        <v>222</v>
      </c>
      <c r="E192" s="9">
        <v>14</v>
      </c>
      <c r="F192" s="9">
        <v>701.04200000000003</v>
      </c>
      <c r="G192" s="9">
        <v>0.26300000000000001</v>
      </c>
    </row>
    <row r="193" spans="1:7">
      <c r="A193" s="9" t="s">
        <v>181</v>
      </c>
      <c r="B193" s="9">
        <v>2</v>
      </c>
      <c r="C193" s="9">
        <v>9</v>
      </c>
      <c r="D193" s="9" t="s">
        <v>223</v>
      </c>
      <c r="E193" s="9">
        <v>14</v>
      </c>
      <c r="F193" s="9">
        <v>701.14099999999996</v>
      </c>
      <c r="G193" s="9">
        <v>0.23499999999999999</v>
      </c>
    </row>
    <row r="194" spans="1:7">
      <c r="A194" s="9" t="s">
        <v>181</v>
      </c>
      <c r="B194" s="9">
        <v>2</v>
      </c>
      <c r="C194" s="9">
        <v>8</v>
      </c>
      <c r="D194" s="9" t="s">
        <v>224</v>
      </c>
      <c r="E194" s="9">
        <v>16</v>
      </c>
      <c r="F194" s="9">
        <v>701.24199999999996</v>
      </c>
      <c r="G194" s="9">
        <v>0.309</v>
      </c>
    </row>
    <row r="195" spans="1:7">
      <c r="A195" s="9" t="s">
        <v>181</v>
      </c>
      <c r="B195" s="9">
        <v>2</v>
      </c>
      <c r="C195" s="9">
        <v>7</v>
      </c>
      <c r="D195" s="9" t="s">
        <v>225</v>
      </c>
      <c r="E195" s="9">
        <v>11</v>
      </c>
      <c r="F195" s="9">
        <v>700.87400000000002</v>
      </c>
      <c r="G195" s="9">
        <v>0.13900000000000001</v>
      </c>
    </row>
    <row r="196" spans="1:7">
      <c r="A196" s="9" t="s">
        <v>181</v>
      </c>
      <c r="B196" s="9">
        <v>2</v>
      </c>
      <c r="C196" s="9">
        <v>6</v>
      </c>
      <c r="D196" s="9" t="s">
        <v>226</v>
      </c>
      <c r="E196" s="9">
        <v>20</v>
      </c>
      <c r="F196" s="9">
        <v>700.69500000000005</v>
      </c>
      <c r="G196" s="9">
        <v>0.35899999999999999</v>
      </c>
    </row>
    <row r="197" spans="1:7">
      <c r="A197" s="9" t="s">
        <v>181</v>
      </c>
      <c r="B197" s="9">
        <v>2</v>
      </c>
      <c r="C197" s="9">
        <v>5</v>
      </c>
      <c r="D197" s="9" t="s">
        <v>227</v>
      </c>
      <c r="E197" s="9">
        <v>19</v>
      </c>
      <c r="F197" s="9">
        <v>700.351</v>
      </c>
      <c r="G197" s="9">
        <v>0.247</v>
      </c>
    </row>
    <row r="198" spans="1:7">
      <c r="A198" s="9" t="s">
        <v>181</v>
      </c>
      <c r="B198" s="9">
        <v>2</v>
      </c>
      <c r="C198" s="9">
        <v>4</v>
      </c>
      <c r="D198" s="9" t="s">
        <v>228</v>
      </c>
      <c r="E198" s="9">
        <v>18</v>
      </c>
      <c r="F198" s="9">
        <v>699.97500000000002</v>
      </c>
      <c r="G198" s="9">
        <v>0.222</v>
      </c>
    </row>
    <row r="199" spans="1:7">
      <c r="A199" s="9" t="s">
        <v>181</v>
      </c>
      <c r="B199" s="9">
        <v>2</v>
      </c>
      <c r="C199" s="9">
        <v>3</v>
      </c>
      <c r="D199" s="9" t="s">
        <v>229</v>
      </c>
      <c r="E199" s="9">
        <v>19</v>
      </c>
      <c r="F199" s="9">
        <v>700.51</v>
      </c>
      <c r="G199" s="9">
        <v>1.1619999999999999</v>
      </c>
    </row>
    <row r="200" spans="1:7">
      <c r="A200" s="9" t="s">
        <v>181</v>
      </c>
      <c r="B200" s="9">
        <v>2</v>
      </c>
      <c r="C200" s="9">
        <v>2</v>
      </c>
      <c r="D200" s="9" t="s">
        <v>230</v>
      </c>
      <c r="E200" s="9">
        <v>15</v>
      </c>
      <c r="F200" s="9">
        <v>702.35900000000004</v>
      </c>
      <c r="G200" s="9">
        <v>0.45500000000000002</v>
      </c>
    </row>
    <row r="201" spans="1:7">
      <c r="A201" s="9" t="s">
        <v>181</v>
      </c>
      <c r="B201" s="9">
        <v>2</v>
      </c>
      <c r="C201" s="9">
        <v>1</v>
      </c>
      <c r="D201" s="9" t="s">
        <v>231</v>
      </c>
      <c r="E201" s="9">
        <v>25</v>
      </c>
      <c r="F201" s="9">
        <v>700.93899999999996</v>
      </c>
      <c r="G201" s="9">
        <v>0.31</v>
      </c>
    </row>
    <row r="202" spans="1:7">
      <c r="A202" s="9" t="s">
        <v>181</v>
      </c>
      <c r="B202" s="9">
        <v>3</v>
      </c>
      <c r="C202" s="9">
        <v>25</v>
      </c>
      <c r="D202" s="9" t="s">
        <v>232</v>
      </c>
      <c r="E202" s="9">
        <v>18</v>
      </c>
      <c r="F202" s="9">
        <v>701.16300000000001</v>
      </c>
      <c r="G202" s="9">
        <v>0.35099999999999998</v>
      </c>
    </row>
    <row r="203" spans="1:7">
      <c r="A203" s="9" t="s">
        <v>181</v>
      </c>
      <c r="B203" s="9">
        <v>3</v>
      </c>
      <c r="C203" s="9">
        <v>24</v>
      </c>
      <c r="D203" s="9" t="s">
        <v>233</v>
      </c>
      <c r="E203" s="9">
        <v>30</v>
      </c>
      <c r="F203" s="9">
        <v>700.61400000000003</v>
      </c>
      <c r="G203" s="9">
        <v>9.6000000000000002E-2</v>
      </c>
    </row>
    <row r="204" spans="1:7">
      <c r="A204" s="9" t="s">
        <v>181</v>
      </c>
      <c r="B204" s="9">
        <v>3</v>
      </c>
      <c r="C204" s="9">
        <v>23</v>
      </c>
      <c r="D204" s="9" t="s">
        <v>234</v>
      </c>
      <c r="E204" s="9">
        <v>15</v>
      </c>
      <c r="F204" s="9">
        <v>699.76300000000003</v>
      </c>
      <c r="G204" s="9">
        <v>0.13900000000000001</v>
      </c>
    </row>
    <row r="205" spans="1:7">
      <c r="A205" s="9" t="s">
        <v>181</v>
      </c>
      <c r="B205" s="9">
        <v>3</v>
      </c>
      <c r="C205" s="9">
        <v>22</v>
      </c>
      <c r="D205" s="9" t="s">
        <v>235</v>
      </c>
      <c r="E205" s="9">
        <v>28</v>
      </c>
      <c r="F205" s="9">
        <v>700.08100000000002</v>
      </c>
      <c r="G205" s="9">
        <v>0.159</v>
      </c>
    </row>
    <row r="206" spans="1:7">
      <c r="A206" s="9" t="s">
        <v>181</v>
      </c>
      <c r="B206" s="9">
        <v>3</v>
      </c>
      <c r="C206" s="9">
        <v>21</v>
      </c>
      <c r="D206" s="9" t="s">
        <v>236</v>
      </c>
      <c r="E206" s="9">
        <v>25</v>
      </c>
      <c r="F206" s="9">
        <v>699.40800000000002</v>
      </c>
      <c r="G206" s="9">
        <v>0.156</v>
      </c>
    </row>
    <row r="207" spans="1:7">
      <c r="A207" s="9" t="s">
        <v>181</v>
      </c>
      <c r="B207" s="9">
        <v>3</v>
      </c>
      <c r="C207" s="9">
        <v>20</v>
      </c>
      <c r="D207" s="9" t="s">
        <v>237</v>
      </c>
      <c r="E207" s="9">
        <v>15</v>
      </c>
      <c r="F207" s="9">
        <v>699.66899999999998</v>
      </c>
      <c r="G207" s="9">
        <v>0.19</v>
      </c>
    </row>
    <row r="208" spans="1:7">
      <c r="A208" s="9" t="s">
        <v>181</v>
      </c>
      <c r="B208" s="9">
        <v>3</v>
      </c>
      <c r="C208" s="9">
        <v>19</v>
      </c>
      <c r="D208" s="9" t="s">
        <v>238</v>
      </c>
      <c r="E208" s="9">
        <v>26</v>
      </c>
      <c r="F208" s="9">
        <v>700.56200000000001</v>
      </c>
      <c r="G208" s="9">
        <v>0.22700000000000001</v>
      </c>
    </row>
    <row r="209" spans="1:7">
      <c r="A209" s="9" t="s">
        <v>181</v>
      </c>
      <c r="B209" s="9">
        <v>3</v>
      </c>
      <c r="C209" s="9">
        <v>18</v>
      </c>
      <c r="D209" s="9" t="s">
        <v>239</v>
      </c>
      <c r="E209" s="9">
        <v>45</v>
      </c>
      <c r="F209" s="9">
        <v>699.91600000000005</v>
      </c>
      <c r="G209" s="9">
        <v>0.26200000000000001</v>
      </c>
    </row>
    <row r="210" spans="1:7">
      <c r="A210" s="9" t="s">
        <v>181</v>
      </c>
      <c r="B210" s="9">
        <v>3</v>
      </c>
      <c r="C210" s="9">
        <v>17</v>
      </c>
      <c r="D210" s="9" t="s">
        <v>240</v>
      </c>
      <c r="E210" s="9">
        <v>16</v>
      </c>
      <c r="F210" s="9">
        <v>699.99699999999996</v>
      </c>
      <c r="G210" s="9">
        <v>0.214</v>
      </c>
    </row>
    <row r="211" spans="1:7">
      <c r="A211" s="9" t="s">
        <v>181</v>
      </c>
      <c r="B211" s="9">
        <v>3</v>
      </c>
      <c r="C211" s="9">
        <v>16</v>
      </c>
      <c r="D211" s="9" t="s">
        <v>241</v>
      </c>
      <c r="E211" s="9">
        <v>19</v>
      </c>
      <c r="F211" s="9">
        <v>699.79700000000003</v>
      </c>
      <c r="G211" s="9">
        <v>0.115</v>
      </c>
    </row>
    <row r="212" spans="1:7">
      <c r="A212" s="9" t="s">
        <v>181</v>
      </c>
      <c r="B212" s="9">
        <v>3</v>
      </c>
      <c r="C212" s="9">
        <v>15</v>
      </c>
      <c r="D212" s="9" t="s">
        <v>242</v>
      </c>
      <c r="E212" s="9">
        <v>22</v>
      </c>
      <c r="F212" s="9">
        <v>700.07100000000003</v>
      </c>
      <c r="G212" s="9">
        <v>0.223</v>
      </c>
    </row>
    <row r="213" spans="1:7">
      <c r="A213" s="9" t="s">
        <v>181</v>
      </c>
      <c r="B213" s="9">
        <v>3</v>
      </c>
      <c r="C213" s="9">
        <v>14</v>
      </c>
      <c r="D213" s="9" t="s">
        <v>243</v>
      </c>
      <c r="E213" s="9">
        <v>14</v>
      </c>
      <c r="F213" s="9">
        <v>700.54100000000005</v>
      </c>
      <c r="G213" s="9">
        <v>6.0999999999999999E-2</v>
      </c>
    </row>
    <row r="214" spans="1:7">
      <c r="A214" s="9" t="s">
        <v>181</v>
      </c>
      <c r="B214" s="9">
        <v>3</v>
      </c>
      <c r="C214" s="9">
        <v>13</v>
      </c>
      <c r="D214" s="9" t="s">
        <v>244</v>
      </c>
      <c r="E214" s="9">
        <v>27</v>
      </c>
      <c r="F214" s="9">
        <v>699.899</v>
      </c>
      <c r="G214" s="9">
        <v>0.14199999999999999</v>
      </c>
    </row>
    <row r="215" spans="1:7">
      <c r="A215" s="9" t="s">
        <v>181</v>
      </c>
      <c r="B215" s="9">
        <v>3</v>
      </c>
      <c r="C215" s="9">
        <v>12</v>
      </c>
      <c r="D215" s="9" t="s">
        <v>245</v>
      </c>
      <c r="E215" s="9">
        <v>32</v>
      </c>
      <c r="F215" s="9">
        <v>700.34</v>
      </c>
      <c r="G215" s="9">
        <v>0.23799999999999999</v>
      </c>
    </row>
    <row r="216" spans="1:7">
      <c r="A216" s="9" t="s">
        <v>181</v>
      </c>
      <c r="B216" s="9">
        <v>3</v>
      </c>
      <c r="C216" s="9">
        <v>11</v>
      </c>
      <c r="D216" s="9" t="s">
        <v>246</v>
      </c>
      <c r="E216" s="9">
        <v>22</v>
      </c>
      <c r="F216" s="9">
        <v>700.00400000000002</v>
      </c>
      <c r="G216" s="9">
        <v>0.17199999999999999</v>
      </c>
    </row>
    <row r="217" spans="1:7">
      <c r="A217" s="9" t="s">
        <v>181</v>
      </c>
      <c r="B217" s="9">
        <v>3</v>
      </c>
      <c r="C217" s="9">
        <v>10</v>
      </c>
      <c r="D217" s="9" t="s">
        <v>247</v>
      </c>
      <c r="E217" s="9">
        <v>20</v>
      </c>
      <c r="F217" s="9">
        <v>700.56799999999998</v>
      </c>
      <c r="G217" s="9">
        <v>0.111</v>
      </c>
    </row>
    <row r="218" spans="1:7">
      <c r="A218" s="9" t="s">
        <v>181</v>
      </c>
      <c r="B218" s="9">
        <v>3</v>
      </c>
      <c r="C218" s="9">
        <v>9</v>
      </c>
      <c r="D218" s="9" t="s">
        <v>248</v>
      </c>
      <c r="E218" s="9">
        <v>15</v>
      </c>
      <c r="F218" s="9">
        <v>700.52700000000004</v>
      </c>
      <c r="G218" s="9">
        <v>0.21199999999999999</v>
      </c>
    </row>
    <row r="219" spans="1:7">
      <c r="A219" s="9" t="s">
        <v>181</v>
      </c>
      <c r="B219" s="9">
        <v>3</v>
      </c>
      <c r="C219" s="9">
        <v>8</v>
      </c>
      <c r="D219" s="9" t="s">
        <v>249</v>
      </c>
      <c r="E219" s="9">
        <v>20</v>
      </c>
      <c r="F219" s="9">
        <v>700.00900000000001</v>
      </c>
      <c r="G219" s="9">
        <v>0.20499999999999999</v>
      </c>
    </row>
    <row r="220" spans="1:7">
      <c r="A220" s="9" t="s">
        <v>181</v>
      </c>
      <c r="B220" s="9">
        <v>3</v>
      </c>
      <c r="C220" s="9">
        <v>7</v>
      </c>
      <c r="D220" s="9" t="s">
        <v>250</v>
      </c>
      <c r="E220" s="9">
        <v>19</v>
      </c>
      <c r="F220" s="9">
        <v>700.12300000000005</v>
      </c>
      <c r="G220" s="9">
        <v>0.19800000000000001</v>
      </c>
    </row>
    <row r="221" spans="1:7">
      <c r="A221" s="9" t="s">
        <v>181</v>
      </c>
      <c r="B221" s="9">
        <v>3</v>
      </c>
      <c r="C221" s="9">
        <v>6</v>
      </c>
      <c r="D221" s="9" t="s">
        <v>251</v>
      </c>
      <c r="E221" s="9">
        <v>20</v>
      </c>
      <c r="F221" s="9">
        <v>700.42600000000004</v>
      </c>
      <c r="G221" s="9">
        <v>0.193</v>
      </c>
    </row>
    <row r="222" spans="1:7">
      <c r="A222" s="9" t="s">
        <v>181</v>
      </c>
      <c r="B222" s="9">
        <v>3</v>
      </c>
      <c r="C222" s="9">
        <v>5</v>
      </c>
      <c r="D222" s="9" t="s">
        <v>252</v>
      </c>
      <c r="E222" s="9">
        <v>19</v>
      </c>
      <c r="F222" s="9">
        <v>702.33199999999999</v>
      </c>
      <c r="G222" s="9">
        <v>0.16700000000000001</v>
      </c>
    </row>
    <row r="223" spans="1:7">
      <c r="A223" s="9" t="s">
        <v>181</v>
      </c>
      <c r="B223" s="9">
        <v>3</v>
      </c>
      <c r="C223" s="9">
        <v>4</v>
      </c>
      <c r="D223" s="9" t="s">
        <v>253</v>
      </c>
      <c r="E223" s="9">
        <v>15</v>
      </c>
      <c r="F223" s="9">
        <v>703.58</v>
      </c>
      <c r="G223" s="9">
        <v>9.8000000000000004E-2</v>
      </c>
    </row>
    <row r="224" spans="1:7">
      <c r="A224" s="9" t="s">
        <v>181</v>
      </c>
      <c r="B224" s="9">
        <v>3</v>
      </c>
      <c r="C224" s="9">
        <v>3</v>
      </c>
      <c r="D224" s="9" t="s">
        <v>254</v>
      </c>
      <c r="E224" s="9">
        <v>7</v>
      </c>
      <c r="F224" s="9">
        <v>701.57299999999998</v>
      </c>
      <c r="G224" s="9">
        <v>0.15</v>
      </c>
    </row>
    <row r="225" spans="1:7">
      <c r="A225" s="9" t="s">
        <v>181</v>
      </c>
      <c r="B225" s="9">
        <v>3</v>
      </c>
      <c r="C225" s="9">
        <v>2</v>
      </c>
      <c r="D225" s="9" t="s">
        <v>255</v>
      </c>
      <c r="E225" s="9">
        <v>18</v>
      </c>
      <c r="F225" s="9">
        <v>701.12699999999995</v>
      </c>
      <c r="G225" s="9">
        <v>0.214</v>
      </c>
    </row>
    <row r="226" spans="1:7">
      <c r="A226" s="9" t="s">
        <v>181</v>
      </c>
      <c r="B226" s="9">
        <v>3</v>
      </c>
      <c r="C226" s="9">
        <v>1</v>
      </c>
      <c r="D226" s="9" t="s">
        <v>256</v>
      </c>
      <c r="E226" s="9">
        <v>31</v>
      </c>
      <c r="F226" s="9">
        <v>702.35</v>
      </c>
      <c r="G226" s="9">
        <v>0.495</v>
      </c>
    </row>
    <row r="227" spans="1:7">
      <c r="A227" s="9" t="s">
        <v>181</v>
      </c>
      <c r="B227" s="9">
        <v>4</v>
      </c>
      <c r="C227" s="9">
        <v>25</v>
      </c>
      <c r="D227" s="9" t="s">
        <v>257</v>
      </c>
      <c r="E227" s="9">
        <v>25</v>
      </c>
      <c r="F227" s="9">
        <v>701.11199999999997</v>
      </c>
      <c r="G227" s="9">
        <v>0.22</v>
      </c>
    </row>
    <row r="228" spans="1:7">
      <c r="A228" s="9" t="s">
        <v>181</v>
      </c>
      <c r="B228" s="9">
        <v>4</v>
      </c>
      <c r="C228" s="9">
        <v>24</v>
      </c>
      <c r="D228" s="9" t="s">
        <v>258</v>
      </c>
      <c r="E228" s="9">
        <v>24</v>
      </c>
      <c r="F228" s="9">
        <v>700.9</v>
      </c>
      <c r="G228" s="9">
        <v>0.38100000000000001</v>
      </c>
    </row>
    <row r="229" spans="1:7">
      <c r="A229" s="9" t="s">
        <v>181</v>
      </c>
      <c r="B229" s="9">
        <v>4</v>
      </c>
      <c r="C229" s="9">
        <v>23</v>
      </c>
      <c r="D229" s="9" t="s">
        <v>259</v>
      </c>
      <c r="E229" s="9">
        <v>16</v>
      </c>
      <c r="F229" s="9">
        <v>702.57899999999995</v>
      </c>
      <c r="G229" s="9">
        <v>0.35899999999999999</v>
      </c>
    </row>
    <row r="230" spans="1:7">
      <c r="A230" s="9" t="s">
        <v>181</v>
      </c>
      <c r="B230" s="9">
        <v>4</v>
      </c>
      <c r="C230" s="9">
        <v>22</v>
      </c>
      <c r="D230" s="9" t="s">
        <v>260</v>
      </c>
      <c r="E230" s="9">
        <v>37</v>
      </c>
      <c r="F230" s="9">
        <v>701.37199999999996</v>
      </c>
      <c r="G230" s="9">
        <v>0.39700000000000002</v>
      </c>
    </row>
    <row r="231" spans="1:7">
      <c r="A231" s="9" t="s">
        <v>181</v>
      </c>
      <c r="B231" s="9">
        <v>4</v>
      </c>
      <c r="C231" s="9">
        <v>21</v>
      </c>
      <c r="D231" s="9" t="s">
        <v>261</v>
      </c>
      <c r="E231" s="9">
        <v>23</v>
      </c>
      <c r="F231" s="9">
        <v>700.57799999999997</v>
      </c>
      <c r="G231" s="9">
        <v>0.30199999999999999</v>
      </c>
    </row>
    <row r="232" spans="1:7">
      <c r="A232" s="9" t="s">
        <v>181</v>
      </c>
      <c r="B232" s="9">
        <v>4</v>
      </c>
      <c r="C232" s="9">
        <v>20</v>
      </c>
      <c r="D232" s="9" t="s">
        <v>262</v>
      </c>
      <c r="E232" s="9">
        <v>58</v>
      </c>
      <c r="F232" s="9">
        <v>702.05600000000004</v>
      </c>
      <c r="G232" s="9">
        <v>0.13300000000000001</v>
      </c>
    </row>
    <row r="233" spans="1:7">
      <c r="A233" s="9" t="s">
        <v>181</v>
      </c>
      <c r="B233" s="9">
        <v>4</v>
      </c>
      <c r="C233" s="9">
        <v>19</v>
      </c>
      <c r="D233" s="9" t="s">
        <v>263</v>
      </c>
      <c r="E233" s="9">
        <v>14</v>
      </c>
      <c r="F233" s="9">
        <v>702.12599999999998</v>
      </c>
      <c r="G233" s="9">
        <v>0.496</v>
      </c>
    </row>
    <row r="234" spans="1:7">
      <c r="A234" s="9" t="s">
        <v>181</v>
      </c>
      <c r="B234" s="9">
        <v>4</v>
      </c>
      <c r="C234" s="9">
        <v>18</v>
      </c>
      <c r="D234" s="9" t="s">
        <v>264</v>
      </c>
      <c r="E234" s="9">
        <v>20</v>
      </c>
      <c r="F234" s="9">
        <v>700.178</v>
      </c>
      <c r="G234" s="9">
        <v>0.28199999999999997</v>
      </c>
    </row>
    <row r="235" spans="1:7">
      <c r="A235" s="9" t="s">
        <v>181</v>
      </c>
      <c r="B235" s="9">
        <v>4</v>
      </c>
      <c r="C235" s="9">
        <v>17</v>
      </c>
      <c r="D235" s="9" t="s">
        <v>265</v>
      </c>
      <c r="E235" s="9">
        <v>11</v>
      </c>
      <c r="F235" s="9">
        <v>700.63199999999995</v>
      </c>
      <c r="G235" s="9">
        <v>0.27400000000000002</v>
      </c>
    </row>
    <row r="236" spans="1:7">
      <c r="A236" s="9" t="s">
        <v>181</v>
      </c>
      <c r="B236" s="9">
        <v>4</v>
      </c>
      <c r="C236" s="9">
        <v>16</v>
      </c>
      <c r="D236" s="9" t="s">
        <v>266</v>
      </c>
      <c r="E236" s="9">
        <v>14</v>
      </c>
      <c r="F236" s="9">
        <v>701.43</v>
      </c>
      <c r="G236" s="9">
        <v>0.376</v>
      </c>
    </row>
    <row r="237" spans="1:7">
      <c r="A237" s="9" t="s">
        <v>181</v>
      </c>
      <c r="B237" s="9">
        <v>4</v>
      </c>
      <c r="C237" s="9">
        <v>15</v>
      </c>
      <c r="D237" s="9" t="s">
        <v>267</v>
      </c>
      <c r="E237" s="9">
        <v>19</v>
      </c>
      <c r="F237" s="9">
        <v>701.02800000000002</v>
      </c>
      <c r="G237" s="9">
        <v>0.373</v>
      </c>
    </row>
    <row r="238" spans="1:7">
      <c r="A238" s="9" t="s">
        <v>181</v>
      </c>
      <c r="B238" s="9">
        <v>4</v>
      </c>
      <c r="C238" s="9">
        <v>14</v>
      </c>
      <c r="D238" s="9" t="s">
        <v>268</v>
      </c>
      <c r="E238" s="9">
        <v>24</v>
      </c>
      <c r="F238" s="9">
        <v>700.82100000000003</v>
      </c>
      <c r="G238" s="9">
        <v>0.253</v>
      </c>
    </row>
    <row r="239" spans="1:7">
      <c r="A239" s="9" t="s">
        <v>181</v>
      </c>
      <c r="B239" s="9">
        <v>4</v>
      </c>
      <c r="C239" s="9">
        <v>13</v>
      </c>
      <c r="D239" s="9" t="s">
        <v>269</v>
      </c>
      <c r="E239" s="9">
        <v>23</v>
      </c>
      <c r="F239" s="9">
        <v>699.45</v>
      </c>
      <c r="G239" s="9">
        <v>1.204</v>
      </c>
    </row>
    <row r="240" spans="1:7">
      <c r="A240" s="9" t="s">
        <v>181</v>
      </c>
      <c r="B240" s="9">
        <v>4</v>
      </c>
      <c r="C240" s="9">
        <v>12</v>
      </c>
      <c r="D240" s="9" t="s">
        <v>270</v>
      </c>
      <c r="E240" s="9">
        <v>27</v>
      </c>
      <c r="F240" s="9">
        <v>700.17899999999997</v>
      </c>
      <c r="G240" s="9">
        <v>0.56699999999999995</v>
      </c>
    </row>
    <row r="241" spans="1:7">
      <c r="A241" s="9" t="s">
        <v>181</v>
      </c>
      <c r="B241" s="9">
        <v>4</v>
      </c>
      <c r="C241" s="9">
        <v>11</v>
      </c>
      <c r="D241" s="9" t="s">
        <v>271</v>
      </c>
      <c r="E241" s="9">
        <v>18</v>
      </c>
      <c r="F241" s="9">
        <v>701.41800000000001</v>
      </c>
      <c r="G241" s="9">
        <v>0.221</v>
      </c>
    </row>
    <row r="242" spans="1:7">
      <c r="A242" s="9" t="s">
        <v>181</v>
      </c>
      <c r="B242" s="9">
        <v>4</v>
      </c>
      <c r="C242" s="9">
        <v>10</v>
      </c>
      <c r="D242" s="9" t="s">
        <v>272</v>
      </c>
      <c r="E242" s="9">
        <v>30</v>
      </c>
      <c r="F242" s="9">
        <v>702.50400000000002</v>
      </c>
      <c r="G242" s="9">
        <v>0.442</v>
      </c>
    </row>
    <row r="243" spans="1:7">
      <c r="A243" s="9" t="s">
        <v>181</v>
      </c>
      <c r="B243" s="9">
        <v>4</v>
      </c>
      <c r="C243" s="9">
        <v>9</v>
      </c>
      <c r="D243" s="9" t="s">
        <v>273</v>
      </c>
      <c r="E243" s="9">
        <v>20</v>
      </c>
      <c r="F243" s="9">
        <v>700.15099999999995</v>
      </c>
      <c r="G243" s="9">
        <v>0.78800000000000003</v>
      </c>
    </row>
    <row r="244" spans="1:7">
      <c r="A244" s="9" t="s">
        <v>181</v>
      </c>
      <c r="B244" s="9">
        <v>4</v>
      </c>
      <c r="C244" s="9">
        <v>8</v>
      </c>
      <c r="D244" s="9" t="s">
        <v>274</v>
      </c>
      <c r="E244" s="9">
        <v>16</v>
      </c>
      <c r="F244" s="9">
        <v>700.93100000000004</v>
      </c>
      <c r="G244" s="9">
        <v>0.14199999999999999</v>
      </c>
    </row>
    <row r="245" spans="1:7">
      <c r="A245" s="9" t="s">
        <v>181</v>
      </c>
      <c r="B245" s="9">
        <v>4</v>
      </c>
      <c r="C245" s="9">
        <v>7</v>
      </c>
      <c r="D245" s="9" t="s">
        <v>275</v>
      </c>
      <c r="E245" s="9">
        <v>56</v>
      </c>
      <c r="F245" s="9">
        <v>700.18499999999995</v>
      </c>
      <c r="G245" s="9">
        <v>0.77900000000000003</v>
      </c>
    </row>
    <row r="246" spans="1:7">
      <c r="A246" s="9" t="s">
        <v>181</v>
      </c>
      <c r="B246" s="9">
        <v>4</v>
      </c>
      <c r="C246" s="9">
        <v>6</v>
      </c>
      <c r="D246" s="9" t="s">
        <v>276</v>
      </c>
      <c r="E246" s="9">
        <v>48</v>
      </c>
      <c r="F246" s="9">
        <v>700.93299999999999</v>
      </c>
      <c r="G246" s="9">
        <v>0.23200000000000001</v>
      </c>
    </row>
    <row r="247" spans="1:7">
      <c r="A247" s="9" t="s">
        <v>181</v>
      </c>
      <c r="B247" s="9">
        <v>4</v>
      </c>
      <c r="C247" s="9">
        <v>5</v>
      </c>
      <c r="D247" s="9" t="s">
        <v>277</v>
      </c>
      <c r="E247" s="9">
        <v>33</v>
      </c>
      <c r="F247" s="9">
        <v>700.41700000000003</v>
      </c>
      <c r="G247" s="9">
        <v>0.153</v>
      </c>
    </row>
    <row r="248" spans="1:7">
      <c r="A248" s="9" t="s">
        <v>181</v>
      </c>
      <c r="B248" s="9">
        <v>4</v>
      </c>
      <c r="C248" s="9">
        <v>4</v>
      </c>
      <c r="D248" s="9" t="s">
        <v>278</v>
      </c>
      <c r="E248" s="9">
        <v>63</v>
      </c>
      <c r="F248" s="9">
        <v>699.83299999999997</v>
      </c>
      <c r="G248" s="9">
        <v>0.67800000000000005</v>
      </c>
    </row>
    <row r="249" spans="1:7">
      <c r="A249" s="9" t="s">
        <v>181</v>
      </c>
      <c r="B249" s="9">
        <v>4</v>
      </c>
      <c r="C249" s="9">
        <v>3</v>
      </c>
      <c r="D249" s="9" t="s">
        <v>279</v>
      </c>
      <c r="E249" s="9">
        <v>54</v>
      </c>
      <c r="F249" s="9">
        <v>699.95600000000002</v>
      </c>
      <c r="G249" s="9">
        <v>0.32900000000000001</v>
      </c>
    </row>
    <row r="250" spans="1:7">
      <c r="A250" s="9" t="s">
        <v>181</v>
      </c>
      <c r="B250" s="9">
        <v>4</v>
      </c>
      <c r="C250" s="9">
        <v>2</v>
      </c>
      <c r="D250" s="9" t="s">
        <v>280</v>
      </c>
      <c r="E250" s="9">
        <v>44</v>
      </c>
      <c r="F250" s="9">
        <v>701.36099999999999</v>
      </c>
      <c r="G250" s="9">
        <v>0.46300000000000002</v>
      </c>
    </row>
    <row r="251" spans="1:7">
      <c r="A251" s="9" t="s">
        <v>181</v>
      </c>
      <c r="B251" s="9">
        <v>4</v>
      </c>
      <c r="C251" s="9">
        <v>1</v>
      </c>
      <c r="D251" s="9" t="s">
        <v>281</v>
      </c>
      <c r="E251" s="9">
        <v>25</v>
      </c>
      <c r="F251" s="9">
        <v>701.495</v>
      </c>
      <c r="G251" s="9">
        <v>0.41</v>
      </c>
    </row>
    <row r="252" spans="1:7">
      <c r="A252" s="9" t="s">
        <v>181</v>
      </c>
      <c r="B252" s="9">
        <v>5</v>
      </c>
      <c r="C252" s="9">
        <v>25</v>
      </c>
      <c r="D252" s="9" t="s">
        <v>282</v>
      </c>
      <c r="E252" s="9">
        <v>11</v>
      </c>
      <c r="F252" s="9">
        <v>701.18499999999995</v>
      </c>
      <c r="G252" s="9">
        <v>0.29199999999999998</v>
      </c>
    </row>
    <row r="253" spans="1:7">
      <c r="A253" s="9" t="s">
        <v>181</v>
      </c>
      <c r="B253" s="9">
        <v>5</v>
      </c>
      <c r="C253" s="9">
        <v>24</v>
      </c>
      <c r="D253" s="9" t="s">
        <v>283</v>
      </c>
      <c r="E253" s="9">
        <v>25</v>
      </c>
      <c r="F253" s="9">
        <v>701.35199999999998</v>
      </c>
      <c r="G253" s="9">
        <v>0.253</v>
      </c>
    </row>
    <row r="254" spans="1:7">
      <c r="A254" s="9" t="s">
        <v>181</v>
      </c>
      <c r="B254" s="9">
        <v>5</v>
      </c>
      <c r="C254" s="9">
        <v>23</v>
      </c>
      <c r="D254" s="9" t="s">
        <v>284</v>
      </c>
      <c r="E254" s="9">
        <v>13</v>
      </c>
      <c r="F254" s="9">
        <v>702.44600000000003</v>
      </c>
      <c r="G254" s="9">
        <v>0.58099999999999996</v>
      </c>
    </row>
    <row r="255" spans="1:7">
      <c r="A255" s="9" t="s">
        <v>181</v>
      </c>
      <c r="B255" s="9">
        <v>5</v>
      </c>
      <c r="C255" s="9">
        <v>22</v>
      </c>
      <c r="D255" s="9" t="s">
        <v>285</v>
      </c>
      <c r="E255" s="9">
        <v>10</v>
      </c>
      <c r="F255" s="9">
        <v>697.65099999999995</v>
      </c>
      <c r="G255" s="9">
        <v>0.223</v>
      </c>
    </row>
    <row r="256" spans="1:7">
      <c r="A256" s="9" t="s">
        <v>181</v>
      </c>
      <c r="B256" s="9">
        <v>5</v>
      </c>
      <c r="C256" s="9">
        <v>21</v>
      </c>
      <c r="D256" s="9" t="s">
        <v>286</v>
      </c>
      <c r="E256" s="9">
        <v>20</v>
      </c>
      <c r="F256" s="9">
        <v>700.10799999999995</v>
      </c>
      <c r="G256" s="9">
        <v>0.307</v>
      </c>
    </row>
    <row r="257" spans="1:7">
      <c r="A257" s="9" t="s">
        <v>181</v>
      </c>
      <c r="B257" s="9">
        <v>5</v>
      </c>
      <c r="C257" s="9">
        <v>20</v>
      </c>
      <c r="D257" s="9" t="s">
        <v>287</v>
      </c>
      <c r="E257" s="9">
        <v>14</v>
      </c>
      <c r="F257" s="9">
        <v>697.29700000000003</v>
      </c>
      <c r="G257" s="9">
        <v>0.19600000000000001</v>
      </c>
    </row>
    <row r="258" spans="1:7">
      <c r="A258" s="9" t="s">
        <v>181</v>
      </c>
      <c r="B258" s="9">
        <v>5</v>
      </c>
      <c r="C258" s="9">
        <v>19</v>
      </c>
      <c r="D258" s="9" t="s">
        <v>288</v>
      </c>
      <c r="E258" s="9">
        <v>14</v>
      </c>
      <c r="F258" s="9">
        <v>697.44600000000003</v>
      </c>
      <c r="G258" s="9">
        <v>0.54900000000000004</v>
      </c>
    </row>
    <row r="259" spans="1:7">
      <c r="A259" s="9" t="s">
        <v>181</v>
      </c>
      <c r="B259" s="9">
        <v>5</v>
      </c>
      <c r="C259" s="9">
        <v>18</v>
      </c>
      <c r="D259" s="9" t="s">
        <v>289</v>
      </c>
      <c r="E259" s="9">
        <v>14</v>
      </c>
      <c r="F259" s="9">
        <v>697.68200000000002</v>
      </c>
      <c r="G259" s="9">
        <v>0.52100000000000002</v>
      </c>
    </row>
    <row r="260" spans="1:7">
      <c r="A260" s="9" t="s">
        <v>181</v>
      </c>
      <c r="B260" s="9">
        <v>5</v>
      </c>
      <c r="C260" s="9">
        <v>17</v>
      </c>
      <c r="D260" s="9" t="s">
        <v>290</v>
      </c>
      <c r="E260" s="9">
        <v>44</v>
      </c>
      <c r="F260" s="9">
        <v>699.99800000000005</v>
      </c>
      <c r="G260" s="9">
        <v>0.221</v>
      </c>
    </row>
    <row r="261" spans="1:7">
      <c r="A261" s="9" t="s">
        <v>181</v>
      </c>
      <c r="B261" s="9">
        <v>5</v>
      </c>
      <c r="C261" s="9">
        <v>16</v>
      </c>
      <c r="D261" s="9" t="s">
        <v>291</v>
      </c>
      <c r="E261" s="9">
        <v>37</v>
      </c>
      <c r="F261" s="9">
        <v>700.77300000000002</v>
      </c>
      <c r="G261" s="9">
        <v>0.34799999999999998</v>
      </c>
    </row>
    <row r="262" spans="1:7">
      <c r="A262" s="9" t="s">
        <v>181</v>
      </c>
      <c r="B262" s="9">
        <v>5</v>
      </c>
      <c r="C262" s="9">
        <v>15</v>
      </c>
      <c r="D262" s="9" t="s">
        <v>292</v>
      </c>
      <c r="E262" s="9">
        <v>17</v>
      </c>
      <c r="F262" s="9">
        <v>699.98500000000001</v>
      </c>
      <c r="G262" s="9">
        <v>0.23599999999999999</v>
      </c>
    </row>
    <row r="263" spans="1:7">
      <c r="A263" s="9" t="s">
        <v>181</v>
      </c>
      <c r="B263" s="9">
        <v>5</v>
      </c>
      <c r="C263" s="9">
        <v>14</v>
      </c>
      <c r="D263" s="9" t="s">
        <v>293</v>
      </c>
      <c r="E263" s="9">
        <v>44</v>
      </c>
      <c r="F263" s="9">
        <v>702.19799999999998</v>
      </c>
      <c r="G263" s="9">
        <v>0.32600000000000001</v>
      </c>
    </row>
    <row r="264" spans="1:7">
      <c r="A264" s="9" t="s">
        <v>181</v>
      </c>
      <c r="B264" s="9">
        <v>5</v>
      </c>
      <c r="C264" s="9">
        <v>13</v>
      </c>
      <c r="D264" s="9" t="s">
        <v>294</v>
      </c>
      <c r="E264" s="9">
        <v>27</v>
      </c>
      <c r="F264" s="9">
        <v>697.70399999999995</v>
      </c>
      <c r="G264" s="9">
        <v>0.38700000000000001</v>
      </c>
    </row>
    <row r="265" spans="1:7">
      <c r="A265" s="9" t="s">
        <v>181</v>
      </c>
      <c r="B265" s="9">
        <v>5</v>
      </c>
      <c r="C265" s="9">
        <v>12</v>
      </c>
      <c r="D265" s="9" t="s">
        <v>295</v>
      </c>
      <c r="E265" s="9">
        <v>40</v>
      </c>
      <c r="F265" s="9">
        <v>699.55700000000002</v>
      </c>
      <c r="G265" s="9">
        <v>0.42199999999999999</v>
      </c>
    </row>
    <row r="266" spans="1:7">
      <c r="A266" s="9" t="s">
        <v>181</v>
      </c>
      <c r="B266" s="9">
        <v>5</v>
      </c>
      <c r="C266" s="9">
        <v>11</v>
      </c>
      <c r="D266" s="9" t="s">
        <v>296</v>
      </c>
      <c r="E266" s="9">
        <v>28</v>
      </c>
      <c r="F266" s="9">
        <v>701.54</v>
      </c>
      <c r="G266" s="9">
        <v>0.442</v>
      </c>
    </row>
    <row r="267" spans="1:7">
      <c r="A267" s="9" t="s">
        <v>181</v>
      </c>
      <c r="B267" s="9">
        <v>5</v>
      </c>
      <c r="C267" s="9">
        <v>10</v>
      </c>
      <c r="D267" s="9" t="s">
        <v>297</v>
      </c>
      <c r="E267" s="9">
        <v>20</v>
      </c>
      <c r="F267" s="9">
        <v>700.80200000000002</v>
      </c>
      <c r="G267" s="9">
        <v>0.254</v>
      </c>
    </row>
    <row r="268" spans="1:7">
      <c r="A268" s="9" t="s">
        <v>181</v>
      </c>
      <c r="B268" s="9">
        <v>5</v>
      </c>
      <c r="C268" s="9">
        <v>9</v>
      </c>
      <c r="D268" s="9" t="s">
        <v>298</v>
      </c>
      <c r="E268" s="9">
        <v>16</v>
      </c>
      <c r="F268" s="9">
        <v>700.47500000000002</v>
      </c>
      <c r="G268" s="9">
        <v>0.27300000000000002</v>
      </c>
    </row>
    <row r="269" spans="1:7">
      <c r="A269" s="9" t="s">
        <v>181</v>
      </c>
      <c r="B269" s="9">
        <v>5</v>
      </c>
      <c r="C269" s="9">
        <v>8</v>
      </c>
      <c r="D269" s="9" t="s">
        <v>299</v>
      </c>
      <c r="E269" s="9">
        <v>21</v>
      </c>
      <c r="F269" s="9">
        <v>697.78300000000002</v>
      </c>
      <c r="G269" s="9">
        <v>0.33100000000000002</v>
      </c>
    </row>
    <row r="270" spans="1:7">
      <c r="A270" s="9" t="s">
        <v>181</v>
      </c>
      <c r="B270" s="9">
        <v>5</v>
      </c>
      <c r="C270" s="9">
        <v>7</v>
      </c>
      <c r="D270" s="9" t="s">
        <v>300</v>
      </c>
      <c r="E270" s="9">
        <v>22</v>
      </c>
      <c r="F270" s="9">
        <v>697.63599999999997</v>
      </c>
      <c r="G270" s="9">
        <v>0.34399999999999997</v>
      </c>
    </row>
    <row r="271" spans="1:7">
      <c r="A271" s="9" t="s">
        <v>181</v>
      </c>
      <c r="B271" s="9">
        <v>5</v>
      </c>
      <c r="C271" s="9">
        <v>6</v>
      </c>
      <c r="D271" s="9" t="s">
        <v>301</v>
      </c>
      <c r="E271" s="9">
        <v>26</v>
      </c>
      <c r="F271" s="9">
        <v>703.55200000000002</v>
      </c>
      <c r="G271" s="9">
        <v>0.16</v>
      </c>
    </row>
    <row r="272" spans="1:7">
      <c r="A272" s="9" t="s">
        <v>181</v>
      </c>
      <c r="B272" s="9">
        <v>5</v>
      </c>
      <c r="C272" s="9">
        <v>5</v>
      </c>
      <c r="D272" s="9" t="s">
        <v>302</v>
      </c>
      <c r="E272" s="9">
        <v>28</v>
      </c>
      <c r="F272" s="9">
        <v>697.56100000000004</v>
      </c>
      <c r="G272" s="9">
        <v>0.42799999999999999</v>
      </c>
    </row>
    <row r="273" spans="1:7">
      <c r="A273" s="9" t="s">
        <v>181</v>
      </c>
      <c r="B273" s="9">
        <v>5</v>
      </c>
      <c r="C273" s="9">
        <v>4</v>
      </c>
      <c r="D273" s="9" t="s">
        <v>303</v>
      </c>
      <c r="E273" s="9">
        <v>24</v>
      </c>
      <c r="F273" s="9">
        <v>699.26900000000001</v>
      </c>
      <c r="G273" s="9">
        <v>0.42099999999999999</v>
      </c>
    </row>
    <row r="274" spans="1:7">
      <c r="A274" s="9" t="s">
        <v>181</v>
      </c>
      <c r="B274" s="9">
        <v>5</v>
      </c>
      <c r="C274" s="9">
        <v>3</v>
      </c>
      <c r="D274" s="9" t="s">
        <v>304</v>
      </c>
      <c r="E274" s="9">
        <v>17</v>
      </c>
      <c r="F274" s="9">
        <v>700.327</v>
      </c>
      <c r="G274" s="9">
        <v>0.41299999999999998</v>
      </c>
    </row>
    <row r="275" spans="1:7">
      <c r="A275" s="9" t="s">
        <v>181</v>
      </c>
      <c r="B275" s="9">
        <v>5</v>
      </c>
      <c r="C275" s="9">
        <v>2</v>
      </c>
      <c r="D275" s="9" t="s">
        <v>305</v>
      </c>
      <c r="E275" s="9">
        <v>21</v>
      </c>
      <c r="F275" s="9">
        <v>701.375</v>
      </c>
      <c r="G275" s="9">
        <v>0.41299999999999998</v>
      </c>
    </row>
    <row r="276" spans="1:7">
      <c r="A276" s="9" t="s">
        <v>181</v>
      </c>
      <c r="B276" s="9">
        <v>5</v>
      </c>
      <c r="C276" s="9">
        <v>1</v>
      </c>
      <c r="D276" s="9" t="s">
        <v>306</v>
      </c>
      <c r="E276" s="9">
        <v>14</v>
      </c>
      <c r="F276" s="9">
        <v>699.95699999999999</v>
      </c>
      <c r="G276" s="9">
        <v>0.31</v>
      </c>
    </row>
    <row r="277" spans="1:7">
      <c r="A277" s="9" t="s">
        <v>181</v>
      </c>
      <c r="B277" s="9">
        <v>6</v>
      </c>
      <c r="C277" s="9">
        <v>25</v>
      </c>
      <c r="D277" s="9" t="s">
        <v>307</v>
      </c>
      <c r="E277" s="9">
        <v>28</v>
      </c>
      <c r="F277" s="9">
        <v>703.322</v>
      </c>
      <c r="G277" s="9">
        <v>0.36099999999999999</v>
      </c>
    </row>
    <row r="278" spans="1:7">
      <c r="A278" s="9" t="s">
        <v>181</v>
      </c>
      <c r="B278" s="9">
        <v>6</v>
      </c>
      <c r="C278" s="9">
        <v>24</v>
      </c>
      <c r="D278" s="9" t="s">
        <v>308</v>
      </c>
      <c r="E278" s="9">
        <v>23</v>
      </c>
      <c r="F278" s="9">
        <v>701.40700000000004</v>
      </c>
      <c r="G278" s="9">
        <v>0.39600000000000002</v>
      </c>
    </row>
    <row r="279" spans="1:7">
      <c r="A279" s="9" t="s">
        <v>181</v>
      </c>
      <c r="B279" s="9">
        <v>6</v>
      </c>
      <c r="C279" s="9">
        <v>23</v>
      </c>
      <c r="D279" s="9" t="s">
        <v>309</v>
      </c>
      <c r="E279" s="9">
        <v>12</v>
      </c>
      <c r="F279" s="9">
        <v>701.245</v>
      </c>
      <c r="G279" s="9">
        <v>0.23699999999999999</v>
      </c>
    </row>
    <row r="280" spans="1:7">
      <c r="A280" s="9" t="s">
        <v>181</v>
      </c>
      <c r="B280" s="9">
        <v>6</v>
      </c>
      <c r="C280" s="9">
        <v>22</v>
      </c>
      <c r="D280" s="9" t="s">
        <v>310</v>
      </c>
      <c r="E280" s="9">
        <v>28</v>
      </c>
      <c r="F280" s="9">
        <v>700.25900000000001</v>
      </c>
      <c r="G280" s="9">
        <v>0.29799999999999999</v>
      </c>
    </row>
    <row r="281" spans="1:7">
      <c r="A281" s="9" t="s">
        <v>181</v>
      </c>
      <c r="B281" s="9">
        <v>6</v>
      </c>
      <c r="C281" s="9">
        <v>21</v>
      </c>
      <c r="D281" s="9" t="s">
        <v>311</v>
      </c>
      <c r="E281" s="9">
        <v>13</v>
      </c>
      <c r="F281" s="9">
        <v>701.46400000000006</v>
      </c>
      <c r="G281" s="9">
        <v>0.372</v>
      </c>
    </row>
    <row r="282" spans="1:7">
      <c r="A282" s="9" t="s">
        <v>181</v>
      </c>
      <c r="B282" s="9">
        <v>6</v>
      </c>
      <c r="C282" s="9">
        <v>20</v>
      </c>
      <c r="D282" s="9" t="s">
        <v>312</v>
      </c>
      <c r="E282" s="9">
        <v>18</v>
      </c>
      <c r="F282" s="9">
        <v>701.35400000000004</v>
      </c>
      <c r="G282" s="9">
        <v>0.26800000000000002</v>
      </c>
    </row>
    <row r="283" spans="1:7">
      <c r="A283" s="9" t="s">
        <v>181</v>
      </c>
      <c r="B283" s="9">
        <v>6</v>
      </c>
      <c r="C283" s="9">
        <v>19</v>
      </c>
      <c r="D283" s="9" t="s">
        <v>313</v>
      </c>
      <c r="E283" s="9">
        <v>24</v>
      </c>
      <c r="F283" s="9">
        <v>701.33100000000002</v>
      </c>
      <c r="G283" s="9">
        <v>0.27400000000000002</v>
      </c>
    </row>
    <row r="284" spans="1:7">
      <c r="A284" s="9" t="s">
        <v>181</v>
      </c>
      <c r="B284" s="9">
        <v>6</v>
      </c>
      <c r="C284" s="9">
        <v>18</v>
      </c>
      <c r="D284" s="9" t="s">
        <v>314</v>
      </c>
      <c r="E284" s="9">
        <v>45</v>
      </c>
      <c r="F284" s="9">
        <v>702.40899999999999</v>
      </c>
      <c r="G284" s="9">
        <v>0.42499999999999999</v>
      </c>
    </row>
    <row r="285" spans="1:7">
      <c r="A285" s="9" t="s">
        <v>181</v>
      </c>
      <c r="B285" s="9">
        <v>6</v>
      </c>
      <c r="C285" s="9">
        <v>17</v>
      </c>
      <c r="D285" s="9" t="s">
        <v>315</v>
      </c>
      <c r="E285" s="9">
        <v>17</v>
      </c>
      <c r="F285" s="9">
        <v>702.89599999999996</v>
      </c>
      <c r="G285" s="9">
        <v>0.56499999999999995</v>
      </c>
    </row>
    <row r="286" spans="1:7">
      <c r="A286" s="9" t="s">
        <v>181</v>
      </c>
      <c r="B286" s="9">
        <v>6</v>
      </c>
      <c r="C286" s="9">
        <v>16</v>
      </c>
      <c r="D286" s="9" t="s">
        <v>316</v>
      </c>
      <c r="E286" s="9">
        <v>13</v>
      </c>
      <c r="F286" s="9">
        <v>699.67</v>
      </c>
      <c r="G286" s="9">
        <v>0.78</v>
      </c>
    </row>
    <row r="287" spans="1:7">
      <c r="A287" s="9" t="s">
        <v>181</v>
      </c>
      <c r="B287" s="9">
        <v>6</v>
      </c>
      <c r="C287" s="9">
        <v>15</v>
      </c>
      <c r="D287" s="9" t="s">
        <v>317</v>
      </c>
      <c r="E287" s="9">
        <v>12</v>
      </c>
      <c r="F287" s="9">
        <v>699.40700000000004</v>
      </c>
      <c r="G287" s="9">
        <v>0.108</v>
      </c>
    </row>
    <row r="288" spans="1:7">
      <c r="A288" s="9" t="s">
        <v>181</v>
      </c>
      <c r="B288" s="9">
        <v>6</v>
      </c>
      <c r="C288" s="9">
        <v>14</v>
      </c>
      <c r="D288" s="9" t="s">
        <v>318</v>
      </c>
      <c r="E288" s="9">
        <v>22</v>
      </c>
      <c r="F288" s="9">
        <v>700.03800000000001</v>
      </c>
      <c r="G288" s="9">
        <v>0.64700000000000002</v>
      </c>
    </row>
    <row r="289" spans="1:7">
      <c r="A289" s="9" t="s">
        <v>181</v>
      </c>
      <c r="B289" s="9">
        <v>6</v>
      </c>
      <c r="C289" s="9">
        <v>13</v>
      </c>
      <c r="D289" s="9" t="s">
        <v>319</v>
      </c>
      <c r="E289" s="9">
        <v>31</v>
      </c>
      <c r="F289" s="9">
        <v>700.06799999999998</v>
      </c>
      <c r="G289" s="9">
        <v>0.27300000000000002</v>
      </c>
    </row>
    <row r="290" spans="1:7">
      <c r="A290" s="9" t="s">
        <v>181</v>
      </c>
      <c r="B290" s="9">
        <v>6</v>
      </c>
      <c r="C290" s="9">
        <v>12</v>
      </c>
      <c r="D290" s="9" t="s">
        <v>320</v>
      </c>
      <c r="E290" s="9">
        <v>13</v>
      </c>
      <c r="F290" s="9">
        <v>700.19899999999996</v>
      </c>
      <c r="G290" s="9">
        <v>0.80900000000000005</v>
      </c>
    </row>
    <row r="291" spans="1:7">
      <c r="A291" s="9" t="s">
        <v>181</v>
      </c>
      <c r="B291" s="9">
        <v>6</v>
      </c>
      <c r="C291" s="9">
        <v>11</v>
      </c>
      <c r="D291" s="9" t="s">
        <v>321</v>
      </c>
      <c r="E291" s="9">
        <v>18</v>
      </c>
      <c r="F291" s="9">
        <v>700.50800000000004</v>
      </c>
      <c r="G291" s="9">
        <v>0.161</v>
      </c>
    </row>
    <row r="292" spans="1:7">
      <c r="A292" s="9" t="s">
        <v>181</v>
      </c>
      <c r="B292" s="9">
        <v>6</v>
      </c>
      <c r="C292" s="9">
        <v>10</v>
      </c>
      <c r="D292" s="9" t="s">
        <v>322</v>
      </c>
      <c r="E292" s="9">
        <v>28</v>
      </c>
      <c r="F292" s="9">
        <v>699.62</v>
      </c>
      <c r="G292" s="9">
        <v>0.435</v>
      </c>
    </row>
    <row r="293" spans="1:7">
      <c r="A293" s="9" t="s">
        <v>181</v>
      </c>
      <c r="B293" s="9">
        <v>6</v>
      </c>
      <c r="C293" s="9">
        <v>9</v>
      </c>
      <c r="D293" s="9" t="s">
        <v>323</v>
      </c>
      <c r="E293" s="9">
        <v>22</v>
      </c>
      <c r="F293" s="9">
        <v>700.56</v>
      </c>
      <c r="G293" s="9">
        <v>0.254</v>
      </c>
    </row>
    <row r="294" spans="1:7">
      <c r="A294" s="9" t="s">
        <v>181</v>
      </c>
      <c r="B294" s="9">
        <v>6</v>
      </c>
      <c r="C294" s="9">
        <v>8</v>
      </c>
      <c r="D294" s="9" t="s">
        <v>324</v>
      </c>
      <c r="E294" s="9">
        <v>20</v>
      </c>
      <c r="F294" s="9">
        <v>699.97699999999998</v>
      </c>
      <c r="G294" s="9">
        <v>0.22500000000000001</v>
      </c>
    </row>
    <row r="295" spans="1:7">
      <c r="A295" s="9" t="s">
        <v>181</v>
      </c>
      <c r="B295" s="9">
        <v>6</v>
      </c>
      <c r="C295" s="9">
        <v>7</v>
      </c>
      <c r="D295" s="9" t="s">
        <v>325</v>
      </c>
      <c r="E295" s="9">
        <v>19</v>
      </c>
      <c r="F295" s="9">
        <v>700.25800000000004</v>
      </c>
      <c r="G295" s="9">
        <v>0.247</v>
      </c>
    </row>
    <row r="296" spans="1:7">
      <c r="A296" s="9" t="s">
        <v>181</v>
      </c>
      <c r="B296" s="9">
        <v>6</v>
      </c>
      <c r="C296" s="9">
        <v>6</v>
      </c>
      <c r="D296" s="9" t="s">
        <v>326</v>
      </c>
      <c r="E296" s="9">
        <v>20</v>
      </c>
      <c r="F296" s="9">
        <v>699.98099999999999</v>
      </c>
      <c r="G296" s="9">
        <v>0.753</v>
      </c>
    </row>
    <row r="297" spans="1:7">
      <c r="A297" s="9" t="s">
        <v>181</v>
      </c>
      <c r="B297" s="9">
        <v>6</v>
      </c>
      <c r="C297" s="9">
        <v>5</v>
      </c>
      <c r="D297" s="9" t="s">
        <v>327</v>
      </c>
      <c r="E297" s="9">
        <v>5</v>
      </c>
      <c r="F297" s="9">
        <v>701.15</v>
      </c>
      <c r="G297" s="9">
        <v>1.5289999999999999</v>
      </c>
    </row>
    <row r="298" spans="1:7">
      <c r="A298" s="9" t="s">
        <v>181</v>
      </c>
      <c r="B298" s="9">
        <v>6</v>
      </c>
      <c r="C298" s="9">
        <v>4</v>
      </c>
      <c r="D298" s="9" t="s">
        <v>328</v>
      </c>
      <c r="E298" s="9">
        <v>16</v>
      </c>
      <c r="F298" s="9">
        <v>702.375</v>
      </c>
      <c r="G298" s="9">
        <v>0.38600000000000001</v>
      </c>
    </row>
    <row r="299" spans="1:7">
      <c r="A299" s="9" t="s">
        <v>181</v>
      </c>
      <c r="B299" s="9">
        <v>6</v>
      </c>
      <c r="C299" s="9">
        <v>3</v>
      </c>
      <c r="D299" s="9" t="s">
        <v>329</v>
      </c>
      <c r="E299" s="9">
        <v>12</v>
      </c>
      <c r="F299" s="9">
        <v>701.26400000000001</v>
      </c>
      <c r="G299" s="9">
        <v>0.432</v>
      </c>
    </row>
    <row r="300" spans="1:7">
      <c r="A300" s="9" t="s">
        <v>181</v>
      </c>
      <c r="B300" s="9">
        <v>6</v>
      </c>
      <c r="C300" s="9">
        <v>2</v>
      </c>
      <c r="D300" s="9" t="s">
        <v>330</v>
      </c>
      <c r="E300" s="9">
        <v>18</v>
      </c>
      <c r="F300" s="9">
        <v>701.14</v>
      </c>
      <c r="G300" s="9">
        <v>0.73299999999999998</v>
      </c>
    </row>
    <row r="301" spans="1:7">
      <c r="A301" s="9" t="s">
        <v>181</v>
      </c>
      <c r="B301" s="9">
        <v>6</v>
      </c>
      <c r="C301" s="9">
        <v>1</v>
      </c>
      <c r="D301" s="9" t="s">
        <v>331</v>
      </c>
      <c r="E301" s="9">
        <v>21</v>
      </c>
      <c r="F301" s="9">
        <v>703.39499999999998</v>
      </c>
      <c r="G301" s="9">
        <v>0.51500000000000001</v>
      </c>
    </row>
    <row r="302" spans="1:7">
      <c r="A302" s="9" t="s">
        <v>332</v>
      </c>
      <c r="B302" s="9">
        <v>1</v>
      </c>
      <c r="C302" s="9">
        <v>25</v>
      </c>
      <c r="D302" s="9" t="s">
        <v>333</v>
      </c>
      <c r="E302" s="9">
        <v>41</v>
      </c>
      <c r="F302" s="9">
        <v>699.88699999999994</v>
      </c>
      <c r="G302" s="9">
        <v>9.9000000000000005E-2</v>
      </c>
    </row>
    <row r="303" spans="1:7">
      <c r="A303" s="9" t="s">
        <v>332</v>
      </c>
      <c r="B303" s="9">
        <v>1</v>
      </c>
      <c r="C303" s="9">
        <v>24</v>
      </c>
      <c r="D303" s="9" t="s">
        <v>334</v>
      </c>
      <c r="E303" s="9">
        <v>16</v>
      </c>
      <c r="F303" s="9">
        <v>701.05600000000004</v>
      </c>
      <c r="G303" s="9">
        <v>0.59599999999999997</v>
      </c>
    </row>
    <row r="304" spans="1:7">
      <c r="A304" s="9" t="s">
        <v>332</v>
      </c>
      <c r="B304" s="9">
        <v>1</v>
      </c>
      <c r="C304" s="9">
        <v>23</v>
      </c>
      <c r="D304" s="9" t="s">
        <v>335</v>
      </c>
      <c r="E304" s="9">
        <v>24</v>
      </c>
      <c r="F304" s="9">
        <v>700.13900000000001</v>
      </c>
      <c r="G304" s="9">
        <v>0.218</v>
      </c>
    </row>
    <row r="305" spans="1:7">
      <c r="A305" s="9" t="s">
        <v>332</v>
      </c>
      <c r="B305" s="9">
        <v>1</v>
      </c>
      <c r="C305" s="9">
        <v>22</v>
      </c>
      <c r="D305" s="9" t="s">
        <v>336</v>
      </c>
      <c r="E305" s="9">
        <v>20</v>
      </c>
      <c r="F305" s="9">
        <v>700.64499999999998</v>
      </c>
      <c r="G305" s="9">
        <v>0.311</v>
      </c>
    </row>
    <row r="306" spans="1:7">
      <c r="A306" s="9" t="s">
        <v>332</v>
      </c>
      <c r="B306" s="9">
        <v>1</v>
      </c>
      <c r="C306" s="9">
        <v>21</v>
      </c>
      <c r="D306" s="9" t="s">
        <v>337</v>
      </c>
      <c r="E306" s="9">
        <v>14</v>
      </c>
      <c r="F306" s="9">
        <v>700.96699999999998</v>
      </c>
      <c r="G306" s="9">
        <v>0.24299999999999999</v>
      </c>
    </row>
    <row r="307" spans="1:7">
      <c r="A307" s="9" t="s">
        <v>332</v>
      </c>
      <c r="B307" s="9">
        <v>1</v>
      </c>
      <c r="C307" s="9">
        <v>20</v>
      </c>
      <c r="D307" s="9" t="s">
        <v>338</v>
      </c>
      <c r="E307" s="9">
        <v>20</v>
      </c>
      <c r="F307" s="9">
        <v>700.23099999999999</v>
      </c>
      <c r="G307" s="9">
        <v>0.17</v>
      </c>
    </row>
    <row r="308" spans="1:7">
      <c r="A308" s="9" t="s">
        <v>332</v>
      </c>
      <c r="B308" s="9">
        <v>1</v>
      </c>
      <c r="C308" s="9">
        <v>19</v>
      </c>
      <c r="D308" s="9" t="s">
        <v>339</v>
      </c>
      <c r="E308" s="9">
        <v>15</v>
      </c>
      <c r="F308" s="9">
        <v>701.66800000000001</v>
      </c>
      <c r="G308" s="9">
        <v>0.223</v>
      </c>
    </row>
    <row r="309" spans="1:7">
      <c r="A309" s="9" t="s">
        <v>332</v>
      </c>
      <c r="B309" s="9">
        <v>1</v>
      </c>
      <c r="C309" s="9">
        <v>18</v>
      </c>
      <c r="D309" s="9" t="s">
        <v>340</v>
      </c>
      <c r="E309" s="9">
        <v>23</v>
      </c>
      <c r="F309" s="9">
        <v>701.62</v>
      </c>
      <c r="G309" s="9">
        <v>0.11600000000000001</v>
      </c>
    </row>
    <row r="310" spans="1:7">
      <c r="A310" s="9" t="s">
        <v>332</v>
      </c>
      <c r="B310" s="9">
        <v>1</v>
      </c>
      <c r="C310" s="9">
        <v>17</v>
      </c>
      <c r="D310" s="9" t="s">
        <v>341</v>
      </c>
      <c r="E310" s="9">
        <v>30</v>
      </c>
      <c r="F310" s="9">
        <v>701.02099999999996</v>
      </c>
      <c r="G310" s="9">
        <v>0.21299999999999999</v>
      </c>
    </row>
    <row r="311" spans="1:7">
      <c r="A311" s="9" t="s">
        <v>332</v>
      </c>
      <c r="B311" s="9">
        <v>1</v>
      </c>
      <c r="C311" s="9">
        <v>16</v>
      </c>
      <c r="D311" s="9" t="s">
        <v>342</v>
      </c>
      <c r="E311" s="9">
        <v>22</v>
      </c>
      <c r="F311" s="9">
        <v>700.90099999999995</v>
      </c>
      <c r="G311" s="9">
        <v>0.34399999999999997</v>
      </c>
    </row>
    <row r="312" spans="1:7">
      <c r="A312" s="9" t="s">
        <v>332</v>
      </c>
      <c r="B312" s="9">
        <v>1</v>
      </c>
      <c r="C312" s="9">
        <v>15</v>
      </c>
      <c r="D312" s="9" t="s">
        <v>343</v>
      </c>
      <c r="E312" s="9">
        <v>26</v>
      </c>
      <c r="F312" s="9">
        <v>700.15</v>
      </c>
      <c r="G312" s="9">
        <v>0.128</v>
      </c>
    </row>
    <row r="313" spans="1:7">
      <c r="A313" s="9" t="s">
        <v>332</v>
      </c>
      <c r="B313" s="9">
        <v>1</v>
      </c>
      <c r="C313" s="9">
        <v>14</v>
      </c>
      <c r="D313" s="9" t="s">
        <v>344</v>
      </c>
      <c r="E313" s="9">
        <v>16</v>
      </c>
      <c r="F313" s="9">
        <v>701.37599999999998</v>
      </c>
      <c r="G313" s="9">
        <v>0.21199999999999999</v>
      </c>
    </row>
    <row r="314" spans="1:7">
      <c r="A314" s="25" t="s">
        <v>332</v>
      </c>
      <c r="B314" s="25">
        <v>1</v>
      </c>
      <c r="C314" s="25">
        <v>13</v>
      </c>
      <c r="D314" s="25" t="s">
        <v>345</v>
      </c>
      <c r="E314" s="25">
        <v>18</v>
      </c>
      <c r="F314" s="25">
        <v>700.98800000000006</v>
      </c>
      <c r="G314" s="25">
        <v>0.188</v>
      </c>
    </row>
    <row r="315" spans="1:7">
      <c r="A315" s="24" t="s">
        <v>332</v>
      </c>
      <c r="B315" s="24">
        <v>1</v>
      </c>
      <c r="C315" s="24">
        <v>12</v>
      </c>
      <c r="D315" s="24" t="s">
        <v>346</v>
      </c>
      <c r="E315" s="24">
        <v>26</v>
      </c>
      <c r="F315" s="24">
        <v>700.11400000000003</v>
      </c>
      <c r="G315" s="24">
        <v>0.27700000000000002</v>
      </c>
    </row>
    <row r="316" spans="1:7">
      <c r="A316" s="24" t="s">
        <v>332</v>
      </c>
      <c r="B316" s="24">
        <v>1</v>
      </c>
      <c r="C316" s="24">
        <v>11</v>
      </c>
      <c r="D316" s="24" t="s">
        <v>347</v>
      </c>
      <c r="E316" s="24">
        <v>18</v>
      </c>
      <c r="F316" s="24">
        <v>700.399</v>
      </c>
      <c r="G316" s="24">
        <v>0.29699999999999999</v>
      </c>
    </row>
    <row r="317" spans="1:7">
      <c r="A317" s="24" t="s">
        <v>332</v>
      </c>
      <c r="B317" s="24">
        <v>1</v>
      </c>
      <c r="C317" s="24">
        <v>10</v>
      </c>
      <c r="D317" s="24" t="s">
        <v>348</v>
      </c>
      <c r="E317" s="24">
        <v>17</v>
      </c>
      <c r="F317" s="24">
        <v>701.55100000000004</v>
      </c>
      <c r="G317" s="24">
        <v>0.57599999999999996</v>
      </c>
    </row>
    <row r="318" spans="1:7">
      <c r="A318" s="24" t="s">
        <v>332</v>
      </c>
      <c r="B318" s="24">
        <v>1</v>
      </c>
      <c r="C318" s="24">
        <v>9</v>
      </c>
      <c r="D318" s="24" t="s">
        <v>349</v>
      </c>
      <c r="E318" s="24">
        <v>24</v>
      </c>
      <c r="F318" s="24">
        <v>703.15599999999995</v>
      </c>
      <c r="G318" s="24">
        <v>0.30499999999999999</v>
      </c>
    </row>
    <row r="319" spans="1:7">
      <c r="A319" s="24" t="s">
        <v>332</v>
      </c>
      <c r="B319" s="24">
        <v>1</v>
      </c>
      <c r="C319" s="24">
        <v>8</v>
      </c>
      <c r="D319" s="24" t="s">
        <v>350</v>
      </c>
      <c r="E319" s="24">
        <v>22</v>
      </c>
      <c r="F319" s="24">
        <v>701.83299999999997</v>
      </c>
      <c r="G319" s="24">
        <v>0.433</v>
      </c>
    </row>
    <row r="320" spans="1:7">
      <c r="A320" s="24" t="s">
        <v>332</v>
      </c>
      <c r="B320" s="24">
        <v>1</v>
      </c>
      <c r="C320" s="24">
        <v>7</v>
      </c>
      <c r="D320" s="24" t="s">
        <v>351</v>
      </c>
      <c r="E320" s="24">
        <v>43</v>
      </c>
      <c r="F320" s="24">
        <v>699.76300000000003</v>
      </c>
      <c r="G320" s="24">
        <v>0.14199999999999999</v>
      </c>
    </row>
    <row r="321" spans="1:7">
      <c r="A321" s="24" t="s">
        <v>332</v>
      </c>
      <c r="B321" s="24">
        <v>1</v>
      </c>
      <c r="C321" s="24">
        <v>6</v>
      </c>
      <c r="D321" s="24" t="s">
        <v>352</v>
      </c>
      <c r="E321" s="24">
        <v>23</v>
      </c>
      <c r="F321" s="24">
        <v>702.80899999999997</v>
      </c>
      <c r="G321" s="24">
        <v>0.27700000000000002</v>
      </c>
    </row>
    <row r="322" spans="1:7">
      <c r="A322" s="24" t="s">
        <v>332</v>
      </c>
      <c r="B322" s="24">
        <v>1</v>
      </c>
      <c r="C322" s="24">
        <v>5</v>
      </c>
      <c r="D322" s="24" t="s">
        <v>353</v>
      </c>
      <c r="E322" s="24">
        <v>31</v>
      </c>
      <c r="F322" s="24">
        <v>700.87599999999998</v>
      </c>
      <c r="G322" s="24">
        <v>0.18</v>
      </c>
    </row>
    <row r="323" spans="1:7">
      <c r="A323" s="24" t="s">
        <v>332</v>
      </c>
      <c r="B323" s="24">
        <v>1</v>
      </c>
      <c r="C323" s="24">
        <v>4</v>
      </c>
      <c r="D323" s="24" t="s">
        <v>354</v>
      </c>
      <c r="E323" s="24">
        <v>15</v>
      </c>
      <c r="F323" s="24">
        <v>702.95299999999997</v>
      </c>
      <c r="G323" s="24">
        <v>0.26800000000000002</v>
      </c>
    </row>
    <row r="324" spans="1:7">
      <c r="A324" s="24" t="s">
        <v>332</v>
      </c>
      <c r="B324" s="24">
        <v>1</v>
      </c>
      <c r="C324" s="24">
        <v>3</v>
      </c>
      <c r="D324" s="24" t="s">
        <v>355</v>
      </c>
      <c r="E324" s="24">
        <v>46</v>
      </c>
      <c r="F324" s="24">
        <v>699.54</v>
      </c>
      <c r="G324" s="24">
        <v>0.23899999999999999</v>
      </c>
    </row>
    <row r="325" spans="1:7">
      <c r="A325" s="24" t="s">
        <v>332</v>
      </c>
      <c r="B325" s="24">
        <v>1</v>
      </c>
      <c r="C325" s="24">
        <v>2</v>
      </c>
      <c r="D325" s="24" t="s">
        <v>356</v>
      </c>
      <c r="E325" s="24">
        <v>32</v>
      </c>
      <c r="F325" s="24">
        <v>701.93700000000001</v>
      </c>
      <c r="G325" s="24">
        <v>0.41199999999999998</v>
      </c>
    </row>
    <row r="326" spans="1:7">
      <c r="A326" s="24" t="s">
        <v>332</v>
      </c>
      <c r="B326" s="24">
        <v>1</v>
      </c>
      <c r="C326" s="24">
        <v>1</v>
      </c>
      <c r="D326" s="24" t="s">
        <v>357</v>
      </c>
      <c r="E326" s="24">
        <v>44</v>
      </c>
      <c r="F326" s="24">
        <v>700.66399999999999</v>
      </c>
      <c r="G326" s="24">
        <v>0.23200000000000001</v>
      </c>
    </row>
    <row r="327" spans="1:7">
      <c r="A327" s="24" t="s">
        <v>332</v>
      </c>
      <c r="B327" s="24">
        <v>2</v>
      </c>
      <c r="C327" s="24">
        <v>25</v>
      </c>
      <c r="D327" s="24" t="s">
        <v>358</v>
      </c>
      <c r="E327" s="24">
        <v>21</v>
      </c>
      <c r="F327" s="24">
        <v>700.88499999999999</v>
      </c>
      <c r="G327" s="24">
        <v>0.30199999999999999</v>
      </c>
    </row>
    <row r="328" spans="1:7">
      <c r="A328" s="24" t="s">
        <v>332</v>
      </c>
      <c r="B328" s="24">
        <v>2</v>
      </c>
      <c r="C328" s="24">
        <v>24</v>
      </c>
      <c r="D328" s="24" t="s">
        <v>359</v>
      </c>
      <c r="E328" s="24">
        <v>18</v>
      </c>
      <c r="F328" s="24">
        <v>699.66200000000003</v>
      </c>
      <c r="G328" s="24">
        <v>0.438</v>
      </c>
    </row>
    <row r="329" spans="1:7">
      <c r="A329" s="24" t="s">
        <v>332</v>
      </c>
      <c r="B329" s="24">
        <v>2</v>
      </c>
      <c r="C329" s="24">
        <v>23</v>
      </c>
      <c r="D329" s="24" t="s">
        <v>360</v>
      </c>
      <c r="E329" s="24">
        <v>16</v>
      </c>
      <c r="F329" s="24">
        <v>700.82500000000005</v>
      </c>
      <c r="G329" s="24">
        <v>0.39800000000000002</v>
      </c>
    </row>
    <row r="330" spans="1:7">
      <c r="A330" s="24" t="s">
        <v>332</v>
      </c>
      <c r="B330" s="24">
        <v>2</v>
      </c>
      <c r="C330" s="24">
        <v>22</v>
      </c>
      <c r="D330" s="24" t="s">
        <v>361</v>
      </c>
      <c r="E330" s="24">
        <v>23</v>
      </c>
      <c r="F330" s="24">
        <v>699.91200000000003</v>
      </c>
      <c r="G330" s="24">
        <v>9.0999999999999998E-2</v>
      </c>
    </row>
    <row r="331" spans="1:7">
      <c r="A331" s="24" t="s">
        <v>332</v>
      </c>
      <c r="B331" s="24">
        <v>2</v>
      </c>
      <c r="C331" s="24">
        <v>21</v>
      </c>
      <c r="D331" s="24" t="s">
        <v>362</v>
      </c>
      <c r="E331" s="24">
        <v>23</v>
      </c>
      <c r="F331" s="24">
        <v>699.93299999999999</v>
      </c>
      <c r="G331" s="24">
        <v>0.182</v>
      </c>
    </row>
    <row r="332" spans="1:7">
      <c r="A332" s="24" t="s">
        <v>332</v>
      </c>
      <c r="B332" s="24">
        <v>2</v>
      </c>
      <c r="C332" s="24">
        <v>20</v>
      </c>
      <c r="D332" s="24" t="s">
        <v>363</v>
      </c>
      <c r="E332" s="24">
        <v>9</v>
      </c>
      <c r="F332" s="24">
        <v>702.24099999999999</v>
      </c>
      <c r="G332" s="24">
        <v>0.34200000000000003</v>
      </c>
    </row>
    <row r="333" spans="1:7">
      <c r="A333" s="24" t="s">
        <v>332</v>
      </c>
      <c r="B333" s="24">
        <v>2</v>
      </c>
      <c r="C333" s="24">
        <v>19</v>
      </c>
      <c r="D333" s="24" t="s">
        <v>364</v>
      </c>
      <c r="E333" s="24">
        <v>14</v>
      </c>
      <c r="F333" s="24">
        <v>699.98299999999995</v>
      </c>
      <c r="G333" s="24">
        <v>0.28999999999999998</v>
      </c>
    </row>
    <row r="334" spans="1:7">
      <c r="A334" s="24" t="s">
        <v>332</v>
      </c>
      <c r="B334" s="24">
        <v>2</v>
      </c>
      <c r="C334" s="24">
        <v>18</v>
      </c>
      <c r="D334" s="24" t="s">
        <v>365</v>
      </c>
      <c r="E334" s="24">
        <v>25</v>
      </c>
      <c r="F334" s="24">
        <v>700.678</v>
      </c>
      <c r="G334" s="24">
        <v>0.26600000000000001</v>
      </c>
    </row>
    <row r="335" spans="1:7">
      <c r="A335" s="24" t="s">
        <v>332</v>
      </c>
      <c r="B335" s="24">
        <v>2</v>
      </c>
      <c r="C335" s="24">
        <v>17</v>
      </c>
      <c r="D335" s="24" t="s">
        <v>366</v>
      </c>
      <c r="E335" s="24">
        <v>23</v>
      </c>
      <c r="F335" s="24">
        <v>699.71600000000001</v>
      </c>
      <c r="G335" s="24">
        <v>0.13800000000000001</v>
      </c>
    </row>
    <row r="336" spans="1:7">
      <c r="A336" s="24" t="s">
        <v>332</v>
      </c>
      <c r="B336" s="24">
        <v>2</v>
      </c>
      <c r="C336" s="24">
        <v>16</v>
      </c>
      <c r="D336" s="24" t="s">
        <v>367</v>
      </c>
      <c r="E336" s="24">
        <v>15</v>
      </c>
      <c r="F336" s="24">
        <v>700.61400000000003</v>
      </c>
      <c r="G336" s="24">
        <v>0.35199999999999998</v>
      </c>
    </row>
    <row r="337" spans="1:7">
      <c r="A337" s="24" t="s">
        <v>332</v>
      </c>
      <c r="B337" s="24">
        <v>2</v>
      </c>
      <c r="C337" s="24">
        <v>15</v>
      </c>
      <c r="D337" s="24" t="s">
        <v>368</v>
      </c>
      <c r="E337" s="24">
        <v>11</v>
      </c>
      <c r="F337" s="24">
        <v>703.33900000000006</v>
      </c>
      <c r="G337" s="24">
        <v>0.33400000000000002</v>
      </c>
    </row>
    <row r="338" spans="1:7">
      <c r="A338" s="24" t="s">
        <v>332</v>
      </c>
      <c r="B338" s="24">
        <v>2</v>
      </c>
      <c r="C338" s="24">
        <v>14</v>
      </c>
      <c r="D338" s="24" t="s">
        <v>369</v>
      </c>
      <c r="E338" s="24">
        <v>14</v>
      </c>
      <c r="F338" s="24">
        <v>703.61699999999996</v>
      </c>
      <c r="G338" s="24">
        <v>0.30499999999999999</v>
      </c>
    </row>
    <row r="339" spans="1:7">
      <c r="A339" s="24" t="s">
        <v>332</v>
      </c>
      <c r="B339" s="24">
        <v>2</v>
      </c>
      <c r="C339" s="24">
        <v>13</v>
      </c>
      <c r="D339" s="24" t="s">
        <v>370</v>
      </c>
      <c r="E339" s="24">
        <v>15</v>
      </c>
      <c r="F339" s="24">
        <v>704.13199999999995</v>
      </c>
      <c r="G339" s="24">
        <v>0.28499999999999998</v>
      </c>
    </row>
    <row r="340" spans="1:7">
      <c r="A340" s="24" t="s">
        <v>332</v>
      </c>
      <c r="B340" s="24">
        <v>2</v>
      </c>
      <c r="C340" s="24">
        <v>12</v>
      </c>
      <c r="D340" s="24" t="s">
        <v>371</v>
      </c>
      <c r="E340" s="24">
        <v>16</v>
      </c>
      <c r="F340" s="24">
        <v>700.322</v>
      </c>
      <c r="G340" s="24">
        <v>9.7000000000000003E-2</v>
      </c>
    </row>
    <row r="341" spans="1:7">
      <c r="A341" s="24" t="s">
        <v>332</v>
      </c>
      <c r="B341" s="24">
        <v>2</v>
      </c>
      <c r="C341" s="24">
        <v>11</v>
      </c>
      <c r="D341" s="24" t="s">
        <v>372</v>
      </c>
      <c r="E341" s="24">
        <v>12</v>
      </c>
      <c r="F341" s="24">
        <v>700.95500000000004</v>
      </c>
      <c r="G341" s="24">
        <v>0.223</v>
      </c>
    </row>
    <row r="342" spans="1:7">
      <c r="A342" s="24" t="s">
        <v>332</v>
      </c>
      <c r="B342" s="24">
        <v>2</v>
      </c>
      <c r="C342" s="24">
        <v>10</v>
      </c>
      <c r="D342" s="24" t="s">
        <v>373</v>
      </c>
      <c r="E342" s="24">
        <v>11</v>
      </c>
      <c r="F342" s="24">
        <v>699.83900000000006</v>
      </c>
      <c r="G342" s="24">
        <v>0.216</v>
      </c>
    </row>
    <row r="343" spans="1:7">
      <c r="A343" s="24" t="s">
        <v>332</v>
      </c>
      <c r="B343" s="24">
        <v>2</v>
      </c>
      <c r="C343" s="24">
        <v>9</v>
      </c>
      <c r="D343" s="24" t="s">
        <v>374</v>
      </c>
      <c r="E343" s="24">
        <v>8</v>
      </c>
      <c r="F343" s="24">
        <v>699.69</v>
      </c>
      <c r="G343" s="24">
        <v>0.19800000000000001</v>
      </c>
    </row>
    <row r="344" spans="1:7">
      <c r="A344" s="24" t="s">
        <v>332</v>
      </c>
      <c r="B344" s="24">
        <v>2</v>
      </c>
      <c r="C344" s="24">
        <v>8</v>
      </c>
      <c r="D344" s="24" t="s">
        <v>375</v>
      </c>
      <c r="E344" s="24">
        <v>12</v>
      </c>
      <c r="F344" s="24">
        <v>699.34799999999996</v>
      </c>
      <c r="G344" s="24">
        <v>0.113</v>
      </c>
    </row>
    <row r="345" spans="1:7">
      <c r="A345" s="24" t="s">
        <v>332</v>
      </c>
      <c r="B345" s="24">
        <v>2</v>
      </c>
      <c r="C345" s="24">
        <v>7</v>
      </c>
      <c r="D345" s="24" t="s">
        <v>376</v>
      </c>
      <c r="E345" s="24">
        <v>22</v>
      </c>
      <c r="F345" s="24">
        <v>698.85400000000004</v>
      </c>
      <c r="G345" s="24">
        <v>0.371</v>
      </c>
    </row>
    <row r="346" spans="1:7">
      <c r="A346" s="24" t="s">
        <v>332</v>
      </c>
      <c r="B346" s="24">
        <v>2</v>
      </c>
      <c r="C346" s="24">
        <v>6</v>
      </c>
      <c r="D346" s="24" t="s">
        <v>377</v>
      </c>
      <c r="E346" s="24">
        <v>23</v>
      </c>
      <c r="F346" s="24">
        <v>699.33500000000004</v>
      </c>
      <c r="G346" s="24">
        <v>0.29599999999999999</v>
      </c>
    </row>
    <row r="347" spans="1:7">
      <c r="A347" s="24" t="s">
        <v>332</v>
      </c>
      <c r="B347" s="24">
        <v>2</v>
      </c>
      <c r="C347" s="24">
        <v>5</v>
      </c>
      <c r="D347" s="24" t="s">
        <v>378</v>
      </c>
      <c r="E347" s="24">
        <v>31</v>
      </c>
      <c r="F347" s="24">
        <v>700.28300000000002</v>
      </c>
      <c r="G347" s="24">
        <v>0.33800000000000002</v>
      </c>
    </row>
    <row r="348" spans="1:7">
      <c r="A348" s="24" t="s">
        <v>332</v>
      </c>
      <c r="B348" s="24">
        <v>2</v>
      </c>
      <c r="C348" s="24">
        <v>4</v>
      </c>
      <c r="D348" s="24" t="s">
        <v>379</v>
      </c>
      <c r="E348" s="24">
        <v>30</v>
      </c>
      <c r="F348" s="24">
        <v>701.20500000000004</v>
      </c>
      <c r="G348" s="24">
        <v>1.1000000000000001</v>
      </c>
    </row>
    <row r="349" spans="1:7">
      <c r="A349" s="24" t="s">
        <v>332</v>
      </c>
      <c r="B349" s="24">
        <v>2</v>
      </c>
      <c r="C349" s="24">
        <v>3</v>
      </c>
      <c r="D349" s="24" t="s">
        <v>380</v>
      </c>
      <c r="E349" s="24">
        <v>18</v>
      </c>
      <c r="F349" s="24">
        <v>700.85799999999995</v>
      </c>
      <c r="G349" s="24">
        <v>0.63200000000000001</v>
      </c>
    </row>
    <row r="350" spans="1:7">
      <c r="A350" s="24" t="s">
        <v>332</v>
      </c>
      <c r="B350" s="24">
        <v>2</v>
      </c>
      <c r="C350" s="24">
        <v>2</v>
      </c>
      <c r="D350" s="24" t="s">
        <v>381</v>
      </c>
      <c r="E350" s="24">
        <v>11</v>
      </c>
      <c r="F350" s="24">
        <v>700.34900000000005</v>
      </c>
      <c r="G350" s="24">
        <v>0.378</v>
      </c>
    </row>
    <row r="351" spans="1:7">
      <c r="A351" s="24" t="s">
        <v>332</v>
      </c>
      <c r="B351" s="24">
        <v>2</v>
      </c>
      <c r="C351" s="24">
        <v>1</v>
      </c>
      <c r="D351" s="24" t="s">
        <v>382</v>
      </c>
      <c r="E351" s="24">
        <v>24</v>
      </c>
      <c r="F351" s="24">
        <v>702.91600000000005</v>
      </c>
      <c r="G351" s="24">
        <v>0.34</v>
      </c>
    </row>
    <row r="352" spans="1:7">
      <c r="A352" s="24" t="s">
        <v>332</v>
      </c>
      <c r="B352" s="24">
        <v>3</v>
      </c>
      <c r="C352" s="24">
        <v>25</v>
      </c>
      <c r="D352" s="24" t="s">
        <v>383</v>
      </c>
      <c r="E352" s="24">
        <v>38</v>
      </c>
      <c r="F352" s="24">
        <v>700.029</v>
      </c>
      <c r="G352" s="24">
        <v>0.218</v>
      </c>
    </row>
    <row r="353" spans="1:7">
      <c r="A353" s="24" t="s">
        <v>332</v>
      </c>
      <c r="B353" s="24">
        <v>3</v>
      </c>
      <c r="C353" s="24">
        <v>24</v>
      </c>
      <c r="D353" s="24" t="s">
        <v>384</v>
      </c>
      <c r="E353" s="24">
        <v>26</v>
      </c>
      <c r="F353" s="24">
        <v>703.08399999999995</v>
      </c>
      <c r="G353" s="24">
        <v>0.35599999999999998</v>
      </c>
    </row>
    <row r="354" spans="1:7">
      <c r="A354" s="24" t="s">
        <v>332</v>
      </c>
      <c r="B354" s="24">
        <v>3</v>
      </c>
      <c r="C354" s="24">
        <v>23</v>
      </c>
      <c r="D354" s="24" t="s">
        <v>385</v>
      </c>
      <c r="E354" s="24">
        <v>16</v>
      </c>
      <c r="F354" s="24">
        <v>699.61199999999997</v>
      </c>
      <c r="G354" s="24">
        <v>0.55300000000000005</v>
      </c>
    </row>
    <row r="355" spans="1:7">
      <c r="A355" s="24" t="s">
        <v>332</v>
      </c>
      <c r="B355" s="24">
        <v>3</v>
      </c>
      <c r="C355" s="24">
        <v>22</v>
      </c>
      <c r="D355" s="24" t="s">
        <v>386</v>
      </c>
      <c r="E355" s="24">
        <v>17</v>
      </c>
      <c r="F355" s="24">
        <v>700.03800000000001</v>
      </c>
      <c r="G355" s="24">
        <v>0.22900000000000001</v>
      </c>
    </row>
    <row r="356" spans="1:7">
      <c r="A356" s="24" t="s">
        <v>332</v>
      </c>
      <c r="B356" s="24">
        <v>3</v>
      </c>
      <c r="C356" s="24">
        <v>21</v>
      </c>
      <c r="D356" s="24" t="s">
        <v>387</v>
      </c>
      <c r="E356" s="24">
        <v>23</v>
      </c>
      <c r="F356" s="24">
        <v>703.04499999999996</v>
      </c>
      <c r="G356" s="24">
        <v>8.7999999999999995E-2</v>
      </c>
    </row>
    <row r="357" spans="1:7">
      <c r="A357" s="24" t="s">
        <v>332</v>
      </c>
      <c r="B357" s="24">
        <v>3</v>
      </c>
      <c r="C357" s="24">
        <v>20</v>
      </c>
      <c r="D357" s="24" t="s">
        <v>388</v>
      </c>
      <c r="E357" s="24">
        <v>29</v>
      </c>
      <c r="F357" s="24">
        <v>703.09500000000003</v>
      </c>
      <c r="G357" s="24">
        <v>0.214</v>
      </c>
    </row>
    <row r="358" spans="1:7">
      <c r="A358" s="24" t="s">
        <v>332</v>
      </c>
      <c r="B358" s="24">
        <v>3</v>
      </c>
      <c r="C358" s="24">
        <v>19</v>
      </c>
      <c r="D358" s="24" t="s">
        <v>389</v>
      </c>
      <c r="E358" s="24">
        <v>34</v>
      </c>
      <c r="F358" s="24">
        <v>703.02800000000002</v>
      </c>
      <c r="G358" s="24">
        <v>0.14000000000000001</v>
      </c>
    </row>
    <row r="359" spans="1:7">
      <c r="A359" s="24" t="s">
        <v>332</v>
      </c>
      <c r="B359" s="24">
        <v>3</v>
      </c>
      <c r="C359" s="24">
        <v>18</v>
      </c>
      <c r="D359" s="24" t="s">
        <v>390</v>
      </c>
      <c r="E359" s="24">
        <v>26</v>
      </c>
      <c r="F359" s="24">
        <v>698.48400000000004</v>
      </c>
      <c r="G359" s="24">
        <v>0.39300000000000002</v>
      </c>
    </row>
    <row r="360" spans="1:7">
      <c r="A360" s="24" t="s">
        <v>332</v>
      </c>
      <c r="B360" s="24">
        <v>3</v>
      </c>
      <c r="C360" s="24">
        <v>17</v>
      </c>
      <c r="D360" s="24" t="s">
        <v>391</v>
      </c>
      <c r="E360" s="24">
        <v>15</v>
      </c>
      <c r="F360" s="24">
        <v>700.58299999999997</v>
      </c>
      <c r="G360" s="24">
        <v>0.373</v>
      </c>
    </row>
    <row r="361" spans="1:7">
      <c r="A361" s="24" t="s">
        <v>332</v>
      </c>
      <c r="B361" s="24">
        <v>3</v>
      </c>
      <c r="C361" s="24">
        <v>16</v>
      </c>
      <c r="D361" s="24" t="s">
        <v>392</v>
      </c>
      <c r="E361" s="24">
        <v>14</v>
      </c>
      <c r="F361" s="24">
        <v>699.79899999999998</v>
      </c>
      <c r="G361" s="24">
        <v>0.312</v>
      </c>
    </row>
    <row r="362" spans="1:7">
      <c r="A362" s="24" t="s">
        <v>332</v>
      </c>
      <c r="B362" s="24">
        <v>3</v>
      </c>
      <c r="C362" s="24">
        <v>15</v>
      </c>
      <c r="D362" s="24" t="s">
        <v>393</v>
      </c>
      <c r="E362" s="24">
        <v>30</v>
      </c>
      <c r="F362" s="24">
        <v>700.702</v>
      </c>
      <c r="G362" s="24">
        <v>0.26700000000000002</v>
      </c>
    </row>
    <row r="363" spans="1:7">
      <c r="A363" s="24" t="s">
        <v>332</v>
      </c>
      <c r="B363" s="24">
        <v>3</v>
      </c>
      <c r="C363" s="24">
        <v>14</v>
      </c>
      <c r="D363" s="24" t="s">
        <v>394</v>
      </c>
      <c r="E363" s="24">
        <v>13</v>
      </c>
      <c r="F363" s="24">
        <v>700.76300000000003</v>
      </c>
      <c r="G363" s="24">
        <v>0.33100000000000002</v>
      </c>
    </row>
    <row r="364" spans="1:7">
      <c r="A364" s="24" t="s">
        <v>332</v>
      </c>
      <c r="B364" s="24">
        <v>3</v>
      </c>
      <c r="C364" s="24">
        <v>13</v>
      </c>
      <c r="D364" s="24" t="s">
        <v>395</v>
      </c>
      <c r="E364" s="24">
        <v>24</v>
      </c>
      <c r="F364" s="24">
        <v>700.72400000000005</v>
      </c>
      <c r="G364" s="24">
        <v>0.29799999999999999</v>
      </c>
    </row>
    <row r="365" spans="1:7">
      <c r="A365" s="24" t="s">
        <v>332</v>
      </c>
      <c r="B365" s="24">
        <v>3</v>
      </c>
      <c r="C365" s="24">
        <v>12</v>
      </c>
      <c r="D365" s="24" t="s">
        <v>396</v>
      </c>
      <c r="E365" s="24">
        <v>13</v>
      </c>
      <c r="F365" s="24">
        <v>703.81500000000005</v>
      </c>
      <c r="G365" s="24">
        <v>0.42299999999999999</v>
      </c>
    </row>
    <row r="366" spans="1:7">
      <c r="A366" s="24" t="s">
        <v>332</v>
      </c>
      <c r="B366" s="24">
        <v>3</v>
      </c>
      <c r="C366" s="24">
        <v>11</v>
      </c>
      <c r="D366" s="24" t="s">
        <v>397</v>
      </c>
      <c r="E366" s="24">
        <v>67</v>
      </c>
      <c r="F366" s="24">
        <v>700.13900000000001</v>
      </c>
      <c r="G366" s="24">
        <v>0.28100000000000003</v>
      </c>
    </row>
    <row r="367" spans="1:7">
      <c r="A367" s="24" t="s">
        <v>332</v>
      </c>
      <c r="B367" s="24">
        <v>3</v>
      </c>
      <c r="C367" s="24">
        <v>10</v>
      </c>
      <c r="D367" s="24" t="s">
        <v>398</v>
      </c>
      <c r="E367" s="24">
        <v>27</v>
      </c>
      <c r="F367" s="24">
        <v>700.16899999999998</v>
      </c>
      <c r="G367" s="24">
        <v>0.27800000000000002</v>
      </c>
    </row>
    <row r="368" spans="1:7">
      <c r="A368" s="24" t="s">
        <v>332</v>
      </c>
      <c r="B368" s="24">
        <v>3</v>
      </c>
      <c r="C368" s="24">
        <v>9</v>
      </c>
      <c r="D368" s="24" t="s">
        <v>399</v>
      </c>
      <c r="E368" s="24">
        <v>21</v>
      </c>
      <c r="F368" s="24">
        <v>701.31399999999996</v>
      </c>
      <c r="G368" s="24">
        <v>0.374</v>
      </c>
    </row>
    <row r="369" spans="1:7">
      <c r="A369" s="24" t="s">
        <v>332</v>
      </c>
      <c r="B369" s="24">
        <v>3</v>
      </c>
      <c r="C369" s="24">
        <v>8</v>
      </c>
      <c r="D369" s="24" t="s">
        <v>400</v>
      </c>
      <c r="E369" s="24">
        <v>41</v>
      </c>
      <c r="F369" s="24">
        <v>700.45799999999997</v>
      </c>
      <c r="G369" s="24">
        <v>0.17</v>
      </c>
    </row>
    <row r="370" spans="1:7">
      <c r="A370" s="24" t="s">
        <v>332</v>
      </c>
      <c r="B370" s="24">
        <v>3</v>
      </c>
      <c r="C370" s="24">
        <v>7</v>
      </c>
      <c r="D370" s="24" t="s">
        <v>401</v>
      </c>
      <c r="E370" s="24">
        <v>44</v>
      </c>
      <c r="F370" s="24">
        <v>700.88499999999999</v>
      </c>
      <c r="G370" s="24">
        <v>0.23200000000000001</v>
      </c>
    </row>
    <row r="371" spans="1:7">
      <c r="A371" s="24" t="s">
        <v>332</v>
      </c>
      <c r="B371" s="24">
        <v>3</v>
      </c>
      <c r="C371" s="24">
        <v>6</v>
      </c>
      <c r="D371" s="24" t="s">
        <v>402</v>
      </c>
      <c r="E371" s="24">
        <v>54</v>
      </c>
      <c r="F371" s="24">
        <v>702.31899999999996</v>
      </c>
      <c r="G371" s="24">
        <v>0.38500000000000001</v>
      </c>
    </row>
    <row r="372" spans="1:7">
      <c r="A372" s="24" t="s">
        <v>332</v>
      </c>
      <c r="B372" s="24">
        <v>3</v>
      </c>
      <c r="C372" s="24">
        <v>5</v>
      </c>
      <c r="D372" s="24" t="s">
        <v>403</v>
      </c>
      <c r="E372" s="24">
        <v>22</v>
      </c>
      <c r="F372" s="24">
        <v>700.12599999999998</v>
      </c>
      <c r="G372" s="24">
        <v>0.246</v>
      </c>
    </row>
    <row r="373" spans="1:7">
      <c r="A373" s="24" t="s">
        <v>332</v>
      </c>
      <c r="B373" s="24">
        <v>3</v>
      </c>
      <c r="C373" s="24">
        <v>4</v>
      </c>
      <c r="D373" s="24" t="s">
        <v>404</v>
      </c>
      <c r="E373" s="24">
        <v>38</v>
      </c>
      <c r="F373" s="24">
        <v>699.70799999999997</v>
      </c>
      <c r="G373" s="24">
        <v>0.60099999999999998</v>
      </c>
    </row>
    <row r="374" spans="1:7">
      <c r="A374" s="24" t="s">
        <v>332</v>
      </c>
      <c r="B374" s="24">
        <v>3</v>
      </c>
      <c r="C374" s="24">
        <v>3</v>
      </c>
      <c r="D374" s="24" t="s">
        <v>405</v>
      </c>
      <c r="E374" s="24">
        <v>29</v>
      </c>
      <c r="F374" s="24">
        <v>700.87199999999996</v>
      </c>
      <c r="G374" s="24">
        <v>9.7000000000000003E-2</v>
      </c>
    </row>
    <row r="375" spans="1:7">
      <c r="A375" s="24" t="s">
        <v>332</v>
      </c>
      <c r="B375" s="24">
        <v>3</v>
      </c>
      <c r="C375" s="24">
        <v>2</v>
      </c>
      <c r="D375" s="24" t="s">
        <v>406</v>
      </c>
      <c r="E375" s="24">
        <v>21</v>
      </c>
      <c r="F375" s="24">
        <v>702.202</v>
      </c>
      <c r="G375" s="24">
        <v>0.24</v>
      </c>
    </row>
    <row r="376" spans="1:7">
      <c r="A376" s="24" t="s">
        <v>332</v>
      </c>
      <c r="B376" s="24">
        <v>3</v>
      </c>
      <c r="C376" s="24">
        <v>1</v>
      </c>
      <c r="D376" s="24" t="s">
        <v>407</v>
      </c>
      <c r="E376" s="24">
        <v>16</v>
      </c>
      <c r="F376" s="24">
        <v>700.24199999999996</v>
      </c>
      <c r="G376" s="24">
        <v>0.23599999999999999</v>
      </c>
    </row>
    <row r="377" spans="1:7">
      <c r="A377" s="24" t="s">
        <v>332</v>
      </c>
      <c r="B377" s="24">
        <v>4</v>
      </c>
      <c r="C377" s="24">
        <v>25</v>
      </c>
      <c r="D377" s="24" t="s">
        <v>408</v>
      </c>
      <c r="E377" s="24">
        <v>14</v>
      </c>
      <c r="F377" s="24">
        <v>700.84</v>
      </c>
      <c r="G377" s="24">
        <v>0.28100000000000003</v>
      </c>
    </row>
    <row r="378" spans="1:7">
      <c r="A378" s="24" t="s">
        <v>332</v>
      </c>
      <c r="B378" s="24">
        <v>4</v>
      </c>
      <c r="C378" s="24">
        <v>24</v>
      </c>
      <c r="D378" s="24" t="s">
        <v>409</v>
      </c>
      <c r="E378" s="24">
        <v>26</v>
      </c>
      <c r="F378" s="24">
        <v>700.09400000000005</v>
      </c>
      <c r="G378" s="24">
        <v>0.20899999999999999</v>
      </c>
    </row>
    <row r="379" spans="1:7">
      <c r="A379" s="24" t="s">
        <v>332</v>
      </c>
      <c r="B379" s="24">
        <v>4</v>
      </c>
      <c r="C379" s="24">
        <v>23</v>
      </c>
      <c r="D379" s="24" t="s">
        <v>410</v>
      </c>
      <c r="E379" s="24">
        <v>21</v>
      </c>
      <c r="F379" s="24">
        <v>699.78099999999995</v>
      </c>
      <c r="G379" s="24">
        <v>0.8</v>
      </c>
    </row>
    <row r="380" spans="1:7">
      <c r="A380" s="24" t="s">
        <v>332</v>
      </c>
      <c r="B380" s="24">
        <v>4</v>
      </c>
      <c r="C380" s="24">
        <v>22</v>
      </c>
      <c r="D380" s="24" t="s">
        <v>411</v>
      </c>
      <c r="E380" s="24">
        <v>17</v>
      </c>
      <c r="F380" s="24">
        <v>699.49599999999998</v>
      </c>
      <c r="G380" s="24">
        <v>0.13</v>
      </c>
    </row>
    <row r="381" spans="1:7">
      <c r="A381" s="24" t="s">
        <v>332</v>
      </c>
      <c r="B381" s="24">
        <v>4</v>
      </c>
      <c r="C381" s="24">
        <v>21</v>
      </c>
      <c r="D381" s="24" t="s">
        <v>412</v>
      </c>
      <c r="E381" s="24">
        <v>15</v>
      </c>
      <c r="F381" s="24">
        <v>698.26099999999997</v>
      </c>
      <c r="G381" s="24">
        <v>0.36799999999999999</v>
      </c>
    </row>
    <row r="382" spans="1:7">
      <c r="A382" s="24" t="s">
        <v>332</v>
      </c>
      <c r="B382" s="24">
        <v>4</v>
      </c>
      <c r="C382" s="24">
        <v>20</v>
      </c>
      <c r="D382" s="24" t="s">
        <v>413</v>
      </c>
      <c r="E382" s="24">
        <v>20</v>
      </c>
      <c r="F382" s="24">
        <v>702.11800000000005</v>
      </c>
      <c r="G382" s="24">
        <v>0.11899999999999999</v>
      </c>
    </row>
    <row r="383" spans="1:7">
      <c r="A383" s="24" t="s">
        <v>332</v>
      </c>
      <c r="B383" s="24">
        <v>4</v>
      </c>
      <c r="C383" s="24">
        <v>19</v>
      </c>
      <c r="D383" s="24" t="s">
        <v>414</v>
      </c>
      <c r="E383" s="24">
        <v>18</v>
      </c>
      <c r="F383" s="24">
        <v>701.81799999999998</v>
      </c>
      <c r="G383" s="24">
        <v>0.14099999999999999</v>
      </c>
    </row>
    <row r="384" spans="1:7">
      <c r="A384" s="24" t="s">
        <v>332</v>
      </c>
      <c r="B384" s="24">
        <v>4</v>
      </c>
      <c r="C384" s="24">
        <v>18</v>
      </c>
      <c r="D384" s="24" t="s">
        <v>415</v>
      </c>
      <c r="E384" s="24">
        <v>11</v>
      </c>
      <c r="F384" s="24">
        <v>698.91099999999994</v>
      </c>
      <c r="G384" s="24">
        <v>0.39500000000000002</v>
      </c>
    </row>
    <row r="385" spans="1:7">
      <c r="A385" s="24" t="s">
        <v>332</v>
      </c>
      <c r="B385" s="24">
        <v>4</v>
      </c>
      <c r="C385" s="24">
        <v>17</v>
      </c>
      <c r="D385" s="24" t="s">
        <v>416</v>
      </c>
      <c r="E385" s="24">
        <v>14</v>
      </c>
      <c r="F385" s="24">
        <v>701.53099999999995</v>
      </c>
      <c r="G385" s="24">
        <v>0.246</v>
      </c>
    </row>
    <row r="386" spans="1:7">
      <c r="A386" s="24" t="s">
        <v>332</v>
      </c>
      <c r="B386" s="24">
        <v>4</v>
      </c>
      <c r="C386" s="24">
        <v>16</v>
      </c>
      <c r="D386" s="24" t="s">
        <v>417</v>
      </c>
      <c r="E386" s="24">
        <v>28</v>
      </c>
      <c r="F386" s="24">
        <v>701.596</v>
      </c>
      <c r="G386" s="24">
        <v>0.27300000000000002</v>
      </c>
    </row>
    <row r="387" spans="1:7">
      <c r="A387" s="24" t="s">
        <v>332</v>
      </c>
      <c r="B387" s="24">
        <v>4</v>
      </c>
      <c r="C387" s="24">
        <v>15</v>
      </c>
      <c r="D387" s="24" t="s">
        <v>418</v>
      </c>
      <c r="E387" s="24">
        <v>10</v>
      </c>
      <c r="F387" s="24">
        <v>699.92600000000004</v>
      </c>
      <c r="G387" s="24">
        <v>0.152</v>
      </c>
    </row>
    <row r="388" spans="1:7">
      <c r="A388" s="24" t="s">
        <v>332</v>
      </c>
      <c r="B388" s="24">
        <v>4</v>
      </c>
      <c r="C388" s="24">
        <v>14</v>
      </c>
      <c r="D388" s="24" t="s">
        <v>419</v>
      </c>
      <c r="E388" s="24">
        <v>16</v>
      </c>
      <c r="F388" s="24">
        <v>701.58299999999997</v>
      </c>
      <c r="G388" s="24">
        <v>0.27900000000000003</v>
      </c>
    </row>
    <row r="389" spans="1:7">
      <c r="A389" s="24" t="s">
        <v>332</v>
      </c>
      <c r="B389" s="24">
        <v>4</v>
      </c>
      <c r="C389" s="24">
        <v>13</v>
      </c>
      <c r="D389" s="24" t="s">
        <v>420</v>
      </c>
      <c r="E389" s="24">
        <v>20</v>
      </c>
      <c r="F389" s="24">
        <v>702.17</v>
      </c>
      <c r="G389" s="24">
        <v>0.372</v>
      </c>
    </row>
    <row r="390" spans="1:7">
      <c r="A390" s="24" t="s">
        <v>332</v>
      </c>
      <c r="B390" s="24">
        <v>4</v>
      </c>
      <c r="C390" s="24">
        <v>12</v>
      </c>
      <c r="D390" s="24" t="s">
        <v>421</v>
      </c>
      <c r="E390" s="24">
        <v>8</v>
      </c>
      <c r="F390" s="24">
        <v>702.13</v>
      </c>
      <c r="G390" s="24">
        <v>0.88300000000000001</v>
      </c>
    </row>
    <row r="391" spans="1:7">
      <c r="A391" s="24" t="s">
        <v>332</v>
      </c>
      <c r="B391" s="24">
        <v>4</v>
      </c>
      <c r="C391" s="24">
        <v>11</v>
      </c>
      <c r="D391" s="24" t="s">
        <v>422</v>
      </c>
      <c r="E391" s="24">
        <v>35</v>
      </c>
      <c r="F391" s="24">
        <v>698.33299999999997</v>
      </c>
      <c r="G391" s="24">
        <v>0.40600000000000003</v>
      </c>
    </row>
    <row r="392" spans="1:7">
      <c r="A392" s="24" t="s">
        <v>332</v>
      </c>
      <c r="B392" s="24">
        <v>4</v>
      </c>
      <c r="C392" s="24">
        <v>10</v>
      </c>
      <c r="D392" s="24" t="s">
        <v>423</v>
      </c>
      <c r="E392" s="24">
        <v>25</v>
      </c>
      <c r="F392" s="24">
        <v>700.298</v>
      </c>
      <c r="G392" s="24">
        <v>0.25600000000000001</v>
      </c>
    </row>
    <row r="393" spans="1:7">
      <c r="A393" s="24" t="s">
        <v>332</v>
      </c>
      <c r="B393" s="24">
        <v>4</v>
      </c>
      <c r="C393" s="24">
        <v>9</v>
      </c>
      <c r="D393" s="24" t="s">
        <v>424</v>
      </c>
      <c r="E393" s="24">
        <v>40</v>
      </c>
      <c r="F393" s="24">
        <v>700.12800000000004</v>
      </c>
      <c r="G393" s="24">
        <v>0.24299999999999999</v>
      </c>
    </row>
    <row r="394" spans="1:7">
      <c r="A394" s="24" t="s">
        <v>332</v>
      </c>
      <c r="B394" s="24">
        <v>4</v>
      </c>
      <c r="C394" s="24">
        <v>8</v>
      </c>
      <c r="D394" s="24" t="s">
        <v>425</v>
      </c>
      <c r="E394" s="24">
        <v>12</v>
      </c>
      <c r="F394" s="24">
        <v>702.654</v>
      </c>
      <c r="G394" s="24">
        <v>0.40799999999999997</v>
      </c>
    </row>
    <row r="395" spans="1:7">
      <c r="A395" s="24" t="s">
        <v>332</v>
      </c>
      <c r="B395" s="24">
        <v>4</v>
      </c>
      <c r="C395" s="24">
        <v>7</v>
      </c>
      <c r="D395" s="24" t="s">
        <v>426</v>
      </c>
      <c r="E395" s="24">
        <v>29</v>
      </c>
      <c r="F395" s="24">
        <v>698.55200000000002</v>
      </c>
      <c r="G395" s="24">
        <v>0.123</v>
      </c>
    </row>
    <row r="396" spans="1:7">
      <c r="A396" s="24" t="s">
        <v>332</v>
      </c>
      <c r="B396" s="24">
        <v>4</v>
      </c>
      <c r="C396" s="24">
        <v>6</v>
      </c>
      <c r="D396" s="24" t="s">
        <v>427</v>
      </c>
      <c r="E396" s="24">
        <v>18</v>
      </c>
      <c r="F396" s="24">
        <v>699.28899999999999</v>
      </c>
      <c r="G396" s="24">
        <v>0.16300000000000001</v>
      </c>
    </row>
    <row r="397" spans="1:7">
      <c r="A397" s="24" t="s">
        <v>332</v>
      </c>
      <c r="B397" s="24">
        <v>4</v>
      </c>
      <c r="C397" s="24">
        <v>5</v>
      </c>
      <c r="D397" s="24" t="s">
        <v>428</v>
      </c>
      <c r="E397" s="24">
        <v>17</v>
      </c>
      <c r="F397" s="24">
        <v>701.34699999999998</v>
      </c>
      <c r="G397" s="24">
        <v>0.33500000000000002</v>
      </c>
    </row>
    <row r="398" spans="1:7">
      <c r="A398" s="24" t="s">
        <v>332</v>
      </c>
      <c r="B398" s="24">
        <v>4</v>
      </c>
      <c r="C398" s="24">
        <v>4</v>
      </c>
      <c r="D398" s="24" t="s">
        <v>429</v>
      </c>
      <c r="E398" s="24">
        <v>46</v>
      </c>
      <c r="F398" s="24">
        <v>701.95799999999997</v>
      </c>
      <c r="G398" s="24">
        <v>0.34499999999999997</v>
      </c>
    </row>
    <row r="399" spans="1:7">
      <c r="A399" s="24" t="s">
        <v>332</v>
      </c>
      <c r="B399" s="24">
        <v>4</v>
      </c>
      <c r="C399" s="24">
        <v>3</v>
      </c>
      <c r="D399" s="24" t="s">
        <v>430</v>
      </c>
      <c r="E399" s="24">
        <v>14</v>
      </c>
      <c r="F399" s="24">
        <v>700.81</v>
      </c>
      <c r="G399" s="24">
        <v>0.25</v>
      </c>
    </row>
    <row r="400" spans="1:7">
      <c r="A400" s="24" t="s">
        <v>332</v>
      </c>
      <c r="B400" s="24">
        <v>4</v>
      </c>
      <c r="C400" s="24">
        <v>2</v>
      </c>
      <c r="D400" s="24" t="s">
        <v>431</v>
      </c>
      <c r="E400" s="24">
        <v>21</v>
      </c>
      <c r="F400" s="24">
        <v>698.63900000000001</v>
      </c>
      <c r="G400" s="24">
        <v>0.32800000000000001</v>
      </c>
    </row>
    <row r="401" spans="1:7">
      <c r="A401" s="24" t="s">
        <v>332</v>
      </c>
      <c r="B401" s="24">
        <v>4</v>
      </c>
      <c r="C401" s="24">
        <v>1</v>
      </c>
      <c r="D401" s="24" t="s">
        <v>432</v>
      </c>
      <c r="E401" s="24">
        <v>19</v>
      </c>
      <c r="F401" s="24">
        <v>700.27499999999998</v>
      </c>
      <c r="G401" s="24">
        <v>0.32400000000000001</v>
      </c>
    </row>
    <row r="402" spans="1:7">
      <c r="A402" s="24" t="s">
        <v>332</v>
      </c>
      <c r="B402" s="24">
        <v>5</v>
      </c>
      <c r="C402" s="24">
        <v>25</v>
      </c>
      <c r="D402" s="24" t="s">
        <v>433</v>
      </c>
      <c r="E402" s="24">
        <v>27</v>
      </c>
      <c r="F402" s="24">
        <v>698.99900000000002</v>
      </c>
      <c r="G402" s="24">
        <v>0.216</v>
      </c>
    </row>
    <row r="403" spans="1:7">
      <c r="A403" s="24" t="s">
        <v>332</v>
      </c>
      <c r="B403" s="24">
        <v>5</v>
      </c>
      <c r="C403" s="24">
        <v>24</v>
      </c>
      <c r="D403" s="24" t="s">
        <v>434</v>
      </c>
      <c r="E403" s="24">
        <v>16</v>
      </c>
      <c r="F403" s="24">
        <v>698.99800000000005</v>
      </c>
      <c r="G403" s="24">
        <v>0.19900000000000001</v>
      </c>
    </row>
    <row r="404" spans="1:7">
      <c r="A404" s="24" t="s">
        <v>332</v>
      </c>
      <c r="B404" s="24">
        <v>5</v>
      </c>
      <c r="C404" s="24">
        <v>23</v>
      </c>
      <c r="D404" s="24" t="s">
        <v>435</v>
      </c>
      <c r="E404" s="24">
        <v>14</v>
      </c>
      <c r="F404" s="24">
        <v>700.32</v>
      </c>
      <c r="G404" s="24">
        <v>0.315</v>
      </c>
    </row>
    <row r="405" spans="1:7">
      <c r="A405" s="24" t="s">
        <v>332</v>
      </c>
      <c r="B405" s="24">
        <v>5</v>
      </c>
      <c r="C405" s="24">
        <v>22</v>
      </c>
      <c r="D405" s="24" t="s">
        <v>436</v>
      </c>
      <c r="E405" s="24">
        <v>20</v>
      </c>
      <c r="F405" s="24">
        <v>702.58100000000002</v>
      </c>
      <c r="G405" s="24">
        <v>0.318</v>
      </c>
    </row>
    <row r="406" spans="1:7">
      <c r="A406" s="24" t="s">
        <v>332</v>
      </c>
      <c r="B406" s="24">
        <v>5</v>
      </c>
      <c r="C406" s="24">
        <v>21</v>
      </c>
      <c r="D406" s="24" t="s">
        <v>437</v>
      </c>
      <c r="E406" s="24">
        <v>7</v>
      </c>
      <c r="F406" s="24">
        <v>701.52099999999996</v>
      </c>
      <c r="G406" s="24">
        <v>0.252</v>
      </c>
    </row>
    <row r="407" spans="1:7">
      <c r="A407" s="24" t="s">
        <v>332</v>
      </c>
      <c r="B407" s="24">
        <v>5</v>
      </c>
      <c r="C407" s="24">
        <v>20</v>
      </c>
      <c r="D407" s="24" t="s">
        <v>438</v>
      </c>
      <c r="E407" s="24">
        <v>17</v>
      </c>
      <c r="F407" s="24">
        <v>703.89400000000001</v>
      </c>
      <c r="G407" s="24">
        <v>0.47299999999999998</v>
      </c>
    </row>
    <row r="408" spans="1:7">
      <c r="A408" s="24" t="s">
        <v>332</v>
      </c>
      <c r="B408" s="24">
        <v>5</v>
      </c>
      <c r="C408" s="24">
        <v>19</v>
      </c>
      <c r="D408" s="24" t="s">
        <v>439</v>
      </c>
      <c r="E408" s="24">
        <v>18</v>
      </c>
      <c r="F408" s="24">
        <v>701.82299999999998</v>
      </c>
      <c r="G408" s="24">
        <v>0.44500000000000001</v>
      </c>
    </row>
    <row r="409" spans="1:7">
      <c r="A409" s="24" t="s">
        <v>332</v>
      </c>
      <c r="B409" s="24">
        <v>5</v>
      </c>
      <c r="C409" s="24">
        <v>18</v>
      </c>
      <c r="D409" s="24" t="s">
        <v>440</v>
      </c>
      <c r="E409" s="24">
        <v>9</v>
      </c>
      <c r="F409" s="24">
        <v>701.73299999999995</v>
      </c>
      <c r="G409" s="24">
        <v>0.27100000000000002</v>
      </c>
    </row>
    <row r="410" spans="1:7">
      <c r="A410" s="24" t="s">
        <v>332</v>
      </c>
      <c r="B410" s="24">
        <v>5</v>
      </c>
      <c r="C410" s="24">
        <v>17</v>
      </c>
      <c r="D410" s="24" t="s">
        <v>441</v>
      </c>
      <c r="E410" s="24">
        <v>10</v>
      </c>
      <c r="F410" s="24">
        <v>701.45699999999999</v>
      </c>
      <c r="G410" s="24">
        <v>0.437</v>
      </c>
    </row>
    <row r="411" spans="1:7">
      <c r="A411" s="24" t="s">
        <v>332</v>
      </c>
      <c r="B411" s="24">
        <v>5</v>
      </c>
      <c r="C411" s="24">
        <v>16</v>
      </c>
      <c r="D411" s="24" t="s">
        <v>442</v>
      </c>
      <c r="E411" s="24">
        <v>14</v>
      </c>
      <c r="F411" s="24">
        <v>700.44</v>
      </c>
      <c r="G411" s="24">
        <v>0.35899999999999999</v>
      </c>
    </row>
    <row r="412" spans="1:7">
      <c r="A412" s="24" t="s">
        <v>332</v>
      </c>
      <c r="B412" s="24">
        <v>5</v>
      </c>
      <c r="C412" s="24">
        <v>15</v>
      </c>
      <c r="D412" s="24" t="s">
        <v>443</v>
      </c>
      <c r="E412" s="24">
        <v>15</v>
      </c>
      <c r="F412" s="24">
        <v>700.61500000000001</v>
      </c>
      <c r="G412" s="24">
        <v>0.432</v>
      </c>
    </row>
    <row r="413" spans="1:7">
      <c r="A413" s="24" t="s">
        <v>332</v>
      </c>
      <c r="B413" s="24">
        <v>5</v>
      </c>
      <c r="C413" s="24">
        <v>14</v>
      </c>
      <c r="D413" s="24" t="s">
        <v>444</v>
      </c>
      <c r="E413" s="24">
        <v>14</v>
      </c>
      <c r="F413" s="24">
        <v>700.923</v>
      </c>
      <c r="G413" s="24">
        <v>0.32200000000000001</v>
      </c>
    </row>
    <row r="414" spans="1:7">
      <c r="A414" s="24" t="s">
        <v>332</v>
      </c>
      <c r="B414" s="24">
        <v>5</v>
      </c>
      <c r="C414" s="24">
        <v>13</v>
      </c>
      <c r="D414" s="24" t="s">
        <v>445</v>
      </c>
      <c r="E414" s="24">
        <v>27</v>
      </c>
      <c r="F414" s="24">
        <v>699.76900000000001</v>
      </c>
      <c r="G414" s="24">
        <v>0.46700000000000003</v>
      </c>
    </row>
    <row r="415" spans="1:7">
      <c r="A415" s="24" t="s">
        <v>332</v>
      </c>
      <c r="B415" s="24">
        <v>5</v>
      </c>
      <c r="C415" s="24">
        <v>12</v>
      </c>
      <c r="D415" s="24" t="s">
        <v>446</v>
      </c>
      <c r="E415" s="24">
        <v>59</v>
      </c>
      <c r="F415" s="24">
        <v>700.71500000000003</v>
      </c>
      <c r="G415" s="24">
        <v>0.54900000000000004</v>
      </c>
    </row>
    <row r="416" spans="1:7">
      <c r="A416" s="24" t="s">
        <v>332</v>
      </c>
      <c r="B416" s="24">
        <v>5</v>
      </c>
      <c r="C416" s="24">
        <v>11</v>
      </c>
      <c r="D416" s="24" t="s">
        <v>447</v>
      </c>
      <c r="E416" s="24">
        <v>18</v>
      </c>
      <c r="F416" s="24">
        <v>700.18700000000001</v>
      </c>
      <c r="G416" s="24">
        <v>0.16700000000000001</v>
      </c>
    </row>
    <row r="417" spans="1:7">
      <c r="A417" s="24" t="s">
        <v>332</v>
      </c>
      <c r="B417" s="24">
        <v>5</v>
      </c>
      <c r="C417" s="24">
        <v>10</v>
      </c>
      <c r="D417" s="24" t="s">
        <v>448</v>
      </c>
      <c r="E417" s="24">
        <v>24</v>
      </c>
      <c r="F417" s="24">
        <v>701.28</v>
      </c>
      <c r="G417" s="24">
        <v>0.42799999999999999</v>
      </c>
    </row>
    <row r="418" spans="1:7">
      <c r="A418" s="24" t="s">
        <v>332</v>
      </c>
      <c r="B418" s="24">
        <v>5</v>
      </c>
      <c r="C418" s="24">
        <v>9</v>
      </c>
      <c r="D418" s="24" t="s">
        <v>449</v>
      </c>
      <c r="E418" s="24">
        <v>17</v>
      </c>
      <c r="F418" s="24">
        <v>701.41600000000005</v>
      </c>
      <c r="G418" s="24">
        <v>0.40400000000000003</v>
      </c>
    </row>
    <row r="419" spans="1:7">
      <c r="A419" s="24" t="s">
        <v>332</v>
      </c>
      <c r="B419" s="24">
        <v>5</v>
      </c>
      <c r="C419" s="24">
        <v>8</v>
      </c>
      <c r="D419" s="24" t="s">
        <v>450</v>
      </c>
      <c r="E419" s="24">
        <v>18</v>
      </c>
      <c r="F419" s="24">
        <v>701.20699999999999</v>
      </c>
      <c r="G419" s="24">
        <v>0.25700000000000001</v>
      </c>
    </row>
    <row r="420" spans="1:7">
      <c r="A420" s="24" t="s">
        <v>332</v>
      </c>
      <c r="B420" s="24">
        <v>5</v>
      </c>
      <c r="C420" s="24">
        <v>7</v>
      </c>
      <c r="D420" s="24" t="s">
        <v>451</v>
      </c>
      <c r="E420" s="24">
        <v>10</v>
      </c>
      <c r="F420" s="24">
        <v>701.25900000000001</v>
      </c>
      <c r="G420" s="24">
        <v>0.314</v>
      </c>
    </row>
    <row r="421" spans="1:7">
      <c r="A421" s="24" t="s">
        <v>332</v>
      </c>
      <c r="B421" s="24">
        <v>5</v>
      </c>
      <c r="C421" s="24">
        <v>6</v>
      </c>
      <c r="D421" s="24" t="s">
        <v>452</v>
      </c>
      <c r="E421" s="24">
        <v>10</v>
      </c>
      <c r="F421" s="24">
        <v>699.86400000000003</v>
      </c>
      <c r="G421" s="24">
        <v>0.54600000000000004</v>
      </c>
    </row>
    <row r="422" spans="1:7">
      <c r="A422" s="24" t="s">
        <v>332</v>
      </c>
      <c r="B422" s="24">
        <v>5</v>
      </c>
      <c r="C422" s="24">
        <v>5</v>
      </c>
      <c r="D422" s="24" t="s">
        <v>453</v>
      </c>
      <c r="E422" s="24">
        <v>14</v>
      </c>
      <c r="F422" s="24">
        <v>701.81899999999996</v>
      </c>
      <c r="G422" s="24">
        <v>0.33200000000000002</v>
      </c>
    </row>
    <row r="423" spans="1:7">
      <c r="A423" s="24" t="s">
        <v>332</v>
      </c>
      <c r="B423" s="24">
        <v>5</v>
      </c>
      <c r="C423" s="24">
        <v>4</v>
      </c>
      <c r="D423" s="24" t="s">
        <v>454</v>
      </c>
      <c r="E423" s="24">
        <v>15</v>
      </c>
      <c r="F423" s="24">
        <v>701.09900000000005</v>
      </c>
      <c r="G423" s="24">
        <v>0.13700000000000001</v>
      </c>
    </row>
    <row r="424" spans="1:7">
      <c r="A424" s="24" t="s">
        <v>332</v>
      </c>
      <c r="B424" s="24">
        <v>5</v>
      </c>
      <c r="C424" s="24">
        <v>3</v>
      </c>
      <c r="D424" s="24" t="s">
        <v>455</v>
      </c>
      <c r="E424" s="24">
        <v>14</v>
      </c>
      <c r="F424" s="24">
        <v>701.423</v>
      </c>
      <c r="G424" s="24">
        <v>1.345</v>
      </c>
    </row>
    <row r="425" spans="1:7">
      <c r="A425" s="24" t="s">
        <v>332</v>
      </c>
      <c r="B425" s="24">
        <v>5</v>
      </c>
      <c r="C425" s="24">
        <v>2</v>
      </c>
      <c r="D425" s="24" t="s">
        <v>456</v>
      </c>
      <c r="E425" s="24">
        <v>21</v>
      </c>
      <c r="F425" s="24">
        <v>700.56200000000001</v>
      </c>
      <c r="G425" s="24">
        <v>0.188</v>
      </c>
    </row>
    <row r="426" spans="1:7">
      <c r="A426" s="24" t="s">
        <v>332</v>
      </c>
      <c r="B426" s="24">
        <v>5</v>
      </c>
      <c r="C426" s="24">
        <v>1</v>
      </c>
      <c r="D426" s="24" t="s">
        <v>457</v>
      </c>
      <c r="E426" s="24">
        <v>25</v>
      </c>
      <c r="F426" s="24">
        <v>700.70600000000002</v>
      </c>
      <c r="G426" s="24">
        <v>0.376</v>
      </c>
    </row>
    <row r="427" spans="1:7">
      <c r="A427" s="24" t="s">
        <v>332</v>
      </c>
      <c r="B427" s="24">
        <v>6</v>
      </c>
      <c r="C427" s="24">
        <v>25</v>
      </c>
      <c r="D427" s="24" t="s">
        <v>458</v>
      </c>
      <c r="E427" s="24">
        <v>28</v>
      </c>
      <c r="F427" s="24">
        <v>699.18299999999999</v>
      </c>
      <c r="G427" s="24">
        <v>1.232</v>
      </c>
    </row>
    <row r="428" spans="1:7">
      <c r="A428" s="24" t="s">
        <v>332</v>
      </c>
      <c r="B428" s="24">
        <v>6</v>
      </c>
      <c r="C428" s="24">
        <v>24</v>
      </c>
      <c r="D428" s="24" t="s">
        <v>459</v>
      </c>
      <c r="E428" s="24">
        <v>26</v>
      </c>
      <c r="F428" s="24">
        <v>701.05499999999995</v>
      </c>
      <c r="G428" s="24">
        <v>0.52100000000000002</v>
      </c>
    </row>
    <row r="429" spans="1:7">
      <c r="A429" s="24" t="s">
        <v>332</v>
      </c>
      <c r="B429" s="24">
        <v>6</v>
      </c>
      <c r="C429" s="24">
        <v>23</v>
      </c>
      <c r="D429" s="24" t="s">
        <v>460</v>
      </c>
      <c r="E429" s="24">
        <v>12</v>
      </c>
      <c r="F429" s="24">
        <v>699.01</v>
      </c>
      <c r="G429" s="24">
        <v>0.22900000000000001</v>
      </c>
    </row>
    <row r="430" spans="1:7">
      <c r="A430" s="24" t="s">
        <v>332</v>
      </c>
      <c r="B430" s="24">
        <v>6</v>
      </c>
      <c r="C430" s="24">
        <v>22</v>
      </c>
      <c r="D430" s="24" t="s">
        <v>461</v>
      </c>
      <c r="E430" s="24">
        <v>11</v>
      </c>
      <c r="F430" s="24">
        <v>701.09</v>
      </c>
      <c r="G430" s="24">
        <v>0.625</v>
      </c>
    </row>
    <row r="431" spans="1:7">
      <c r="A431" s="24" t="s">
        <v>332</v>
      </c>
      <c r="B431" s="24">
        <v>6</v>
      </c>
      <c r="C431" s="24">
        <v>21</v>
      </c>
      <c r="D431" s="24" t="s">
        <v>462</v>
      </c>
      <c r="E431" s="24">
        <v>25</v>
      </c>
      <c r="F431" s="24">
        <v>698.86500000000001</v>
      </c>
      <c r="G431" s="24">
        <v>0.222</v>
      </c>
    </row>
    <row r="432" spans="1:7">
      <c r="A432" s="24" t="s">
        <v>332</v>
      </c>
      <c r="B432" s="24">
        <v>6</v>
      </c>
      <c r="C432" s="24">
        <v>20</v>
      </c>
      <c r="D432" s="24" t="s">
        <v>463</v>
      </c>
      <c r="E432" s="24">
        <v>8</v>
      </c>
      <c r="F432" s="24">
        <v>700.22900000000004</v>
      </c>
      <c r="G432" s="24">
        <v>0.57599999999999996</v>
      </c>
    </row>
    <row r="433" spans="1:7">
      <c r="A433" s="24" t="s">
        <v>332</v>
      </c>
      <c r="B433" s="24">
        <v>6</v>
      </c>
      <c r="C433" s="24">
        <v>19</v>
      </c>
      <c r="D433" s="24" t="s">
        <v>464</v>
      </c>
      <c r="E433" s="24">
        <v>11</v>
      </c>
      <c r="F433" s="24">
        <v>699.03899999999999</v>
      </c>
      <c r="G433" s="24">
        <v>0.105</v>
      </c>
    </row>
    <row r="434" spans="1:7">
      <c r="A434" s="24" t="s">
        <v>332</v>
      </c>
      <c r="B434" s="24">
        <v>6</v>
      </c>
      <c r="C434" s="24">
        <v>18</v>
      </c>
      <c r="D434" s="24" t="s">
        <v>465</v>
      </c>
      <c r="E434" s="24">
        <v>14</v>
      </c>
      <c r="F434" s="24">
        <v>701.64200000000005</v>
      </c>
      <c r="G434" s="24">
        <v>0.76400000000000001</v>
      </c>
    </row>
    <row r="435" spans="1:7">
      <c r="A435" s="24" t="s">
        <v>332</v>
      </c>
      <c r="B435" s="24">
        <v>6</v>
      </c>
      <c r="C435" s="24">
        <v>17</v>
      </c>
      <c r="D435" s="24" t="s">
        <v>466</v>
      </c>
      <c r="E435" s="24">
        <v>14</v>
      </c>
      <c r="F435" s="24">
        <v>699.11099999999999</v>
      </c>
      <c r="G435" s="24">
        <v>0.308</v>
      </c>
    </row>
    <row r="436" spans="1:7">
      <c r="A436" s="24" t="s">
        <v>332</v>
      </c>
      <c r="B436" s="24">
        <v>6</v>
      </c>
      <c r="C436" s="24">
        <v>16</v>
      </c>
      <c r="D436" s="24" t="s">
        <v>467</v>
      </c>
      <c r="E436" s="24">
        <v>13</v>
      </c>
      <c r="F436" s="24">
        <v>698.89499999999998</v>
      </c>
      <c r="G436" s="24">
        <v>0.24199999999999999</v>
      </c>
    </row>
    <row r="437" spans="1:7">
      <c r="A437" s="24" t="s">
        <v>332</v>
      </c>
      <c r="B437" s="24">
        <v>6</v>
      </c>
      <c r="C437" s="24">
        <v>15</v>
      </c>
      <c r="D437" s="24" t="s">
        <v>468</v>
      </c>
      <c r="E437" s="24">
        <v>32</v>
      </c>
      <c r="F437" s="24">
        <v>700.62300000000005</v>
      </c>
      <c r="G437" s="24">
        <v>0.30199999999999999</v>
      </c>
    </row>
    <row r="438" spans="1:7">
      <c r="A438" s="24" t="s">
        <v>332</v>
      </c>
      <c r="B438" s="24">
        <v>6</v>
      </c>
      <c r="C438" s="24">
        <v>14</v>
      </c>
      <c r="D438" s="24" t="s">
        <v>469</v>
      </c>
      <c r="E438" s="24">
        <v>23</v>
      </c>
      <c r="F438" s="24">
        <v>702.21199999999999</v>
      </c>
      <c r="G438" s="24">
        <v>0.26100000000000001</v>
      </c>
    </row>
    <row r="439" spans="1:7">
      <c r="A439" s="24" t="s">
        <v>332</v>
      </c>
      <c r="B439" s="24">
        <v>6</v>
      </c>
      <c r="C439" s="24">
        <v>13</v>
      </c>
      <c r="D439" s="24" t="s">
        <v>470</v>
      </c>
      <c r="E439" s="24">
        <v>35</v>
      </c>
      <c r="F439" s="24">
        <v>701.91099999999994</v>
      </c>
      <c r="G439" s="24">
        <v>0.33400000000000002</v>
      </c>
    </row>
    <row r="440" spans="1:7">
      <c r="A440" s="24" t="s">
        <v>332</v>
      </c>
      <c r="B440" s="24">
        <v>6</v>
      </c>
      <c r="C440" s="24">
        <v>12</v>
      </c>
      <c r="D440" s="24" t="s">
        <v>471</v>
      </c>
      <c r="E440" s="24">
        <v>30</v>
      </c>
      <c r="F440" s="24">
        <v>700.68</v>
      </c>
      <c r="G440" s="24">
        <v>0.26900000000000002</v>
      </c>
    </row>
    <row r="441" spans="1:7">
      <c r="A441" s="24" t="s">
        <v>332</v>
      </c>
      <c r="B441" s="24">
        <v>6</v>
      </c>
      <c r="C441" s="24">
        <v>11</v>
      </c>
      <c r="D441" s="24" t="s">
        <v>472</v>
      </c>
      <c r="E441" s="24">
        <v>36</v>
      </c>
      <c r="F441" s="24">
        <v>701.73099999999999</v>
      </c>
      <c r="G441" s="24">
        <v>0.46899999999999997</v>
      </c>
    </row>
    <row r="442" spans="1:7">
      <c r="A442" s="24" t="s">
        <v>332</v>
      </c>
      <c r="B442" s="24">
        <v>6</v>
      </c>
      <c r="C442" s="24">
        <v>10</v>
      </c>
      <c r="D442" s="24" t="s">
        <v>473</v>
      </c>
      <c r="E442" s="24">
        <v>41</v>
      </c>
      <c r="F442" s="24">
        <v>701.98400000000004</v>
      </c>
      <c r="G442" s="24">
        <v>0.40200000000000002</v>
      </c>
    </row>
    <row r="443" spans="1:7">
      <c r="A443" s="24" t="s">
        <v>332</v>
      </c>
      <c r="B443" s="24">
        <v>6</v>
      </c>
      <c r="C443" s="24">
        <v>9</v>
      </c>
      <c r="D443" s="24" t="s">
        <v>474</v>
      </c>
      <c r="E443" s="24">
        <v>55</v>
      </c>
      <c r="F443" s="24">
        <v>700.93499999999995</v>
      </c>
      <c r="G443" s="24">
        <v>0.39800000000000002</v>
      </c>
    </row>
    <row r="444" spans="1:7">
      <c r="A444" s="24" t="s">
        <v>332</v>
      </c>
      <c r="B444" s="24">
        <v>6</v>
      </c>
      <c r="C444" s="24">
        <v>8</v>
      </c>
      <c r="D444" s="24" t="s">
        <v>475</v>
      </c>
      <c r="E444" s="24">
        <v>54</v>
      </c>
      <c r="F444" s="24">
        <v>701.55399999999997</v>
      </c>
      <c r="G444" s="24">
        <v>0.49099999999999999</v>
      </c>
    </row>
    <row r="445" spans="1:7">
      <c r="A445" s="24" t="s">
        <v>332</v>
      </c>
      <c r="B445" s="24">
        <v>6</v>
      </c>
      <c r="C445" s="24">
        <v>7</v>
      </c>
      <c r="D445" s="24" t="s">
        <v>476</v>
      </c>
      <c r="E445" s="24">
        <v>27</v>
      </c>
      <c r="F445" s="24">
        <v>701.85799999999995</v>
      </c>
      <c r="G445" s="24">
        <v>0.29199999999999998</v>
      </c>
    </row>
    <row r="446" spans="1:7">
      <c r="A446" s="24" t="s">
        <v>332</v>
      </c>
      <c r="B446" s="24">
        <v>6</v>
      </c>
      <c r="C446" s="24">
        <v>6</v>
      </c>
      <c r="D446" s="24" t="s">
        <v>477</v>
      </c>
      <c r="E446" s="24">
        <v>25</v>
      </c>
      <c r="F446" s="24">
        <v>701.85500000000002</v>
      </c>
      <c r="G446" s="24">
        <v>0.39</v>
      </c>
    </row>
    <row r="447" spans="1:7">
      <c r="A447" s="24" t="s">
        <v>332</v>
      </c>
      <c r="B447" s="24">
        <v>6</v>
      </c>
      <c r="C447" s="24">
        <v>5</v>
      </c>
      <c r="D447" s="24" t="s">
        <v>478</v>
      </c>
      <c r="E447" s="24">
        <v>21</v>
      </c>
      <c r="F447" s="24">
        <v>700.37699999999995</v>
      </c>
      <c r="G447" s="24">
        <v>0.44800000000000001</v>
      </c>
    </row>
    <row r="448" spans="1:7">
      <c r="A448" s="24" t="s">
        <v>332</v>
      </c>
      <c r="B448" s="24">
        <v>6</v>
      </c>
      <c r="C448" s="24">
        <v>4</v>
      </c>
      <c r="D448" s="24" t="s">
        <v>479</v>
      </c>
      <c r="E448" s="24">
        <v>37</v>
      </c>
      <c r="F448" s="24">
        <v>700.07399999999996</v>
      </c>
      <c r="G448" s="24">
        <v>4.8000000000000001E-2</v>
      </c>
    </row>
    <row r="449" spans="1:7">
      <c r="A449" s="24" t="s">
        <v>332</v>
      </c>
      <c r="B449" s="24">
        <v>6</v>
      </c>
      <c r="C449" s="24">
        <v>3</v>
      </c>
      <c r="D449" s="24" t="s">
        <v>480</v>
      </c>
      <c r="E449" s="24">
        <v>32</v>
      </c>
      <c r="F449" s="24">
        <v>702.83199999999999</v>
      </c>
      <c r="G449" s="24">
        <v>0.30499999999999999</v>
      </c>
    </row>
    <row r="450" spans="1:7">
      <c r="A450" s="24" t="s">
        <v>332</v>
      </c>
      <c r="B450" s="24">
        <v>6</v>
      </c>
      <c r="C450" s="24">
        <v>2</v>
      </c>
      <c r="D450" s="24" t="s">
        <v>481</v>
      </c>
      <c r="E450" s="24">
        <v>74</v>
      </c>
      <c r="F450" s="24">
        <v>702.08799999999997</v>
      </c>
      <c r="G450" s="24">
        <v>0.49099999999999999</v>
      </c>
    </row>
    <row r="451" spans="1:7">
      <c r="A451" s="24" t="s">
        <v>332</v>
      </c>
      <c r="B451" s="24">
        <v>6</v>
      </c>
      <c r="C451" s="24">
        <v>1</v>
      </c>
      <c r="D451" s="24" t="s">
        <v>482</v>
      </c>
      <c r="E451" s="24">
        <v>19</v>
      </c>
      <c r="F451" s="24">
        <v>702.10599999999999</v>
      </c>
      <c r="G451" s="24">
        <v>0.20699999999999999</v>
      </c>
    </row>
    <row r="452" spans="1:7">
      <c r="A452" s="24" t="s">
        <v>483</v>
      </c>
      <c r="B452" s="24">
        <v>1</v>
      </c>
      <c r="C452" s="24">
        <v>25</v>
      </c>
      <c r="D452" s="24" t="s">
        <v>484</v>
      </c>
      <c r="E452" s="24">
        <v>29</v>
      </c>
      <c r="F452" s="24">
        <v>702.62400000000002</v>
      </c>
      <c r="G452" s="24">
        <v>0.377</v>
      </c>
    </row>
    <row r="453" spans="1:7">
      <c r="A453" s="24" t="s">
        <v>483</v>
      </c>
      <c r="B453" s="24">
        <v>1</v>
      </c>
      <c r="C453" s="24">
        <v>24</v>
      </c>
      <c r="D453" s="24" t="s">
        <v>485</v>
      </c>
      <c r="E453" s="24">
        <v>15</v>
      </c>
      <c r="F453" s="24">
        <v>701.745</v>
      </c>
      <c r="G453" s="24">
        <v>0.309</v>
      </c>
    </row>
    <row r="454" spans="1:7">
      <c r="A454" s="24" t="s">
        <v>483</v>
      </c>
      <c r="B454" s="24">
        <v>1</v>
      </c>
      <c r="C454" s="24">
        <v>23</v>
      </c>
      <c r="D454" s="24" t="s">
        <v>486</v>
      </c>
      <c r="E454" s="24">
        <v>12</v>
      </c>
      <c r="F454" s="24">
        <v>700.73500000000001</v>
      </c>
      <c r="G454" s="24">
        <v>0.24099999999999999</v>
      </c>
    </row>
    <row r="455" spans="1:7">
      <c r="A455" s="24" t="s">
        <v>483</v>
      </c>
      <c r="B455" s="24">
        <v>1</v>
      </c>
      <c r="C455" s="24">
        <v>22</v>
      </c>
      <c r="D455" s="24" t="s">
        <v>487</v>
      </c>
      <c r="E455" s="24">
        <v>8</v>
      </c>
      <c r="F455" s="24">
        <v>700.78700000000003</v>
      </c>
      <c r="G455" s="24">
        <v>0.33800000000000002</v>
      </c>
    </row>
    <row r="456" spans="1:7">
      <c r="A456" s="24" t="s">
        <v>483</v>
      </c>
      <c r="B456" s="24">
        <v>1</v>
      </c>
      <c r="C456" s="24">
        <v>21</v>
      </c>
      <c r="D456" s="24" t="s">
        <v>488</v>
      </c>
      <c r="E456" s="24">
        <v>20</v>
      </c>
      <c r="F456" s="24">
        <v>701.11500000000001</v>
      </c>
      <c r="G456" s="24">
        <v>0.72599999999999998</v>
      </c>
    </row>
    <row r="457" spans="1:7">
      <c r="A457" s="24" t="s">
        <v>483</v>
      </c>
      <c r="B457" s="24">
        <v>1</v>
      </c>
      <c r="C457" s="24">
        <v>20</v>
      </c>
      <c r="D457" s="24" t="s">
        <v>489</v>
      </c>
      <c r="E457" s="24">
        <v>17</v>
      </c>
      <c r="F457" s="24">
        <v>701.08</v>
      </c>
      <c r="G457" s="24">
        <v>0.504</v>
      </c>
    </row>
    <row r="458" spans="1:7">
      <c r="A458" s="24" t="s">
        <v>483</v>
      </c>
      <c r="B458" s="24">
        <v>1</v>
      </c>
      <c r="C458" s="24">
        <v>19</v>
      </c>
      <c r="D458" s="24" t="s">
        <v>490</v>
      </c>
      <c r="E458" s="24">
        <v>18</v>
      </c>
      <c r="F458" s="24">
        <v>701.524</v>
      </c>
      <c r="G458" s="24">
        <v>0.66200000000000003</v>
      </c>
    </row>
    <row r="459" spans="1:7">
      <c r="A459" s="24" t="s">
        <v>483</v>
      </c>
      <c r="B459" s="24">
        <v>1</v>
      </c>
      <c r="C459" s="24">
        <v>18</v>
      </c>
      <c r="D459" s="24" t="s">
        <v>491</v>
      </c>
      <c r="E459" s="24">
        <v>13</v>
      </c>
      <c r="F459" s="24">
        <v>700.46400000000006</v>
      </c>
      <c r="G459" s="24">
        <v>0.46100000000000002</v>
      </c>
    </row>
    <row r="460" spans="1:7">
      <c r="A460" s="24" t="s">
        <v>483</v>
      </c>
      <c r="B460" s="24">
        <v>1</v>
      </c>
      <c r="C460" s="24">
        <v>17</v>
      </c>
      <c r="D460" s="24" t="s">
        <v>492</v>
      </c>
      <c r="E460" s="24">
        <v>12</v>
      </c>
      <c r="F460" s="24">
        <v>700.80899999999997</v>
      </c>
      <c r="G460" s="24">
        <v>0.183</v>
      </c>
    </row>
    <row r="461" spans="1:7">
      <c r="A461" s="24" t="s">
        <v>483</v>
      </c>
      <c r="B461" s="24">
        <v>1</v>
      </c>
      <c r="C461" s="24">
        <v>16</v>
      </c>
      <c r="D461" s="24" t="s">
        <v>493</v>
      </c>
      <c r="E461" s="24">
        <v>10</v>
      </c>
      <c r="F461" s="24">
        <v>700.86699999999996</v>
      </c>
      <c r="G461" s="24">
        <v>0.36</v>
      </c>
    </row>
    <row r="462" spans="1:7">
      <c r="A462" s="24" t="s">
        <v>483</v>
      </c>
      <c r="B462" s="24">
        <v>1</v>
      </c>
      <c r="C462" s="24">
        <v>15</v>
      </c>
      <c r="D462" s="24" t="s">
        <v>494</v>
      </c>
      <c r="E462" s="24">
        <v>24</v>
      </c>
      <c r="F462" s="24">
        <v>702.38599999999997</v>
      </c>
      <c r="G462" s="24">
        <v>0.30499999999999999</v>
      </c>
    </row>
    <row r="463" spans="1:7">
      <c r="A463" s="24" t="s">
        <v>483</v>
      </c>
      <c r="B463" s="24">
        <v>1</v>
      </c>
      <c r="C463" s="24">
        <v>14</v>
      </c>
      <c r="D463" s="24" t="s">
        <v>495</v>
      </c>
      <c r="E463" s="24">
        <v>17</v>
      </c>
      <c r="F463" s="24">
        <v>700.68499999999995</v>
      </c>
      <c r="G463" s="24">
        <v>1.0349999999999999</v>
      </c>
    </row>
    <row r="464" spans="1:7">
      <c r="A464" s="24" t="s">
        <v>483</v>
      </c>
      <c r="B464" s="24">
        <v>1</v>
      </c>
      <c r="C464" s="24">
        <v>13</v>
      </c>
      <c r="D464" s="24" t="s">
        <v>496</v>
      </c>
      <c r="E464" s="24">
        <v>8</v>
      </c>
      <c r="F464" s="24">
        <v>700.70699999999999</v>
      </c>
      <c r="G464" s="24">
        <v>0.34499999999999997</v>
      </c>
    </row>
    <row r="465" spans="1:7">
      <c r="A465" s="24" t="s">
        <v>483</v>
      </c>
      <c r="B465" s="24">
        <v>1</v>
      </c>
      <c r="C465" s="24">
        <v>12</v>
      </c>
      <c r="D465" s="24" t="s">
        <v>497</v>
      </c>
      <c r="E465" s="24">
        <v>17</v>
      </c>
      <c r="F465" s="24">
        <v>702.14800000000002</v>
      </c>
      <c r="G465" s="24">
        <v>0.27300000000000002</v>
      </c>
    </row>
    <row r="466" spans="1:7">
      <c r="A466" s="24" t="s">
        <v>483</v>
      </c>
      <c r="B466" s="24">
        <v>1</v>
      </c>
      <c r="C466" s="24">
        <v>11</v>
      </c>
      <c r="D466" s="24" t="s">
        <v>498</v>
      </c>
      <c r="E466" s="24">
        <v>10</v>
      </c>
      <c r="F466" s="24">
        <v>699.29700000000003</v>
      </c>
      <c r="G466" s="24">
        <v>0.26700000000000002</v>
      </c>
    </row>
    <row r="467" spans="1:7">
      <c r="A467" s="24" t="s">
        <v>483</v>
      </c>
      <c r="B467" s="24">
        <v>1</v>
      </c>
      <c r="C467" s="24">
        <v>10</v>
      </c>
      <c r="D467" s="24" t="s">
        <v>499</v>
      </c>
      <c r="E467" s="24">
        <v>37</v>
      </c>
      <c r="F467" s="24">
        <v>699.89499999999998</v>
      </c>
      <c r="G467" s="24">
        <v>0.33500000000000002</v>
      </c>
    </row>
    <row r="468" spans="1:7">
      <c r="A468" s="24" t="s">
        <v>483</v>
      </c>
      <c r="B468" s="24">
        <v>1</v>
      </c>
      <c r="C468" s="24">
        <v>9</v>
      </c>
      <c r="D468" s="24" t="s">
        <v>500</v>
      </c>
      <c r="E468" s="24">
        <v>25</v>
      </c>
      <c r="F468" s="24">
        <v>700.52300000000002</v>
      </c>
      <c r="G468" s="24">
        <v>0.28199999999999997</v>
      </c>
    </row>
    <row r="469" spans="1:7">
      <c r="A469" s="24" t="s">
        <v>483</v>
      </c>
      <c r="B469" s="24">
        <v>1</v>
      </c>
      <c r="C469" s="24">
        <v>8</v>
      </c>
      <c r="D469" s="24" t="s">
        <v>501</v>
      </c>
      <c r="E469" s="24">
        <v>105</v>
      </c>
      <c r="F469" s="24">
        <v>700.20699999999999</v>
      </c>
      <c r="G469" s="24">
        <v>1.02</v>
      </c>
    </row>
    <row r="470" spans="1:7">
      <c r="A470" s="24" t="s">
        <v>483</v>
      </c>
      <c r="B470" s="24">
        <v>1</v>
      </c>
      <c r="C470" s="24">
        <v>7</v>
      </c>
      <c r="D470" s="24" t="s">
        <v>502</v>
      </c>
      <c r="E470" s="24">
        <v>122</v>
      </c>
      <c r="F470" s="24">
        <v>700.51700000000005</v>
      </c>
      <c r="G470" s="24">
        <v>0.311</v>
      </c>
    </row>
    <row r="471" spans="1:7">
      <c r="A471" s="24" t="s">
        <v>483</v>
      </c>
      <c r="B471" s="24">
        <v>1</v>
      </c>
      <c r="C471" s="24">
        <v>6</v>
      </c>
      <c r="D471" s="24" t="s">
        <v>503</v>
      </c>
      <c r="E471" s="24">
        <v>128</v>
      </c>
      <c r="F471" s="24">
        <v>701.1</v>
      </c>
      <c r="G471" s="24">
        <v>0.38400000000000001</v>
      </c>
    </row>
    <row r="472" spans="1:7">
      <c r="A472" s="24" t="s">
        <v>483</v>
      </c>
      <c r="B472" s="24">
        <v>1</v>
      </c>
      <c r="C472" s="24">
        <v>5</v>
      </c>
      <c r="D472" s="24" t="s">
        <v>504</v>
      </c>
      <c r="E472" s="24">
        <v>90</v>
      </c>
      <c r="F472" s="24">
        <v>701.50099999999998</v>
      </c>
      <c r="G472" s="24">
        <v>0.29099999999999998</v>
      </c>
    </row>
    <row r="473" spans="1:7">
      <c r="A473" s="24" t="s">
        <v>483</v>
      </c>
      <c r="B473" s="24">
        <v>1</v>
      </c>
      <c r="C473" s="24">
        <v>4</v>
      </c>
      <c r="D473" s="24" t="s">
        <v>505</v>
      </c>
      <c r="E473" s="24">
        <v>93</v>
      </c>
      <c r="F473" s="24">
        <v>701.399</v>
      </c>
      <c r="G473" s="24">
        <v>0.317</v>
      </c>
    </row>
    <row r="474" spans="1:7">
      <c r="A474" s="24" t="s">
        <v>483</v>
      </c>
      <c r="B474" s="24">
        <v>1</v>
      </c>
      <c r="C474" s="24">
        <v>3</v>
      </c>
      <c r="D474" s="24" t="s">
        <v>506</v>
      </c>
      <c r="E474" s="24">
        <v>36</v>
      </c>
      <c r="F474" s="24">
        <v>701.68700000000001</v>
      </c>
      <c r="G474" s="24">
        <v>0.44900000000000001</v>
      </c>
    </row>
    <row r="475" spans="1:7">
      <c r="A475" s="24" t="s">
        <v>483</v>
      </c>
      <c r="B475" s="24">
        <v>1</v>
      </c>
      <c r="C475" s="24">
        <v>2</v>
      </c>
      <c r="D475" s="24" t="s">
        <v>507</v>
      </c>
      <c r="E475" s="24">
        <v>39</v>
      </c>
      <c r="F475" s="24">
        <v>701.56200000000001</v>
      </c>
      <c r="G475" s="24">
        <v>0.38600000000000001</v>
      </c>
    </row>
    <row r="476" spans="1:7">
      <c r="A476" s="24" t="s">
        <v>483</v>
      </c>
      <c r="B476" s="24">
        <v>1</v>
      </c>
      <c r="C476" s="24">
        <v>1</v>
      </c>
      <c r="D476" s="24" t="s">
        <v>508</v>
      </c>
      <c r="E476" s="24">
        <v>25</v>
      </c>
      <c r="F476" s="24">
        <v>702.375</v>
      </c>
      <c r="G476" s="24">
        <v>0.41</v>
      </c>
    </row>
    <row r="477" spans="1:7">
      <c r="A477" s="24" t="s">
        <v>483</v>
      </c>
      <c r="B477" s="24">
        <v>2</v>
      </c>
      <c r="C477" s="24">
        <v>25</v>
      </c>
      <c r="D477" s="24" t="s">
        <v>509</v>
      </c>
      <c r="E477" s="24">
        <v>18</v>
      </c>
      <c r="F477" s="24">
        <v>701.73099999999999</v>
      </c>
      <c r="G477" s="24">
        <v>0.47799999999999998</v>
      </c>
    </row>
    <row r="478" spans="1:7">
      <c r="A478" s="24" t="s">
        <v>483</v>
      </c>
      <c r="B478" s="24">
        <v>2</v>
      </c>
      <c r="C478" s="24">
        <v>24</v>
      </c>
      <c r="D478" s="24" t="s">
        <v>510</v>
      </c>
      <c r="E478" s="24">
        <v>46</v>
      </c>
      <c r="F478" s="24">
        <v>701.971</v>
      </c>
      <c r="G478" s="24">
        <v>0.29499999999999998</v>
      </c>
    </row>
    <row r="479" spans="1:7">
      <c r="A479" s="24" t="s">
        <v>483</v>
      </c>
      <c r="B479" s="24">
        <v>2</v>
      </c>
      <c r="C479" s="24">
        <v>23</v>
      </c>
      <c r="D479" s="24" t="s">
        <v>511</v>
      </c>
      <c r="E479" s="24">
        <v>20</v>
      </c>
      <c r="F479" s="24">
        <v>699.79300000000001</v>
      </c>
      <c r="G479" s="24">
        <v>0.46400000000000002</v>
      </c>
    </row>
    <row r="480" spans="1:7">
      <c r="A480" s="24" t="s">
        <v>483</v>
      </c>
      <c r="B480" s="24">
        <v>2</v>
      </c>
      <c r="C480" s="24">
        <v>22</v>
      </c>
      <c r="D480" s="24" t="s">
        <v>512</v>
      </c>
      <c r="E480" s="24">
        <v>21</v>
      </c>
      <c r="F480" s="24">
        <v>702.57899999999995</v>
      </c>
      <c r="G480" s="24">
        <v>0.28899999999999998</v>
      </c>
    </row>
    <row r="481" spans="1:7">
      <c r="A481" s="24" t="s">
        <v>483</v>
      </c>
      <c r="B481" s="24">
        <v>2</v>
      </c>
      <c r="C481" s="24">
        <v>21</v>
      </c>
      <c r="D481" s="24" t="s">
        <v>513</v>
      </c>
      <c r="E481" s="24">
        <v>23</v>
      </c>
      <c r="F481" s="24">
        <v>702.35299999999995</v>
      </c>
      <c r="G481" s="24">
        <v>0.4</v>
      </c>
    </row>
    <row r="482" spans="1:7">
      <c r="A482" s="24" t="s">
        <v>483</v>
      </c>
      <c r="B482" s="24">
        <v>2</v>
      </c>
      <c r="C482" s="24">
        <v>20</v>
      </c>
      <c r="D482" s="24" t="s">
        <v>514</v>
      </c>
      <c r="E482" s="24">
        <v>49</v>
      </c>
      <c r="F482" s="24">
        <v>701.99099999999999</v>
      </c>
      <c r="G482" s="24">
        <v>0.189</v>
      </c>
    </row>
    <row r="483" spans="1:7">
      <c r="A483" s="24" t="s">
        <v>483</v>
      </c>
      <c r="B483" s="24">
        <v>2</v>
      </c>
      <c r="C483" s="24">
        <v>19</v>
      </c>
      <c r="D483" s="24" t="s">
        <v>515</v>
      </c>
      <c r="E483" s="24">
        <v>32</v>
      </c>
      <c r="F483" s="24">
        <v>703.23299999999995</v>
      </c>
      <c r="G483" s="24">
        <v>0.17199999999999999</v>
      </c>
    </row>
    <row r="484" spans="1:7">
      <c r="A484" s="24" t="s">
        <v>483</v>
      </c>
      <c r="B484" s="24">
        <v>2</v>
      </c>
      <c r="C484" s="24">
        <v>18</v>
      </c>
      <c r="D484" s="24" t="s">
        <v>516</v>
      </c>
      <c r="E484" s="24">
        <v>33</v>
      </c>
      <c r="F484" s="24">
        <v>702.14499999999998</v>
      </c>
      <c r="G484" s="24">
        <v>0.19900000000000001</v>
      </c>
    </row>
    <row r="485" spans="1:7">
      <c r="A485" s="24" t="s">
        <v>483</v>
      </c>
      <c r="B485" s="24">
        <v>2</v>
      </c>
      <c r="C485" s="24">
        <v>17</v>
      </c>
      <c r="D485" s="24" t="s">
        <v>517</v>
      </c>
      <c r="E485" s="24">
        <v>27</v>
      </c>
      <c r="F485" s="24">
        <v>700.81700000000001</v>
      </c>
      <c r="G485" s="24">
        <v>0.23799999999999999</v>
      </c>
    </row>
    <row r="486" spans="1:7">
      <c r="A486" s="24" t="s">
        <v>483</v>
      </c>
      <c r="B486" s="24">
        <v>2</v>
      </c>
      <c r="C486" s="24">
        <v>16</v>
      </c>
      <c r="D486" s="24" t="s">
        <v>518</v>
      </c>
      <c r="E486" s="24">
        <v>29</v>
      </c>
      <c r="F486" s="24">
        <v>702.52499999999998</v>
      </c>
      <c r="G486" s="24">
        <v>0.254</v>
      </c>
    </row>
    <row r="487" spans="1:7">
      <c r="A487" s="24" t="s">
        <v>483</v>
      </c>
      <c r="B487" s="24">
        <v>2</v>
      </c>
      <c r="C487" s="24">
        <v>15</v>
      </c>
      <c r="D487" s="24" t="s">
        <v>519</v>
      </c>
      <c r="E487" s="24">
        <v>15</v>
      </c>
      <c r="F487" s="24">
        <v>700.43499999999995</v>
      </c>
      <c r="G487" s="24">
        <v>0.54</v>
      </c>
    </row>
    <row r="488" spans="1:7">
      <c r="A488" s="24" t="s">
        <v>483</v>
      </c>
      <c r="B488" s="24">
        <v>2</v>
      </c>
      <c r="C488" s="24">
        <v>14</v>
      </c>
      <c r="D488" s="24" t="s">
        <v>520</v>
      </c>
      <c r="E488" s="24">
        <v>19</v>
      </c>
      <c r="F488" s="24">
        <v>702.22199999999998</v>
      </c>
      <c r="G488" s="24">
        <v>0.34899999999999998</v>
      </c>
    </row>
    <row r="489" spans="1:7">
      <c r="A489" s="24" t="s">
        <v>483</v>
      </c>
      <c r="B489" s="24">
        <v>2</v>
      </c>
      <c r="C489" s="24">
        <v>13</v>
      </c>
      <c r="D489" s="24" t="s">
        <v>521</v>
      </c>
      <c r="E489" s="24">
        <v>46</v>
      </c>
      <c r="F489" s="24">
        <v>700.476</v>
      </c>
      <c r="G489" s="24">
        <v>0.38200000000000001</v>
      </c>
    </row>
    <row r="490" spans="1:7">
      <c r="A490" s="24" t="s">
        <v>483</v>
      </c>
      <c r="B490" s="24">
        <v>2</v>
      </c>
      <c r="C490" s="24">
        <v>12</v>
      </c>
      <c r="D490" s="24" t="s">
        <v>522</v>
      </c>
      <c r="E490" s="24">
        <v>23</v>
      </c>
      <c r="F490" s="24">
        <v>700.923</v>
      </c>
      <c r="G490" s="24">
        <v>0.188</v>
      </c>
    </row>
    <row r="491" spans="1:7">
      <c r="A491" s="24" t="s">
        <v>483</v>
      </c>
      <c r="B491" s="24">
        <v>2</v>
      </c>
      <c r="C491" s="24">
        <v>11</v>
      </c>
      <c r="D491" s="24" t="s">
        <v>523</v>
      </c>
      <c r="E491" s="24">
        <v>17</v>
      </c>
      <c r="F491" s="24">
        <v>699.01</v>
      </c>
      <c r="G491" s="24">
        <v>0.115</v>
      </c>
    </row>
    <row r="492" spans="1:7">
      <c r="A492" s="24" t="s">
        <v>483</v>
      </c>
      <c r="B492" s="24">
        <v>2</v>
      </c>
      <c r="C492" s="24">
        <v>10</v>
      </c>
      <c r="D492" s="24" t="s">
        <v>524</v>
      </c>
      <c r="E492" s="24">
        <v>36</v>
      </c>
      <c r="F492" s="24">
        <v>701.51900000000001</v>
      </c>
      <c r="G492" s="24">
        <v>0.437</v>
      </c>
    </row>
    <row r="493" spans="1:7">
      <c r="A493" s="24" t="s">
        <v>483</v>
      </c>
      <c r="B493" s="24">
        <v>2</v>
      </c>
      <c r="C493" s="24">
        <v>9</v>
      </c>
      <c r="D493" s="24" t="s">
        <v>525</v>
      </c>
      <c r="E493" s="24">
        <v>30</v>
      </c>
      <c r="F493" s="24">
        <v>700.87599999999998</v>
      </c>
      <c r="G493" s="24">
        <v>0.48599999999999999</v>
      </c>
    </row>
    <row r="494" spans="1:7">
      <c r="A494" s="24" t="s">
        <v>483</v>
      </c>
      <c r="B494" s="24">
        <v>2</v>
      </c>
      <c r="C494" s="24">
        <v>8</v>
      </c>
      <c r="D494" s="24" t="s">
        <v>526</v>
      </c>
      <c r="E494" s="24">
        <v>18</v>
      </c>
      <c r="F494" s="24">
        <v>702.601</v>
      </c>
      <c r="G494" s="24">
        <v>0.26200000000000001</v>
      </c>
    </row>
    <row r="495" spans="1:7">
      <c r="A495" s="24" t="s">
        <v>483</v>
      </c>
      <c r="B495" s="24">
        <v>2</v>
      </c>
      <c r="C495" s="24">
        <v>7</v>
      </c>
      <c r="D495" s="24" t="s">
        <v>527</v>
      </c>
      <c r="E495" s="24">
        <v>37</v>
      </c>
      <c r="F495" s="24">
        <v>701.15300000000002</v>
      </c>
      <c r="G495" s="24">
        <v>0.26100000000000001</v>
      </c>
    </row>
    <row r="496" spans="1:7">
      <c r="A496" s="24" t="s">
        <v>483</v>
      </c>
      <c r="B496" s="24">
        <v>2</v>
      </c>
      <c r="C496" s="24">
        <v>6</v>
      </c>
      <c r="D496" s="24" t="s">
        <v>528</v>
      </c>
      <c r="E496" s="24">
        <v>27</v>
      </c>
      <c r="F496" s="24">
        <v>702.49800000000005</v>
      </c>
      <c r="G496" s="24">
        <v>0.20699999999999999</v>
      </c>
    </row>
    <row r="497" spans="1:7">
      <c r="A497" s="24" t="s">
        <v>483</v>
      </c>
      <c r="B497" s="24">
        <v>2</v>
      </c>
      <c r="C497" s="24">
        <v>5</v>
      </c>
      <c r="D497" s="24" t="s">
        <v>529</v>
      </c>
      <c r="E497" s="24">
        <v>16</v>
      </c>
      <c r="F497" s="24">
        <v>700.33</v>
      </c>
      <c r="G497" s="24">
        <v>0.46400000000000002</v>
      </c>
    </row>
    <row r="498" spans="1:7">
      <c r="A498" s="24" t="s">
        <v>483</v>
      </c>
      <c r="B498" s="24">
        <v>2</v>
      </c>
      <c r="C498" s="24">
        <v>4</v>
      </c>
      <c r="D498" s="24" t="s">
        <v>530</v>
      </c>
      <c r="E498" s="24">
        <v>16</v>
      </c>
      <c r="F498" s="24">
        <v>698.65499999999997</v>
      </c>
      <c r="G498" s="24">
        <v>0.34699999999999998</v>
      </c>
    </row>
    <row r="499" spans="1:7">
      <c r="A499" s="24" t="s">
        <v>483</v>
      </c>
      <c r="B499" s="24">
        <v>2</v>
      </c>
      <c r="C499" s="24">
        <v>3</v>
      </c>
      <c r="D499" s="24" t="s">
        <v>531</v>
      </c>
      <c r="E499" s="24">
        <v>33</v>
      </c>
      <c r="F499" s="24">
        <v>701.53800000000001</v>
      </c>
      <c r="G499" s="24">
        <v>0.51400000000000001</v>
      </c>
    </row>
    <row r="500" spans="1:7">
      <c r="A500" s="24" t="s">
        <v>483</v>
      </c>
      <c r="B500" s="24">
        <v>2</v>
      </c>
      <c r="C500" s="24">
        <v>2</v>
      </c>
      <c r="D500" s="24" t="s">
        <v>532</v>
      </c>
      <c r="E500" s="24">
        <v>40</v>
      </c>
      <c r="F500" s="24">
        <v>701.36199999999997</v>
      </c>
      <c r="G500" s="24">
        <v>0.42199999999999999</v>
      </c>
    </row>
    <row r="501" spans="1:7">
      <c r="A501" s="24" t="s">
        <v>483</v>
      </c>
      <c r="B501" s="24">
        <v>2</v>
      </c>
      <c r="C501" s="24">
        <v>1</v>
      </c>
      <c r="D501" s="24" t="s">
        <v>533</v>
      </c>
      <c r="E501" s="24">
        <v>49</v>
      </c>
      <c r="F501" s="24">
        <v>700.98699999999997</v>
      </c>
      <c r="G501" s="24">
        <v>0.40799999999999997</v>
      </c>
    </row>
    <row r="502" spans="1:7">
      <c r="A502" s="24" t="s">
        <v>483</v>
      </c>
      <c r="B502" s="24">
        <v>3</v>
      </c>
      <c r="C502" s="24">
        <v>25</v>
      </c>
      <c r="D502" s="24" t="s">
        <v>534</v>
      </c>
      <c r="E502" s="24">
        <v>20</v>
      </c>
      <c r="F502" s="24">
        <v>699.62099999999998</v>
      </c>
      <c r="G502" s="24">
        <v>0.34399999999999997</v>
      </c>
    </row>
    <row r="503" spans="1:7">
      <c r="A503" s="24" t="s">
        <v>483</v>
      </c>
      <c r="B503" s="24">
        <v>3</v>
      </c>
      <c r="C503" s="24">
        <v>24</v>
      </c>
      <c r="D503" s="24" t="s">
        <v>535</v>
      </c>
      <c r="E503" s="24">
        <v>29</v>
      </c>
      <c r="F503" s="24">
        <v>701.83799999999997</v>
      </c>
      <c r="G503" s="24">
        <v>0.374</v>
      </c>
    </row>
    <row r="504" spans="1:7">
      <c r="A504" s="24" t="s">
        <v>483</v>
      </c>
      <c r="B504" s="24">
        <v>3</v>
      </c>
      <c r="C504" s="24">
        <v>23</v>
      </c>
      <c r="D504" s="24" t="s">
        <v>536</v>
      </c>
      <c r="E504" s="24">
        <v>42</v>
      </c>
      <c r="F504" s="24">
        <v>702.56299999999999</v>
      </c>
      <c r="G504" s="24">
        <v>0.30299999999999999</v>
      </c>
    </row>
    <row r="505" spans="1:7">
      <c r="A505" s="24" t="s">
        <v>483</v>
      </c>
      <c r="B505" s="24">
        <v>3</v>
      </c>
      <c r="C505" s="24">
        <v>22</v>
      </c>
      <c r="D505" s="24" t="s">
        <v>537</v>
      </c>
      <c r="E505" s="24">
        <v>7</v>
      </c>
      <c r="F505" s="24">
        <v>700.97</v>
      </c>
      <c r="G505" s="24">
        <v>0.17699999999999999</v>
      </c>
    </row>
    <row r="506" spans="1:7">
      <c r="A506" s="24" t="s">
        <v>483</v>
      </c>
      <c r="B506" s="24">
        <v>3</v>
      </c>
      <c r="C506" s="24">
        <v>21</v>
      </c>
      <c r="D506" s="24" t="s">
        <v>538</v>
      </c>
      <c r="E506" s="24">
        <v>27</v>
      </c>
      <c r="F506" s="24">
        <v>702.93399999999997</v>
      </c>
      <c r="G506" s="24">
        <v>0.41399999999999998</v>
      </c>
    </row>
    <row r="507" spans="1:7">
      <c r="A507" s="24" t="s">
        <v>483</v>
      </c>
      <c r="B507" s="24">
        <v>3</v>
      </c>
      <c r="C507" s="24">
        <v>20</v>
      </c>
      <c r="D507" s="24" t="s">
        <v>539</v>
      </c>
      <c r="E507" s="24">
        <v>15</v>
      </c>
      <c r="F507" s="24">
        <v>702.82399999999996</v>
      </c>
      <c r="G507" s="24">
        <v>0.40899999999999997</v>
      </c>
    </row>
    <row r="508" spans="1:7">
      <c r="A508" s="24" t="s">
        <v>483</v>
      </c>
      <c r="B508" s="24">
        <v>3</v>
      </c>
      <c r="C508" s="24">
        <v>19</v>
      </c>
      <c r="D508" s="24" t="s">
        <v>540</v>
      </c>
      <c r="E508" s="24">
        <v>25</v>
      </c>
      <c r="F508" s="24">
        <v>702.59400000000005</v>
      </c>
      <c r="G508" s="24">
        <v>0.32400000000000001</v>
      </c>
    </row>
    <row r="509" spans="1:7">
      <c r="A509" s="24" t="s">
        <v>483</v>
      </c>
      <c r="B509" s="24">
        <v>3</v>
      </c>
      <c r="C509" s="24">
        <v>18</v>
      </c>
      <c r="D509" s="24" t="s">
        <v>541</v>
      </c>
      <c r="E509" s="24">
        <v>14</v>
      </c>
      <c r="F509" s="24">
        <v>703.20299999999997</v>
      </c>
      <c r="G509" s="24">
        <v>0.41399999999999998</v>
      </c>
    </row>
    <row r="510" spans="1:7">
      <c r="A510" s="24" t="s">
        <v>483</v>
      </c>
      <c r="B510" s="24">
        <v>3</v>
      </c>
      <c r="C510" s="24">
        <v>17</v>
      </c>
      <c r="D510" s="24" t="s">
        <v>542</v>
      </c>
      <c r="E510" s="24">
        <v>17</v>
      </c>
      <c r="F510" s="24">
        <v>702.90099999999995</v>
      </c>
      <c r="G510" s="24">
        <v>0.44900000000000001</v>
      </c>
    </row>
    <row r="511" spans="1:7">
      <c r="A511" s="24" t="s">
        <v>483</v>
      </c>
      <c r="B511" s="24">
        <v>3</v>
      </c>
      <c r="C511" s="24">
        <v>16</v>
      </c>
      <c r="D511" s="24" t="s">
        <v>543</v>
      </c>
      <c r="E511" s="24">
        <v>12</v>
      </c>
      <c r="F511" s="24">
        <v>702.45699999999999</v>
      </c>
      <c r="G511" s="24">
        <v>0.41299999999999998</v>
      </c>
    </row>
    <row r="512" spans="1:7">
      <c r="A512" s="24" t="s">
        <v>483</v>
      </c>
      <c r="B512" s="24">
        <v>3</v>
      </c>
      <c r="C512" s="24">
        <v>15</v>
      </c>
      <c r="D512" s="24" t="s">
        <v>544</v>
      </c>
      <c r="E512" s="24">
        <v>13</v>
      </c>
      <c r="F512" s="24">
        <v>702.90700000000004</v>
      </c>
      <c r="G512" s="24">
        <v>0.35499999999999998</v>
      </c>
    </row>
    <row r="513" spans="1:7">
      <c r="A513" s="24" t="s">
        <v>483</v>
      </c>
      <c r="B513" s="24">
        <v>3</v>
      </c>
      <c r="C513" s="24">
        <v>14</v>
      </c>
      <c r="D513" s="24" t="s">
        <v>545</v>
      </c>
      <c r="E513" s="24">
        <v>18</v>
      </c>
      <c r="F513" s="24">
        <v>702.73</v>
      </c>
      <c r="G513" s="24">
        <v>0.51800000000000002</v>
      </c>
    </row>
    <row r="514" spans="1:7">
      <c r="A514" s="24" t="s">
        <v>483</v>
      </c>
      <c r="B514" s="24">
        <v>3</v>
      </c>
      <c r="C514" s="24">
        <v>13</v>
      </c>
      <c r="D514" s="24" t="s">
        <v>546</v>
      </c>
      <c r="E514" s="24">
        <v>16</v>
      </c>
      <c r="F514" s="24">
        <v>702.71900000000005</v>
      </c>
      <c r="G514" s="24">
        <v>0.45600000000000002</v>
      </c>
    </row>
    <row r="515" spans="1:7">
      <c r="A515" s="24" t="s">
        <v>483</v>
      </c>
      <c r="B515" s="24">
        <v>3</v>
      </c>
      <c r="C515" s="24">
        <v>12</v>
      </c>
      <c r="D515" s="24" t="s">
        <v>547</v>
      </c>
      <c r="E515" s="24">
        <v>19</v>
      </c>
      <c r="F515" s="24">
        <v>703.07299999999998</v>
      </c>
      <c r="G515" s="24">
        <v>0.47399999999999998</v>
      </c>
    </row>
    <row r="516" spans="1:7">
      <c r="A516" s="24" t="s">
        <v>483</v>
      </c>
      <c r="B516" s="24">
        <v>3</v>
      </c>
      <c r="C516" s="24">
        <v>11</v>
      </c>
      <c r="D516" s="24" t="s">
        <v>548</v>
      </c>
      <c r="E516" s="24">
        <v>22</v>
      </c>
      <c r="F516" s="24">
        <v>702.221</v>
      </c>
      <c r="G516" s="24">
        <v>0.376</v>
      </c>
    </row>
    <row r="517" spans="1:7">
      <c r="A517" s="24" t="s">
        <v>483</v>
      </c>
      <c r="B517" s="24">
        <v>3</v>
      </c>
      <c r="C517" s="24">
        <v>10</v>
      </c>
      <c r="D517" s="24" t="s">
        <v>549</v>
      </c>
      <c r="E517" s="24">
        <v>16</v>
      </c>
      <c r="F517" s="24">
        <v>701.04700000000003</v>
      </c>
      <c r="G517" s="24">
        <v>0.22900000000000001</v>
      </c>
    </row>
    <row r="518" spans="1:7">
      <c r="A518" s="24" t="s">
        <v>483</v>
      </c>
      <c r="B518" s="24">
        <v>3</v>
      </c>
      <c r="C518" s="24">
        <v>9</v>
      </c>
      <c r="D518" s="24" t="s">
        <v>550</v>
      </c>
      <c r="E518" s="24">
        <v>9</v>
      </c>
      <c r="F518" s="24">
        <v>700.16099999999994</v>
      </c>
      <c r="G518" s="24">
        <v>0.35199999999999998</v>
      </c>
    </row>
    <row r="519" spans="1:7">
      <c r="A519" s="24" t="s">
        <v>483</v>
      </c>
      <c r="B519" s="24">
        <v>3</v>
      </c>
      <c r="C519" s="24">
        <v>8</v>
      </c>
      <c r="D519" s="24" t="s">
        <v>551</v>
      </c>
      <c r="E519" s="24">
        <v>15</v>
      </c>
      <c r="F519" s="24">
        <v>700.20699999999999</v>
      </c>
      <c r="G519" s="24">
        <v>0.20599999999999999</v>
      </c>
    </row>
    <row r="520" spans="1:7">
      <c r="A520" s="24" t="s">
        <v>483</v>
      </c>
      <c r="B520" s="24">
        <v>3</v>
      </c>
      <c r="C520" s="24">
        <v>7</v>
      </c>
      <c r="D520" s="24" t="s">
        <v>552</v>
      </c>
      <c r="E520" s="24">
        <v>17</v>
      </c>
      <c r="F520" s="24">
        <v>702.26599999999996</v>
      </c>
      <c r="G520" s="24">
        <v>0.33900000000000002</v>
      </c>
    </row>
    <row r="521" spans="1:7">
      <c r="A521" s="24" t="s">
        <v>483</v>
      </c>
      <c r="B521" s="24">
        <v>3</v>
      </c>
      <c r="C521" s="24">
        <v>6</v>
      </c>
      <c r="D521" s="24" t="s">
        <v>553</v>
      </c>
      <c r="E521" s="24">
        <v>21</v>
      </c>
      <c r="F521" s="24">
        <v>702.23299999999995</v>
      </c>
      <c r="G521" s="24">
        <v>0.35899999999999999</v>
      </c>
    </row>
    <row r="522" spans="1:7">
      <c r="A522" s="24" t="s">
        <v>483</v>
      </c>
      <c r="B522" s="24">
        <v>3</v>
      </c>
      <c r="C522" s="24">
        <v>5</v>
      </c>
      <c r="D522" s="24" t="s">
        <v>554</v>
      </c>
      <c r="E522" s="24">
        <v>10</v>
      </c>
      <c r="F522" s="24">
        <v>700.14200000000005</v>
      </c>
      <c r="G522" s="24">
        <v>0.24099999999999999</v>
      </c>
    </row>
    <row r="523" spans="1:7">
      <c r="A523" s="24" t="s">
        <v>483</v>
      </c>
      <c r="B523" s="24">
        <v>3</v>
      </c>
      <c r="C523" s="24">
        <v>4</v>
      </c>
      <c r="D523" s="24" t="s">
        <v>555</v>
      </c>
      <c r="E523" s="24">
        <v>26</v>
      </c>
      <c r="F523" s="24">
        <v>700.32500000000005</v>
      </c>
      <c r="G523" s="24">
        <v>0.28899999999999998</v>
      </c>
    </row>
    <row r="524" spans="1:7">
      <c r="A524" s="24" t="s">
        <v>483</v>
      </c>
      <c r="B524" s="24">
        <v>3</v>
      </c>
      <c r="C524" s="24">
        <v>3</v>
      </c>
      <c r="D524" s="24" t="s">
        <v>556</v>
      </c>
      <c r="E524" s="24">
        <v>11</v>
      </c>
      <c r="F524" s="24">
        <v>700.36900000000003</v>
      </c>
      <c r="G524" s="24">
        <v>0.27200000000000002</v>
      </c>
    </row>
    <row r="525" spans="1:7">
      <c r="A525" s="24" t="s">
        <v>483</v>
      </c>
      <c r="B525" s="24">
        <v>3</v>
      </c>
      <c r="C525" s="24">
        <v>2</v>
      </c>
      <c r="D525" s="24" t="s">
        <v>557</v>
      </c>
      <c r="E525" s="24">
        <v>22</v>
      </c>
      <c r="F525" s="24">
        <v>701.39800000000002</v>
      </c>
      <c r="G525" s="24">
        <v>0.22</v>
      </c>
    </row>
    <row r="526" spans="1:7">
      <c r="A526" s="24" t="s">
        <v>483</v>
      </c>
      <c r="B526" s="24">
        <v>3</v>
      </c>
      <c r="C526" s="24">
        <v>1</v>
      </c>
      <c r="D526" s="24" t="s">
        <v>558</v>
      </c>
      <c r="E526" s="24">
        <v>25</v>
      </c>
      <c r="F526" s="24">
        <v>700.81799999999998</v>
      </c>
      <c r="G526" s="24">
        <v>0.39900000000000002</v>
      </c>
    </row>
    <row r="527" spans="1:7">
      <c r="A527" s="24" t="s">
        <v>483</v>
      </c>
      <c r="B527" s="24">
        <v>4</v>
      </c>
      <c r="C527" s="24">
        <v>25</v>
      </c>
      <c r="D527" s="24" t="s">
        <v>559</v>
      </c>
      <c r="E527" s="24">
        <v>6</v>
      </c>
      <c r="F527" s="24">
        <v>700.92499999999995</v>
      </c>
      <c r="G527" s="24">
        <v>0.55900000000000005</v>
      </c>
    </row>
    <row r="528" spans="1:7">
      <c r="A528" s="24" t="s">
        <v>483</v>
      </c>
      <c r="B528" s="24">
        <v>4</v>
      </c>
      <c r="C528" s="24">
        <v>24</v>
      </c>
      <c r="D528" s="24" t="s">
        <v>560</v>
      </c>
      <c r="E528" s="24">
        <v>17</v>
      </c>
      <c r="F528" s="24">
        <v>699.86199999999997</v>
      </c>
      <c r="G528" s="24">
        <v>0.435</v>
      </c>
    </row>
    <row r="529" spans="1:7">
      <c r="A529" s="24" t="s">
        <v>483</v>
      </c>
      <c r="B529" s="24">
        <v>4</v>
      </c>
      <c r="C529" s="24">
        <v>23</v>
      </c>
      <c r="D529" s="24" t="s">
        <v>561</v>
      </c>
      <c r="E529" s="24">
        <v>13</v>
      </c>
      <c r="F529" s="24">
        <v>700.70899999999995</v>
      </c>
      <c r="G529" s="24">
        <v>0.40500000000000003</v>
      </c>
    </row>
    <row r="530" spans="1:7">
      <c r="A530" s="24" t="s">
        <v>483</v>
      </c>
      <c r="B530" s="24">
        <v>4</v>
      </c>
      <c r="C530" s="24">
        <v>22</v>
      </c>
      <c r="D530" s="24" t="s">
        <v>562</v>
      </c>
      <c r="E530" s="24">
        <v>13</v>
      </c>
      <c r="F530" s="24">
        <v>699.70799999999997</v>
      </c>
      <c r="G530" s="24">
        <v>0.36499999999999999</v>
      </c>
    </row>
    <row r="531" spans="1:7">
      <c r="A531" s="24" t="s">
        <v>483</v>
      </c>
      <c r="B531" s="24">
        <v>4</v>
      </c>
      <c r="C531" s="24">
        <v>21</v>
      </c>
      <c r="D531" s="24" t="s">
        <v>563</v>
      </c>
      <c r="E531" s="24">
        <v>11</v>
      </c>
      <c r="F531" s="24">
        <v>699.17499999999995</v>
      </c>
      <c r="G531" s="24">
        <v>0.14399999999999999</v>
      </c>
    </row>
    <row r="532" spans="1:7">
      <c r="A532" s="24" t="s">
        <v>483</v>
      </c>
      <c r="B532" s="24">
        <v>4</v>
      </c>
      <c r="C532" s="24">
        <v>20</v>
      </c>
      <c r="D532" s="24" t="s">
        <v>564</v>
      </c>
      <c r="E532" s="24">
        <v>16</v>
      </c>
      <c r="F532" s="24">
        <v>699.69399999999996</v>
      </c>
      <c r="G532" s="24">
        <v>0.44900000000000001</v>
      </c>
    </row>
    <row r="533" spans="1:7">
      <c r="A533" s="24" t="s">
        <v>483</v>
      </c>
      <c r="B533" s="24">
        <v>4</v>
      </c>
      <c r="C533" s="24">
        <v>19</v>
      </c>
      <c r="D533" s="24" t="s">
        <v>565</v>
      </c>
      <c r="E533" s="24">
        <v>21</v>
      </c>
      <c r="F533" s="24">
        <v>700.67</v>
      </c>
      <c r="G533" s="24">
        <v>0.89</v>
      </c>
    </row>
    <row r="534" spans="1:7">
      <c r="A534" s="24" t="s">
        <v>483</v>
      </c>
      <c r="B534" s="24">
        <v>4</v>
      </c>
      <c r="C534" s="24">
        <v>18</v>
      </c>
      <c r="D534" s="24" t="s">
        <v>566</v>
      </c>
      <c r="E534" s="24">
        <v>20</v>
      </c>
      <c r="F534" s="24">
        <v>700.65899999999999</v>
      </c>
      <c r="G534" s="24">
        <v>0.42199999999999999</v>
      </c>
    </row>
    <row r="535" spans="1:7">
      <c r="A535" s="24" t="s">
        <v>483</v>
      </c>
      <c r="B535" s="24">
        <v>4</v>
      </c>
      <c r="C535" s="24">
        <v>17</v>
      </c>
      <c r="D535" s="24" t="s">
        <v>567</v>
      </c>
      <c r="E535" s="24">
        <v>11</v>
      </c>
      <c r="F535" s="24">
        <v>700.65800000000002</v>
      </c>
      <c r="G535" s="24">
        <v>0.81899999999999995</v>
      </c>
    </row>
    <row r="536" spans="1:7">
      <c r="A536" s="24" t="s">
        <v>483</v>
      </c>
      <c r="B536" s="24">
        <v>4</v>
      </c>
      <c r="C536" s="24">
        <v>16</v>
      </c>
      <c r="D536" s="24" t="s">
        <v>568</v>
      </c>
      <c r="E536" s="24">
        <v>14</v>
      </c>
      <c r="F536" s="24">
        <v>700.46600000000001</v>
      </c>
      <c r="G536" s="24">
        <v>0.73499999999999999</v>
      </c>
    </row>
    <row r="537" spans="1:7">
      <c r="A537" s="24" t="s">
        <v>483</v>
      </c>
      <c r="B537" s="24">
        <v>4</v>
      </c>
      <c r="C537" s="24">
        <v>15</v>
      </c>
      <c r="D537" s="24" t="s">
        <v>569</v>
      </c>
      <c r="E537" s="24">
        <v>12</v>
      </c>
      <c r="F537" s="24">
        <v>700.65200000000004</v>
      </c>
      <c r="G537" s="24">
        <v>0.443</v>
      </c>
    </row>
    <row r="538" spans="1:7">
      <c r="A538" s="24" t="s">
        <v>483</v>
      </c>
      <c r="B538" s="24">
        <v>4</v>
      </c>
      <c r="C538" s="24">
        <v>14</v>
      </c>
      <c r="D538" s="24" t="s">
        <v>570</v>
      </c>
      <c r="E538" s="24">
        <v>21</v>
      </c>
      <c r="F538" s="24">
        <v>702.52700000000004</v>
      </c>
      <c r="G538" s="24">
        <v>0.26500000000000001</v>
      </c>
    </row>
    <row r="539" spans="1:7">
      <c r="A539" s="24" t="s">
        <v>483</v>
      </c>
      <c r="B539" s="24">
        <v>4</v>
      </c>
      <c r="C539" s="24">
        <v>13</v>
      </c>
      <c r="D539" s="24" t="s">
        <v>571</v>
      </c>
      <c r="E539" s="24">
        <v>21</v>
      </c>
      <c r="F539" s="24">
        <v>700.49699999999996</v>
      </c>
      <c r="G539" s="24">
        <v>0.32400000000000001</v>
      </c>
    </row>
    <row r="540" spans="1:7">
      <c r="A540" s="24" t="s">
        <v>483</v>
      </c>
      <c r="B540" s="24">
        <v>4</v>
      </c>
      <c r="C540" s="24">
        <v>12</v>
      </c>
      <c r="D540" s="24" t="s">
        <v>572</v>
      </c>
      <c r="E540" s="24">
        <v>27</v>
      </c>
      <c r="F540" s="24">
        <v>701.40200000000004</v>
      </c>
      <c r="G540" s="24">
        <v>0.44600000000000001</v>
      </c>
    </row>
    <row r="541" spans="1:7">
      <c r="A541" s="24" t="s">
        <v>483</v>
      </c>
      <c r="B541" s="24">
        <v>4</v>
      </c>
      <c r="C541" s="24">
        <v>11</v>
      </c>
      <c r="D541" s="24" t="s">
        <v>573</v>
      </c>
      <c r="E541" s="24">
        <v>40</v>
      </c>
      <c r="F541" s="24">
        <v>702.22900000000004</v>
      </c>
      <c r="G541" s="24">
        <v>0.26400000000000001</v>
      </c>
    </row>
    <row r="542" spans="1:7">
      <c r="A542" s="24" t="s">
        <v>483</v>
      </c>
      <c r="B542" s="24">
        <v>4</v>
      </c>
      <c r="C542" s="24">
        <v>10</v>
      </c>
      <c r="D542" s="24" t="s">
        <v>574</v>
      </c>
      <c r="E542" s="24">
        <v>41</v>
      </c>
      <c r="F542" s="24">
        <v>700.71699999999998</v>
      </c>
      <c r="G542" s="24">
        <v>0.27</v>
      </c>
    </row>
    <row r="543" spans="1:7">
      <c r="A543" s="24" t="s">
        <v>483</v>
      </c>
      <c r="B543" s="24">
        <v>4</v>
      </c>
      <c r="C543" s="24">
        <v>9</v>
      </c>
      <c r="D543" s="24" t="s">
        <v>575</v>
      </c>
      <c r="E543" s="24">
        <v>84</v>
      </c>
      <c r="F543" s="24">
        <v>702.32799999999997</v>
      </c>
      <c r="G543" s="24">
        <v>0.29299999999999998</v>
      </c>
    </row>
    <row r="544" spans="1:7">
      <c r="A544" s="24" t="s">
        <v>483</v>
      </c>
      <c r="B544" s="24">
        <v>4</v>
      </c>
      <c r="C544" s="24">
        <v>8</v>
      </c>
      <c r="D544" s="24" t="s">
        <v>576</v>
      </c>
      <c r="E544" s="24">
        <v>39</v>
      </c>
      <c r="F544" s="24">
        <v>700.91</v>
      </c>
      <c r="G544" s="24">
        <v>0.45700000000000002</v>
      </c>
    </row>
    <row r="545" spans="1:7">
      <c r="A545" s="24" t="s">
        <v>483</v>
      </c>
      <c r="B545" s="24">
        <v>4</v>
      </c>
      <c r="C545" s="24">
        <v>7</v>
      </c>
      <c r="D545" s="24" t="s">
        <v>577</v>
      </c>
      <c r="E545" s="24">
        <v>29</v>
      </c>
      <c r="F545" s="24">
        <v>702.452</v>
      </c>
      <c r="G545" s="24">
        <v>0.55000000000000004</v>
      </c>
    </row>
    <row r="546" spans="1:7">
      <c r="A546" s="24" t="s">
        <v>483</v>
      </c>
      <c r="B546" s="24">
        <v>4</v>
      </c>
      <c r="C546" s="24">
        <v>6</v>
      </c>
      <c r="D546" s="24" t="s">
        <v>578</v>
      </c>
      <c r="E546" s="24">
        <v>27</v>
      </c>
      <c r="F546" s="24">
        <v>700.25800000000004</v>
      </c>
      <c r="G546" s="24">
        <v>0.28599999999999998</v>
      </c>
    </row>
    <row r="547" spans="1:7">
      <c r="A547" s="24" t="s">
        <v>483</v>
      </c>
      <c r="B547" s="24">
        <v>4</v>
      </c>
      <c r="C547" s="24">
        <v>5</v>
      </c>
      <c r="D547" s="24" t="s">
        <v>579</v>
      </c>
      <c r="E547" s="24">
        <v>9</v>
      </c>
      <c r="F547" s="24">
        <v>701.90700000000004</v>
      </c>
      <c r="G547" s="24">
        <v>0.193</v>
      </c>
    </row>
    <row r="548" spans="1:7">
      <c r="A548" s="24" t="s">
        <v>483</v>
      </c>
      <c r="B548" s="24">
        <v>4</v>
      </c>
      <c r="C548" s="24">
        <v>4</v>
      </c>
      <c r="D548" s="24" t="s">
        <v>580</v>
      </c>
      <c r="E548" s="24">
        <v>16</v>
      </c>
      <c r="F548" s="24">
        <v>700.88400000000001</v>
      </c>
      <c r="G548" s="24">
        <v>0.39200000000000002</v>
      </c>
    </row>
    <row r="549" spans="1:7">
      <c r="A549" s="24" t="s">
        <v>483</v>
      </c>
      <c r="B549" s="24">
        <v>4</v>
      </c>
      <c r="C549" s="24">
        <v>3</v>
      </c>
      <c r="D549" s="24" t="s">
        <v>581</v>
      </c>
      <c r="E549" s="24">
        <v>45</v>
      </c>
      <c r="F549" s="24">
        <v>701.68399999999997</v>
      </c>
      <c r="G549" s="24">
        <v>0.27200000000000002</v>
      </c>
    </row>
    <row r="550" spans="1:7">
      <c r="A550" s="24" t="s">
        <v>483</v>
      </c>
      <c r="B550" s="24">
        <v>4</v>
      </c>
      <c r="C550" s="24">
        <v>2</v>
      </c>
      <c r="D550" s="24" t="s">
        <v>582</v>
      </c>
      <c r="E550" s="24">
        <v>56</v>
      </c>
      <c r="F550" s="24">
        <v>701.649</v>
      </c>
      <c r="G550" s="24">
        <v>0.314</v>
      </c>
    </row>
    <row r="551" spans="1:7">
      <c r="A551" s="24" t="s">
        <v>483</v>
      </c>
      <c r="B551" s="24">
        <v>4</v>
      </c>
      <c r="C551" s="24">
        <v>1</v>
      </c>
      <c r="D551" s="24" t="s">
        <v>583</v>
      </c>
      <c r="E551" s="24">
        <v>85</v>
      </c>
      <c r="F551" s="24">
        <v>702.02499999999998</v>
      </c>
      <c r="G551" s="24">
        <v>0.28199999999999997</v>
      </c>
    </row>
    <row r="552" spans="1:7">
      <c r="A552" s="24" t="s">
        <v>483</v>
      </c>
      <c r="B552" s="24">
        <v>5</v>
      </c>
      <c r="C552" s="24">
        <v>25</v>
      </c>
      <c r="D552" s="24" t="s">
        <v>584</v>
      </c>
      <c r="E552" s="24">
        <v>14</v>
      </c>
      <c r="F552" s="24">
        <v>701.80799999999999</v>
      </c>
      <c r="G552" s="24">
        <v>0.54400000000000004</v>
      </c>
    </row>
    <row r="553" spans="1:7">
      <c r="A553" s="24" t="s">
        <v>483</v>
      </c>
      <c r="B553" s="24">
        <v>5</v>
      </c>
      <c r="C553" s="24">
        <v>24</v>
      </c>
      <c r="D553" s="24" t="s">
        <v>585</v>
      </c>
      <c r="E553" s="24">
        <v>13</v>
      </c>
      <c r="F553" s="24">
        <v>702.81399999999996</v>
      </c>
      <c r="G553" s="24">
        <v>0.60399999999999998</v>
      </c>
    </row>
    <row r="554" spans="1:7">
      <c r="A554" s="24" t="s">
        <v>483</v>
      </c>
      <c r="B554" s="24">
        <v>5</v>
      </c>
      <c r="C554" s="24">
        <v>23</v>
      </c>
      <c r="D554" s="24" t="s">
        <v>586</v>
      </c>
      <c r="E554" s="24">
        <v>58</v>
      </c>
      <c r="F554" s="24">
        <v>701.95500000000004</v>
      </c>
      <c r="G554" s="24">
        <v>0.26200000000000001</v>
      </c>
    </row>
    <row r="555" spans="1:7">
      <c r="A555" s="24" t="s">
        <v>483</v>
      </c>
      <c r="B555" s="24">
        <v>5</v>
      </c>
      <c r="C555" s="24">
        <v>22</v>
      </c>
      <c r="D555" s="24" t="s">
        <v>587</v>
      </c>
      <c r="E555" s="24">
        <v>93</v>
      </c>
      <c r="F555" s="24">
        <v>702.16</v>
      </c>
      <c r="G555" s="24">
        <v>0.32900000000000001</v>
      </c>
    </row>
    <row r="556" spans="1:7">
      <c r="A556" s="24" t="s">
        <v>483</v>
      </c>
      <c r="B556" s="24">
        <v>5</v>
      </c>
      <c r="C556" s="24">
        <v>21</v>
      </c>
      <c r="D556" s="24" t="s">
        <v>588</v>
      </c>
      <c r="E556" s="24">
        <v>51</v>
      </c>
      <c r="F556" s="24">
        <v>700.99800000000005</v>
      </c>
      <c r="G556" s="24">
        <v>0.316</v>
      </c>
    </row>
    <row r="557" spans="1:7">
      <c r="A557" s="24" t="s">
        <v>483</v>
      </c>
      <c r="B557" s="24">
        <v>5</v>
      </c>
      <c r="C557" s="24">
        <v>20</v>
      </c>
      <c r="D557" s="24" t="s">
        <v>589</v>
      </c>
      <c r="E557" s="24">
        <v>11</v>
      </c>
      <c r="F557" s="24">
        <v>700.7</v>
      </c>
      <c r="G557" s="24">
        <v>0.39700000000000002</v>
      </c>
    </row>
    <row r="558" spans="1:7">
      <c r="A558" s="24" t="s">
        <v>483</v>
      </c>
      <c r="B558" s="24">
        <v>5</v>
      </c>
      <c r="C558" s="24">
        <v>19</v>
      </c>
      <c r="D558" s="24" t="s">
        <v>590</v>
      </c>
      <c r="E558" s="24">
        <v>49</v>
      </c>
      <c r="F558" s="24">
        <v>700.52099999999996</v>
      </c>
      <c r="G558" s="24">
        <v>0.35899999999999999</v>
      </c>
    </row>
    <row r="559" spans="1:7">
      <c r="A559" s="24" t="s">
        <v>483</v>
      </c>
      <c r="B559" s="24">
        <v>5</v>
      </c>
      <c r="C559" s="24">
        <v>18</v>
      </c>
      <c r="D559" s="24" t="s">
        <v>591</v>
      </c>
      <c r="E559" s="24">
        <v>36</v>
      </c>
      <c r="F559" s="24">
        <v>701.28499999999997</v>
      </c>
      <c r="G559" s="24">
        <v>0.36599999999999999</v>
      </c>
    </row>
    <row r="560" spans="1:7">
      <c r="A560" s="24" t="s">
        <v>483</v>
      </c>
      <c r="B560" s="24">
        <v>5</v>
      </c>
      <c r="C560" s="24">
        <v>17</v>
      </c>
      <c r="D560" s="24" t="s">
        <v>592</v>
      </c>
      <c r="E560" s="24">
        <v>11</v>
      </c>
      <c r="F560" s="24">
        <v>700.74199999999996</v>
      </c>
      <c r="G560" s="24">
        <v>0.24199999999999999</v>
      </c>
    </row>
    <row r="561" spans="1:7">
      <c r="A561" s="24" t="s">
        <v>483</v>
      </c>
      <c r="B561" s="24">
        <v>5</v>
      </c>
      <c r="C561" s="24">
        <v>16</v>
      </c>
      <c r="D561" s="24" t="s">
        <v>593</v>
      </c>
      <c r="E561" s="24">
        <v>44</v>
      </c>
      <c r="F561" s="24">
        <v>700.58299999999997</v>
      </c>
      <c r="G561" s="24">
        <v>0.30199999999999999</v>
      </c>
    </row>
    <row r="562" spans="1:7">
      <c r="A562" s="24" t="s">
        <v>483</v>
      </c>
      <c r="B562" s="24">
        <v>5</v>
      </c>
      <c r="C562" s="24">
        <v>15</v>
      </c>
      <c r="D562" s="24" t="s">
        <v>594</v>
      </c>
      <c r="E562" s="24">
        <v>36</v>
      </c>
      <c r="F562" s="24">
        <v>700.84799999999996</v>
      </c>
      <c r="G562" s="24">
        <v>0.33600000000000002</v>
      </c>
    </row>
    <row r="563" spans="1:7">
      <c r="A563" s="24" t="s">
        <v>483</v>
      </c>
      <c r="B563" s="24">
        <v>5</v>
      </c>
      <c r="C563" s="24">
        <v>14</v>
      </c>
      <c r="D563" s="24" t="s">
        <v>595</v>
      </c>
      <c r="E563" s="24">
        <v>41</v>
      </c>
      <c r="F563" s="24">
        <v>703.01199999999994</v>
      </c>
      <c r="G563" s="24">
        <v>0.41699999999999998</v>
      </c>
    </row>
    <row r="564" spans="1:7">
      <c r="A564" s="24" t="s">
        <v>483</v>
      </c>
      <c r="B564" s="24">
        <v>5</v>
      </c>
      <c r="C564" s="24">
        <v>13</v>
      </c>
      <c r="D564" s="24" t="s">
        <v>596</v>
      </c>
      <c r="E564" s="24">
        <v>53</v>
      </c>
      <c r="F564" s="24">
        <v>701.46</v>
      </c>
      <c r="G564" s="24">
        <v>0.52500000000000002</v>
      </c>
    </row>
    <row r="565" spans="1:7">
      <c r="A565" s="24" t="s">
        <v>483</v>
      </c>
      <c r="B565" s="24">
        <v>5</v>
      </c>
      <c r="C565" s="24">
        <v>12</v>
      </c>
      <c r="D565" s="24" t="s">
        <v>597</v>
      </c>
      <c r="E565" s="24">
        <v>20</v>
      </c>
      <c r="F565" s="24">
        <v>701.16200000000003</v>
      </c>
      <c r="G565" s="24">
        <v>0.46500000000000002</v>
      </c>
    </row>
    <row r="566" spans="1:7">
      <c r="A566" s="24" t="s">
        <v>483</v>
      </c>
      <c r="B566" s="24">
        <v>5</v>
      </c>
      <c r="C566" s="24">
        <v>11</v>
      </c>
      <c r="D566" s="24" t="s">
        <v>598</v>
      </c>
      <c r="E566" s="24">
        <v>55</v>
      </c>
      <c r="F566" s="24">
        <v>700.94500000000005</v>
      </c>
      <c r="G566" s="24">
        <v>0.48199999999999998</v>
      </c>
    </row>
    <row r="567" spans="1:7">
      <c r="A567" s="24" t="s">
        <v>483</v>
      </c>
      <c r="B567" s="24">
        <v>5</v>
      </c>
      <c r="C567" s="24">
        <v>10</v>
      </c>
      <c r="D567" s="24" t="s">
        <v>599</v>
      </c>
      <c r="E567" s="24">
        <v>40</v>
      </c>
      <c r="F567" s="24">
        <v>700.745</v>
      </c>
      <c r="G567" s="24">
        <v>0.38300000000000001</v>
      </c>
    </row>
    <row r="568" spans="1:7">
      <c r="A568" s="24" t="s">
        <v>483</v>
      </c>
      <c r="B568" s="24">
        <v>5</v>
      </c>
      <c r="C568" s="24">
        <v>9</v>
      </c>
      <c r="D568" s="24" t="s">
        <v>600</v>
      </c>
      <c r="E568" s="24">
        <v>71</v>
      </c>
      <c r="F568" s="24">
        <v>702.37599999999998</v>
      </c>
      <c r="G568" s="24">
        <v>0.41499999999999998</v>
      </c>
    </row>
    <row r="569" spans="1:7">
      <c r="A569" s="24" t="s">
        <v>483</v>
      </c>
      <c r="B569" s="24">
        <v>5</v>
      </c>
      <c r="C569" s="24">
        <v>8</v>
      </c>
      <c r="D569" s="24" t="s">
        <v>601</v>
      </c>
      <c r="E569" s="24">
        <v>20</v>
      </c>
      <c r="F569" s="24">
        <v>701.02599999999995</v>
      </c>
      <c r="G569" s="24">
        <v>0.26300000000000001</v>
      </c>
    </row>
    <row r="570" spans="1:7">
      <c r="A570" s="24" t="s">
        <v>483</v>
      </c>
      <c r="B570" s="24">
        <v>5</v>
      </c>
      <c r="C570" s="24">
        <v>7</v>
      </c>
      <c r="D570" s="24" t="s">
        <v>602</v>
      </c>
      <c r="E570" s="24">
        <v>14</v>
      </c>
      <c r="F570" s="24">
        <v>701.56</v>
      </c>
      <c r="G570" s="24">
        <v>0.19500000000000001</v>
      </c>
    </row>
    <row r="571" spans="1:7">
      <c r="A571" s="24" t="s">
        <v>483</v>
      </c>
      <c r="B571" s="24">
        <v>5</v>
      </c>
      <c r="C571" s="24">
        <v>6</v>
      </c>
      <c r="D571" s="24" t="s">
        <v>603</v>
      </c>
      <c r="E571" s="24">
        <v>25</v>
      </c>
      <c r="F571" s="24">
        <v>701.17899999999997</v>
      </c>
      <c r="G571" s="24">
        <v>0.39300000000000002</v>
      </c>
    </row>
    <row r="572" spans="1:7">
      <c r="A572" s="24" t="s">
        <v>483</v>
      </c>
      <c r="B572" s="24">
        <v>5</v>
      </c>
      <c r="C572" s="24">
        <v>5</v>
      </c>
      <c r="D572" s="24" t="s">
        <v>604</v>
      </c>
      <c r="E572" s="24">
        <v>16</v>
      </c>
      <c r="F572" s="24">
        <v>699.73599999999999</v>
      </c>
      <c r="G572" s="24">
        <v>0.437</v>
      </c>
    </row>
    <row r="573" spans="1:7">
      <c r="A573" s="24" t="s">
        <v>483</v>
      </c>
      <c r="B573" s="24">
        <v>5</v>
      </c>
      <c r="C573" s="24">
        <v>4</v>
      </c>
      <c r="D573" s="24" t="s">
        <v>605</v>
      </c>
      <c r="E573" s="24">
        <v>53</v>
      </c>
      <c r="F573" s="24">
        <v>698.90800000000002</v>
      </c>
      <c r="G573" s="24">
        <v>0.26900000000000002</v>
      </c>
    </row>
    <row r="574" spans="1:7">
      <c r="A574" s="24" t="s">
        <v>483</v>
      </c>
      <c r="B574" s="24">
        <v>5</v>
      </c>
      <c r="C574" s="24">
        <v>3</v>
      </c>
      <c r="D574" s="24" t="s">
        <v>606</v>
      </c>
      <c r="E574" s="24">
        <v>43</v>
      </c>
      <c r="F574" s="24">
        <v>699.31100000000004</v>
      </c>
      <c r="G574" s="24">
        <v>0.318</v>
      </c>
    </row>
    <row r="575" spans="1:7">
      <c r="A575" s="24" t="s">
        <v>483</v>
      </c>
      <c r="B575" s="24">
        <v>5</v>
      </c>
      <c r="C575" s="24">
        <v>2</v>
      </c>
      <c r="D575" s="24" t="s">
        <v>607</v>
      </c>
      <c r="E575" s="24">
        <v>77</v>
      </c>
      <c r="F575" s="24">
        <v>699.03499999999997</v>
      </c>
      <c r="G575" s="24">
        <v>0.33200000000000002</v>
      </c>
    </row>
    <row r="576" spans="1:7">
      <c r="A576" s="24" t="s">
        <v>483</v>
      </c>
      <c r="B576" s="24">
        <v>5</v>
      </c>
      <c r="C576" s="24">
        <v>1</v>
      </c>
      <c r="D576" s="24" t="s">
        <v>608</v>
      </c>
      <c r="E576" s="24">
        <v>9</v>
      </c>
      <c r="F576" s="24">
        <v>699.75199999999995</v>
      </c>
      <c r="G576" s="24">
        <v>0.47899999999999998</v>
      </c>
    </row>
    <row r="577" spans="1:7">
      <c r="A577" s="24" t="s">
        <v>483</v>
      </c>
      <c r="B577" s="24">
        <v>6</v>
      </c>
      <c r="C577" s="24">
        <v>25</v>
      </c>
      <c r="D577" s="24" t="s">
        <v>609</v>
      </c>
      <c r="E577" s="24">
        <v>50</v>
      </c>
      <c r="F577" s="24">
        <v>701.08900000000006</v>
      </c>
      <c r="G577" s="24">
        <v>0.32100000000000001</v>
      </c>
    </row>
    <row r="578" spans="1:7">
      <c r="A578" s="24" t="s">
        <v>483</v>
      </c>
      <c r="B578" s="24">
        <v>6</v>
      </c>
      <c r="C578" s="24">
        <v>24</v>
      </c>
      <c r="D578" s="24" t="s">
        <v>610</v>
      </c>
      <c r="E578" s="24">
        <v>41</v>
      </c>
      <c r="F578" s="24">
        <v>700.74199999999996</v>
      </c>
      <c r="G578" s="24">
        <v>0.624</v>
      </c>
    </row>
    <row r="579" spans="1:7">
      <c r="A579" s="24" t="s">
        <v>483</v>
      </c>
      <c r="B579" s="24">
        <v>6</v>
      </c>
      <c r="C579" s="24">
        <v>23</v>
      </c>
      <c r="D579" s="24" t="s">
        <v>611</v>
      </c>
      <c r="E579" s="24">
        <v>20</v>
      </c>
      <c r="F579" s="24">
        <v>700.89400000000001</v>
      </c>
      <c r="G579" s="24">
        <v>0.52900000000000003</v>
      </c>
    </row>
    <row r="580" spans="1:7">
      <c r="A580" s="24" t="s">
        <v>483</v>
      </c>
      <c r="B580" s="24">
        <v>6</v>
      </c>
      <c r="C580" s="24">
        <v>22</v>
      </c>
      <c r="D580" s="24" t="s">
        <v>612</v>
      </c>
      <c r="E580" s="24">
        <v>17</v>
      </c>
      <c r="F580" s="24">
        <v>699.07100000000003</v>
      </c>
      <c r="G580" s="24">
        <v>0.34799999999999998</v>
      </c>
    </row>
    <row r="581" spans="1:7">
      <c r="A581" s="24" t="s">
        <v>483</v>
      </c>
      <c r="B581" s="24">
        <v>6</v>
      </c>
      <c r="C581" s="24">
        <v>21</v>
      </c>
      <c r="D581" s="24" t="s">
        <v>613</v>
      </c>
      <c r="E581" s="24">
        <v>39</v>
      </c>
      <c r="F581" s="24">
        <v>702.22500000000002</v>
      </c>
      <c r="G581" s="24">
        <v>0.27400000000000002</v>
      </c>
    </row>
    <row r="582" spans="1:7">
      <c r="A582" s="24" t="s">
        <v>483</v>
      </c>
      <c r="B582" s="24">
        <v>6</v>
      </c>
      <c r="C582" s="24">
        <v>20</v>
      </c>
      <c r="D582" s="24" t="s">
        <v>614</v>
      </c>
      <c r="E582" s="24">
        <v>55</v>
      </c>
      <c r="F582" s="24">
        <v>701.71199999999999</v>
      </c>
      <c r="G582" s="24">
        <v>0.311</v>
      </c>
    </row>
    <row r="583" spans="1:7">
      <c r="A583" s="24" t="s">
        <v>483</v>
      </c>
      <c r="B583" s="24">
        <v>6</v>
      </c>
      <c r="C583" s="24">
        <v>19</v>
      </c>
      <c r="D583" s="24" t="s">
        <v>615</v>
      </c>
      <c r="E583" s="24">
        <v>9</v>
      </c>
      <c r="F583" s="24">
        <v>702.41200000000003</v>
      </c>
      <c r="G583" s="24">
        <v>0.40300000000000002</v>
      </c>
    </row>
    <row r="584" spans="1:7">
      <c r="A584" s="24" t="s">
        <v>483</v>
      </c>
      <c r="B584" s="24">
        <v>6</v>
      </c>
      <c r="C584" s="24">
        <v>18</v>
      </c>
      <c r="D584" s="24" t="s">
        <v>616</v>
      </c>
      <c r="E584" s="24">
        <v>9</v>
      </c>
      <c r="F584" s="24">
        <v>699.49199999999996</v>
      </c>
      <c r="G584" s="24">
        <v>0.40899999999999997</v>
      </c>
    </row>
    <row r="585" spans="1:7">
      <c r="A585" s="24" t="s">
        <v>483</v>
      </c>
      <c r="B585" s="24">
        <v>6</v>
      </c>
      <c r="C585" s="24">
        <v>17</v>
      </c>
      <c r="D585" s="24" t="s">
        <v>617</v>
      </c>
      <c r="E585" s="24">
        <v>14</v>
      </c>
      <c r="F585" s="24">
        <v>701.16700000000003</v>
      </c>
      <c r="G585" s="24">
        <v>0.47599999999999998</v>
      </c>
    </row>
    <row r="586" spans="1:7">
      <c r="A586" s="24" t="s">
        <v>483</v>
      </c>
      <c r="B586" s="24">
        <v>6</v>
      </c>
      <c r="C586" s="24">
        <v>16</v>
      </c>
      <c r="D586" s="24" t="s">
        <v>618</v>
      </c>
      <c r="E586" s="24">
        <v>9</v>
      </c>
      <c r="F586" s="24">
        <v>701.31600000000003</v>
      </c>
      <c r="G586" s="24">
        <v>0.55900000000000005</v>
      </c>
    </row>
    <row r="587" spans="1:7">
      <c r="A587" s="24" t="s">
        <v>483</v>
      </c>
      <c r="B587" s="24">
        <v>6</v>
      </c>
      <c r="C587" s="24">
        <v>15</v>
      </c>
      <c r="D587" s="24" t="s">
        <v>619</v>
      </c>
      <c r="E587" s="24">
        <v>25</v>
      </c>
      <c r="F587" s="24">
        <v>700.65099999999995</v>
      </c>
      <c r="G587" s="24">
        <v>0.14199999999999999</v>
      </c>
    </row>
    <row r="588" spans="1:7">
      <c r="A588" s="24" t="s">
        <v>483</v>
      </c>
      <c r="B588" s="24">
        <v>6</v>
      </c>
      <c r="C588" s="24">
        <v>14</v>
      </c>
      <c r="D588" s="24" t="s">
        <v>620</v>
      </c>
      <c r="E588" s="24">
        <v>19</v>
      </c>
      <c r="F588" s="24">
        <v>703.48099999999999</v>
      </c>
      <c r="G588" s="24">
        <v>0.33900000000000002</v>
      </c>
    </row>
    <row r="589" spans="1:7">
      <c r="A589" s="24" t="s">
        <v>483</v>
      </c>
      <c r="B589" s="24">
        <v>6</v>
      </c>
      <c r="C589" s="24">
        <v>13</v>
      </c>
      <c r="D589" s="24" t="s">
        <v>621</v>
      </c>
      <c r="E589" s="24">
        <v>15</v>
      </c>
      <c r="F589" s="24">
        <v>702.93</v>
      </c>
      <c r="G589" s="24">
        <v>0.30199999999999999</v>
      </c>
    </row>
    <row r="590" spans="1:7">
      <c r="A590" s="24" t="s">
        <v>483</v>
      </c>
      <c r="B590" s="24">
        <v>6</v>
      </c>
      <c r="C590" s="24">
        <v>12</v>
      </c>
      <c r="D590" s="24" t="s">
        <v>622</v>
      </c>
      <c r="E590" s="24">
        <v>27</v>
      </c>
      <c r="F590" s="24">
        <v>700.78899999999999</v>
      </c>
      <c r="G590" s="24">
        <v>0.20399999999999999</v>
      </c>
    </row>
    <row r="591" spans="1:7">
      <c r="A591" s="24" t="s">
        <v>483</v>
      </c>
      <c r="B591" s="24">
        <v>6</v>
      </c>
      <c r="C591" s="24">
        <v>11</v>
      </c>
      <c r="D591" s="24" t="s">
        <v>623</v>
      </c>
      <c r="E591" s="24">
        <v>31</v>
      </c>
      <c r="F591" s="24">
        <v>700.99699999999996</v>
      </c>
      <c r="G591" s="24">
        <v>0.25700000000000001</v>
      </c>
    </row>
    <row r="592" spans="1:7">
      <c r="A592" s="24" t="s">
        <v>483</v>
      </c>
      <c r="B592" s="24">
        <v>6</v>
      </c>
      <c r="C592" s="24">
        <v>10</v>
      </c>
      <c r="D592" s="24" t="s">
        <v>624</v>
      </c>
      <c r="E592" s="24">
        <v>38</v>
      </c>
      <c r="F592" s="24">
        <v>701.21900000000005</v>
      </c>
      <c r="G592" s="24">
        <v>0.29799999999999999</v>
      </c>
    </row>
    <row r="593" spans="1:7">
      <c r="A593" s="24" t="s">
        <v>483</v>
      </c>
      <c r="B593" s="24">
        <v>6</v>
      </c>
      <c r="C593" s="24">
        <v>9</v>
      </c>
      <c r="D593" s="24" t="s">
        <v>625</v>
      </c>
      <c r="E593" s="24">
        <v>24</v>
      </c>
      <c r="F593" s="24">
        <v>701.00900000000001</v>
      </c>
      <c r="G593" s="24">
        <v>0.26</v>
      </c>
    </row>
    <row r="594" spans="1:7">
      <c r="A594" s="24" t="s">
        <v>483</v>
      </c>
      <c r="B594" s="24">
        <v>6</v>
      </c>
      <c r="C594" s="24">
        <v>8</v>
      </c>
      <c r="D594" s="24" t="s">
        <v>626</v>
      </c>
      <c r="E594" s="24">
        <v>45</v>
      </c>
      <c r="F594" s="24">
        <v>701.31</v>
      </c>
      <c r="G594" s="24">
        <v>0.34599999999999997</v>
      </c>
    </row>
    <row r="595" spans="1:7">
      <c r="A595" s="24" t="s">
        <v>483</v>
      </c>
      <c r="B595" s="24">
        <v>6</v>
      </c>
      <c r="C595" s="24">
        <v>7</v>
      </c>
      <c r="D595" s="24" t="s">
        <v>627</v>
      </c>
      <c r="E595" s="24">
        <v>9</v>
      </c>
      <c r="F595" s="24">
        <v>700.755</v>
      </c>
      <c r="G595" s="24">
        <v>0.312</v>
      </c>
    </row>
    <row r="596" spans="1:7">
      <c r="A596" s="24" t="s">
        <v>483</v>
      </c>
      <c r="B596" s="24">
        <v>6</v>
      </c>
      <c r="C596" s="24">
        <v>6</v>
      </c>
      <c r="D596" s="24" t="s">
        <v>628</v>
      </c>
      <c r="E596" s="24">
        <v>28</v>
      </c>
      <c r="F596" s="24">
        <v>702.03899999999999</v>
      </c>
      <c r="G596" s="24">
        <v>0.41799999999999998</v>
      </c>
    </row>
    <row r="597" spans="1:7">
      <c r="A597" s="24" t="s">
        <v>483</v>
      </c>
      <c r="B597" s="24">
        <v>6</v>
      </c>
      <c r="C597" s="24">
        <v>5</v>
      </c>
      <c r="D597" s="24" t="s">
        <v>629</v>
      </c>
      <c r="E597" s="24">
        <v>25</v>
      </c>
      <c r="F597" s="24">
        <v>700.298</v>
      </c>
      <c r="G597" s="24">
        <v>0.46100000000000002</v>
      </c>
    </row>
    <row r="598" spans="1:7">
      <c r="A598" s="24" t="s">
        <v>483</v>
      </c>
      <c r="B598" s="24">
        <v>6</v>
      </c>
      <c r="C598" s="24">
        <v>4</v>
      </c>
      <c r="D598" s="24" t="s">
        <v>630</v>
      </c>
      <c r="E598" s="24">
        <v>33</v>
      </c>
      <c r="F598" s="24">
        <v>701.04300000000001</v>
      </c>
      <c r="G598" s="24">
        <v>0.41699999999999998</v>
      </c>
    </row>
    <row r="599" spans="1:7">
      <c r="A599" s="24" t="s">
        <v>483</v>
      </c>
      <c r="B599" s="24">
        <v>6</v>
      </c>
      <c r="C599" s="24">
        <v>3</v>
      </c>
      <c r="D599" s="24" t="s">
        <v>631</v>
      </c>
      <c r="E599" s="24">
        <v>36</v>
      </c>
      <c r="F599" s="24">
        <v>700.08199999999999</v>
      </c>
      <c r="G599" s="24">
        <v>0.39400000000000002</v>
      </c>
    </row>
    <row r="600" spans="1:7">
      <c r="A600" s="24" t="s">
        <v>483</v>
      </c>
      <c r="B600" s="24">
        <v>6</v>
      </c>
      <c r="C600" s="24">
        <v>2</v>
      </c>
      <c r="D600" s="24" t="s">
        <v>632</v>
      </c>
      <c r="E600" s="24">
        <v>33</v>
      </c>
      <c r="F600" s="24">
        <v>701.78599999999994</v>
      </c>
      <c r="G600" s="24">
        <v>0.223</v>
      </c>
    </row>
    <row r="601" spans="1:7">
      <c r="A601" s="24" t="s">
        <v>483</v>
      </c>
      <c r="B601" s="24">
        <v>6</v>
      </c>
      <c r="C601" s="24">
        <v>1</v>
      </c>
      <c r="D601" s="24" t="s">
        <v>633</v>
      </c>
      <c r="E601" s="24">
        <v>18</v>
      </c>
      <c r="F601" s="24">
        <v>701.55</v>
      </c>
      <c r="G601" s="24">
        <v>0.44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0"/>
  <sheetViews>
    <sheetView workbookViewId="0">
      <pane ySplit="10" topLeftCell="A74" activePane="bottomLeft" state="frozen"/>
      <selection pane="bottomLeft" activeCell="E9" sqref="E9"/>
    </sheetView>
  </sheetViews>
  <sheetFormatPr defaultRowHeight="15.75"/>
  <cols>
    <col min="1" max="17" width="18" customWidth="1"/>
  </cols>
  <sheetData>
    <row r="1" spans="1:17" ht="21">
      <c r="A1" s="17" t="s">
        <v>634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20" t="s">
        <v>635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>
      <c r="A5" s="7" t="s">
        <v>5</v>
      </c>
      <c r="B5" s="9">
        <f>Settings!C4</f>
        <v>300</v>
      </c>
      <c r="C5" s="7" t="s">
        <v>4</v>
      </c>
      <c r="D5" s="9">
        <f>Settings!B4</f>
        <v>0</v>
      </c>
      <c r="E5" s="7" t="s">
        <v>636</v>
      </c>
      <c r="F5" s="8">
        <f>SUM(B11:B610)/SUM(C11:C610)</f>
        <v>23.186666666666667</v>
      </c>
      <c r="H5" s="7" t="s">
        <v>637</v>
      </c>
      <c r="I5" s="10">
        <f>COUNTIF(M11:M610,"Y")</f>
        <v>108</v>
      </c>
    </row>
    <row r="6" spans="1:17">
      <c r="E6" s="7" t="s">
        <v>638</v>
      </c>
      <c r="F6" s="8">
        <f>_xlfn.STDEV.S(H11:H610)</f>
        <v>3.119674929235714</v>
      </c>
      <c r="H6" s="7" t="s">
        <v>639</v>
      </c>
      <c r="I6" s="10">
        <f>COUNTIF(N11:N610,"Y")</f>
        <v>11</v>
      </c>
    </row>
    <row r="7" spans="1:17">
      <c r="E7" s="7" t="s">
        <v>640</v>
      </c>
      <c r="F7" s="8">
        <f>AVERAGE(O12:O610)</f>
        <v>10.409015025041736</v>
      </c>
      <c r="H7" s="7" t="s">
        <v>641</v>
      </c>
      <c r="I7" s="9" t="str">
        <f>IF(I5=0,"In Control","Out of Control")</f>
        <v>Out of Control</v>
      </c>
    </row>
    <row r="8" spans="1:17">
      <c r="E8" s="7" t="s">
        <v>642</v>
      </c>
      <c r="F8" s="8">
        <f>F7/1.128</f>
        <v>9.2278501995050863</v>
      </c>
      <c r="H8" s="7" t="s">
        <v>643</v>
      </c>
      <c r="I8" s="9" t="str">
        <f>IF(I6=0,"In Control","Out of Control")</f>
        <v>Out of Control</v>
      </c>
    </row>
    <row r="9" spans="1:17" s="6" customFormat="1">
      <c r="E9" s="1" t="s">
        <v>648</v>
      </c>
      <c r="F9" s="5">
        <f>(B5-F5)/(3*F8)</f>
        <v>9.9991990676289753</v>
      </c>
      <c r="H9" s="7"/>
      <c r="I9" s="9"/>
    </row>
    <row r="10" spans="1:17">
      <c r="A10" s="1" t="s">
        <v>644</v>
      </c>
      <c r="B10" s="1" t="s">
        <v>645</v>
      </c>
      <c r="C10" s="1" t="s">
        <v>646</v>
      </c>
      <c r="D10" s="1" t="s">
        <v>647</v>
      </c>
      <c r="E10" s="1"/>
      <c r="F10" s="1"/>
      <c r="G10" s="1" t="s">
        <v>649</v>
      </c>
      <c r="H10" s="1" t="s">
        <v>650</v>
      </c>
      <c r="I10" s="1" t="s">
        <v>638</v>
      </c>
      <c r="J10" s="1" t="s">
        <v>651</v>
      </c>
      <c r="K10" s="1" t="s">
        <v>652</v>
      </c>
      <c r="L10" s="1" t="s">
        <v>653</v>
      </c>
      <c r="M10" s="1" t="s">
        <v>637</v>
      </c>
      <c r="N10" s="1" t="s">
        <v>639</v>
      </c>
      <c r="O10" s="1" t="s">
        <v>654</v>
      </c>
    </row>
    <row r="11" spans="1:17">
      <c r="A11" s="27">
        <v>1</v>
      </c>
      <c r="B11" s="27">
        <v>9</v>
      </c>
      <c r="C11" s="27">
        <v>1</v>
      </c>
      <c r="D11" s="28">
        <f t="shared" ref="D11:D74" si="0">IF(C11=0,"",B11/C11)</f>
        <v>9</v>
      </c>
      <c r="E11" s="29">
        <f t="shared" ref="E11:E74" si="1">IF(C11=0,"",$F$5+3*SQRT($F$5/C11))</f>
        <v>37.632427290462147</v>
      </c>
      <c r="F11" s="28">
        <f t="shared" ref="F11:F74" si="2">$F$5</f>
        <v>23.186666666666667</v>
      </c>
      <c r="G11" s="28">
        <f t="shared" ref="G11:G74" si="3">IF(C11=0,"",MAX(0,$F$5-3*SQRT($F$5/C11)))</f>
        <v>8.7409060428711882</v>
      </c>
      <c r="H11" s="28">
        <f t="shared" ref="H11:H74" si="4">IF(C11=0,"",(D11-$F$5)/SQRT($F$5/C11))</f>
        <v>-2.9461930810271024</v>
      </c>
      <c r="I11" s="28">
        <f t="shared" ref="I11:I74" si="5">$F$6</f>
        <v>3.119674929235714</v>
      </c>
      <c r="J11" s="28">
        <f t="shared" ref="J11:J74" si="6">IF(C11=0,"",$F$5+3*$F$6*SQRT($F$5/C11))</f>
        <v>68.252743918461903</v>
      </c>
      <c r="K11" s="28">
        <f t="shared" ref="K11:K74" si="7">$F$5</f>
        <v>23.186666666666667</v>
      </c>
      <c r="L11" s="28">
        <f t="shared" ref="L11:L74" si="8">IF(C11=0,"",MAX(0,$F$5-3*$F$6*SQRT($F$5/C11)))</f>
        <v>0</v>
      </c>
      <c r="M11" s="2" t="str">
        <f t="shared" ref="M11:M74" si="9">IF(OR(D11&gt;E11,D11&lt;G11),"Y","")</f>
        <v/>
      </c>
      <c r="N11" s="2" t="str">
        <f t="shared" ref="N11:N74" si="10">IF(OR(D11&gt;J11,D11&lt;L11),"Y","")</f>
        <v/>
      </c>
      <c r="O11" s="2"/>
    </row>
    <row r="12" spans="1:17">
      <c r="A12" s="27">
        <v>2</v>
      </c>
      <c r="B12" s="27">
        <v>29</v>
      </c>
      <c r="C12" s="27">
        <v>1</v>
      </c>
      <c r="D12" s="28">
        <f t="shared" si="0"/>
        <v>29</v>
      </c>
      <c r="E12" s="28">
        <f t="shared" si="1"/>
        <v>37.632427290462147</v>
      </c>
      <c r="F12" s="28">
        <f t="shared" si="2"/>
        <v>23.186666666666667</v>
      </c>
      <c r="G12" s="28">
        <f t="shared" si="3"/>
        <v>8.7409060428711882</v>
      </c>
      <c r="H12" s="28">
        <f t="shared" si="4"/>
        <v>1.2072746083908048</v>
      </c>
      <c r="I12" s="28">
        <f t="shared" si="5"/>
        <v>3.119674929235714</v>
      </c>
      <c r="J12" s="28">
        <f t="shared" si="6"/>
        <v>68.252743918461903</v>
      </c>
      <c r="K12" s="28">
        <f t="shared" si="7"/>
        <v>23.186666666666667</v>
      </c>
      <c r="L12" s="28">
        <f t="shared" si="8"/>
        <v>0</v>
      </c>
      <c r="M12" s="2" t="str">
        <f t="shared" si="9"/>
        <v/>
      </c>
      <c r="N12" s="2" t="str">
        <f t="shared" si="10"/>
        <v/>
      </c>
      <c r="O12" s="2">
        <f t="shared" ref="O12:O75" si="11">ABS(D12-D11)</f>
        <v>20</v>
      </c>
    </row>
    <row r="13" spans="1:17">
      <c r="A13" s="27">
        <v>3</v>
      </c>
      <c r="B13" s="27">
        <v>29</v>
      </c>
      <c r="C13" s="27">
        <v>1</v>
      </c>
      <c r="D13" s="28">
        <f t="shared" si="0"/>
        <v>29</v>
      </c>
      <c r="E13" s="28">
        <f t="shared" si="1"/>
        <v>37.632427290462147</v>
      </c>
      <c r="F13" s="28">
        <f t="shared" si="2"/>
        <v>23.186666666666667</v>
      </c>
      <c r="G13" s="28">
        <f t="shared" si="3"/>
        <v>8.7409060428711882</v>
      </c>
      <c r="H13" s="28">
        <f t="shared" si="4"/>
        <v>1.2072746083908048</v>
      </c>
      <c r="I13" s="28">
        <f t="shared" si="5"/>
        <v>3.119674929235714</v>
      </c>
      <c r="J13" s="28">
        <f t="shared" si="6"/>
        <v>68.252743918461903</v>
      </c>
      <c r="K13" s="28">
        <f t="shared" si="7"/>
        <v>23.186666666666667</v>
      </c>
      <c r="L13" s="28">
        <f t="shared" si="8"/>
        <v>0</v>
      </c>
      <c r="M13" s="2" t="str">
        <f t="shared" si="9"/>
        <v/>
      </c>
      <c r="N13" s="2" t="str">
        <f t="shared" si="10"/>
        <v/>
      </c>
      <c r="O13" s="2">
        <f t="shared" si="11"/>
        <v>0</v>
      </c>
    </row>
    <row r="14" spans="1:17">
      <c r="A14" s="27">
        <v>4</v>
      </c>
      <c r="B14" s="27">
        <v>21</v>
      </c>
      <c r="C14" s="27">
        <v>1</v>
      </c>
      <c r="D14" s="28">
        <f t="shared" si="0"/>
        <v>21</v>
      </c>
      <c r="E14" s="28">
        <f t="shared" si="1"/>
        <v>37.632427290462147</v>
      </c>
      <c r="F14" s="28">
        <f t="shared" si="2"/>
        <v>23.186666666666667</v>
      </c>
      <c r="G14" s="28">
        <f t="shared" si="3"/>
        <v>8.7409060428711882</v>
      </c>
      <c r="H14" s="28">
        <f t="shared" si="4"/>
        <v>-0.45411246737635802</v>
      </c>
      <c r="I14" s="28">
        <f t="shared" si="5"/>
        <v>3.119674929235714</v>
      </c>
      <c r="J14" s="28">
        <f t="shared" si="6"/>
        <v>68.252743918461903</v>
      </c>
      <c r="K14" s="28">
        <f t="shared" si="7"/>
        <v>23.186666666666667</v>
      </c>
      <c r="L14" s="28">
        <f t="shared" si="8"/>
        <v>0</v>
      </c>
      <c r="M14" s="2" t="str">
        <f t="shared" si="9"/>
        <v/>
      </c>
      <c r="N14" s="2" t="str">
        <f t="shared" si="10"/>
        <v/>
      </c>
      <c r="O14" s="2">
        <f t="shared" si="11"/>
        <v>8</v>
      </c>
    </row>
    <row r="15" spans="1:17">
      <c r="A15" s="27">
        <v>5</v>
      </c>
      <c r="B15" s="27">
        <v>38</v>
      </c>
      <c r="C15" s="27">
        <v>1</v>
      </c>
      <c r="D15" s="28">
        <f t="shared" si="0"/>
        <v>38</v>
      </c>
      <c r="E15" s="28">
        <f t="shared" si="1"/>
        <v>37.632427290462147</v>
      </c>
      <c r="F15" s="28">
        <f t="shared" si="2"/>
        <v>23.186666666666667</v>
      </c>
      <c r="G15" s="28">
        <f t="shared" si="3"/>
        <v>8.7409060428711882</v>
      </c>
      <c r="H15" s="28">
        <f t="shared" si="4"/>
        <v>3.0763350686288633</v>
      </c>
      <c r="I15" s="28">
        <f t="shared" si="5"/>
        <v>3.119674929235714</v>
      </c>
      <c r="J15" s="28">
        <f t="shared" si="6"/>
        <v>68.252743918461903</v>
      </c>
      <c r="K15" s="28">
        <f t="shared" si="7"/>
        <v>23.186666666666667</v>
      </c>
      <c r="L15" s="28">
        <f t="shared" si="8"/>
        <v>0</v>
      </c>
      <c r="M15" s="2" t="str">
        <f t="shared" si="9"/>
        <v>Y</v>
      </c>
      <c r="N15" s="2" t="str">
        <f t="shared" si="10"/>
        <v/>
      </c>
      <c r="O15" s="2">
        <f t="shared" si="11"/>
        <v>17</v>
      </c>
    </row>
    <row r="16" spans="1:17">
      <c r="A16" s="27">
        <v>6</v>
      </c>
      <c r="B16" s="27">
        <v>15</v>
      </c>
      <c r="C16" s="27">
        <v>1</v>
      </c>
      <c r="D16" s="28">
        <f t="shared" si="0"/>
        <v>15</v>
      </c>
      <c r="E16" s="28">
        <f t="shared" si="1"/>
        <v>37.632427290462147</v>
      </c>
      <c r="F16" s="28">
        <f t="shared" si="2"/>
        <v>23.186666666666667</v>
      </c>
      <c r="G16" s="28">
        <f t="shared" si="3"/>
        <v>8.7409060428711882</v>
      </c>
      <c r="H16" s="28">
        <f t="shared" si="4"/>
        <v>-1.7001527742017302</v>
      </c>
      <c r="I16" s="28">
        <f t="shared" si="5"/>
        <v>3.119674929235714</v>
      </c>
      <c r="J16" s="28">
        <f t="shared" si="6"/>
        <v>68.252743918461903</v>
      </c>
      <c r="K16" s="28">
        <f t="shared" si="7"/>
        <v>23.186666666666667</v>
      </c>
      <c r="L16" s="28">
        <f t="shared" si="8"/>
        <v>0</v>
      </c>
      <c r="M16" s="2" t="str">
        <f t="shared" si="9"/>
        <v/>
      </c>
      <c r="N16" s="2" t="str">
        <f t="shared" si="10"/>
        <v/>
      </c>
      <c r="O16" s="2">
        <f t="shared" si="11"/>
        <v>23</v>
      </c>
    </row>
    <row r="17" spans="1:15">
      <c r="A17" s="27">
        <v>7</v>
      </c>
      <c r="B17" s="27">
        <v>15</v>
      </c>
      <c r="C17" s="27">
        <v>1</v>
      </c>
      <c r="D17" s="28">
        <f t="shared" si="0"/>
        <v>15</v>
      </c>
      <c r="E17" s="28">
        <f t="shared" si="1"/>
        <v>37.632427290462147</v>
      </c>
      <c r="F17" s="28">
        <f t="shared" si="2"/>
        <v>23.186666666666667</v>
      </c>
      <c r="G17" s="28">
        <f t="shared" si="3"/>
        <v>8.7409060428711882</v>
      </c>
      <c r="H17" s="28">
        <f t="shared" si="4"/>
        <v>-1.7001527742017302</v>
      </c>
      <c r="I17" s="28">
        <f t="shared" si="5"/>
        <v>3.119674929235714</v>
      </c>
      <c r="J17" s="28">
        <f t="shared" si="6"/>
        <v>68.252743918461903</v>
      </c>
      <c r="K17" s="28">
        <f t="shared" si="7"/>
        <v>23.186666666666667</v>
      </c>
      <c r="L17" s="28">
        <f t="shared" si="8"/>
        <v>0</v>
      </c>
      <c r="M17" s="2" t="str">
        <f t="shared" si="9"/>
        <v/>
      </c>
      <c r="N17" s="2" t="str">
        <f t="shared" si="10"/>
        <v/>
      </c>
      <c r="O17" s="2">
        <f t="shared" si="11"/>
        <v>0</v>
      </c>
    </row>
    <row r="18" spans="1:15">
      <c r="A18" s="27">
        <v>8</v>
      </c>
      <c r="B18" s="27">
        <v>8</v>
      </c>
      <c r="C18" s="27">
        <v>1</v>
      </c>
      <c r="D18" s="28">
        <f t="shared" si="0"/>
        <v>8</v>
      </c>
      <c r="E18" s="28">
        <f t="shared" si="1"/>
        <v>37.632427290462147</v>
      </c>
      <c r="F18" s="28">
        <f t="shared" si="2"/>
        <v>23.186666666666667</v>
      </c>
      <c r="G18" s="28">
        <f t="shared" si="3"/>
        <v>8.7409060428711882</v>
      </c>
      <c r="H18" s="28">
        <f t="shared" si="4"/>
        <v>-3.1538664654979978</v>
      </c>
      <c r="I18" s="28">
        <f t="shared" si="5"/>
        <v>3.119674929235714</v>
      </c>
      <c r="J18" s="28">
        <f t="shared" si="6"/>
        <v>68.252743918461903</v>
      </c>
      <c r="K18" s="28">
        <f t="shared" si="7"/>
        <v>23.186666666666667</v>
      </c>
      <c r="L18" s="28">
        <f t="shared" si="8"/>
        <v>0</v>
      </c>
      <c r="M18" s="2" t="str">
        <f t="shared" si="9"/>
        <v>Y</v>
      </c>
      <c r="N18" s="2" t="str">
        <f t="shared" si="10"/>
        <v/>
      </c>
      <c r="O18" s="2">
        <f t="shared" si="11"/>
        <v>7</v>
      </c>
    </row>
    <row r="19" spans="1:15">
      <c r="A19" s="27">
        <v>9</v>
      </c>
      <c r="B19" s="27">
        <v>18</v>
      </c>
      <c r="C19" s="27">
        <v>1</v>
      </c>
      <c r="D19" s="28">
        <f t="shared" si="0"/>
        <v>18</v>
      </c>
      <c r="E19" s="28">
        <f t="shared" si="1"/>
        <v>37.632427290462147</v>
      </c>
      <c r="F19" s="28">
        <f t="shared" si="2"/>
        <v>23.186666666666667</v>
      </c>
      <c r="G19" s="28">
        <f t="shared" si="3"/>
        <v>8.7409060428711882</v>
      </c>
      <c r="H19" s="28">
        <f t="shared" si="4"/>
        <v>-1.0771326207890441</v>
      </c>
      <c r="I19" s="28">
        <f t="shared" si="5"/>
        <v>3.119674929235714</v>
      </c>
      <c r="J19" s="28">
        <f t="shared" si="6"/>
        <v>68.252743918461903</v>
      </c>
      <c r="K19" s="28">
        <f t="shared" si="7"/>
        <v>23.186666666666667</v>
      </c>
      <c r="L19" s="28">
        <f t="shared" si="8"/>
        <v>0</v>
      </c>
      <c r="M19" s="2" t="str">
        <f t="shared" si="9"/>
        <v/>
      </c>
      <c r="N19" s="2" t="str">
        <f t="shared" si="10"/>
        <v/>
      </c>
      <c r="O19" s="2">
        <f t="shared" si="11"/>
        <v>10</v>
      </c>
    </row>
    <row r="20" spans="1:15">
      <c r="A20" s="27">
        <v>10</v>
      </c>
      <c r="B20" s="27">
        <v>19</v>
      </c>
      <c r="C20" s="27">
        <v>1</v>
      </c>
      <c r="D20" s="28">
        <f t="shared" si="0"/>
        <v>19</v>
      </c>
      <c r="E20" s="28">
        <f t="shared" si="1"/>
        <v>37.632427290462147</v>
      </c>
      <c r="F20" s="28">
        <f t="shared" si="2"/>
        <v>23.186666666666667</v>
      </c>
      <c r="G20" s="28">
        <f t="shared" si="3"/>
        <v>8.7409060428711882</v>
      </c>
      <c r="H20" s="28">
        <f t="shared" si="4"/>
        <v>-0.8694592363181487</v>
      </c>
      <c r="I20" s="28">
        <f t="shared" si="5"/>
        <v>3.119674929235714</v>
      </c>
      <c r="J20" s="28">
        <f t="shared" si="6"/>
        <v>68.252743918461903</v>
      </c>
      <c r="K20" s="28">
        <f t="shared" si="7"/>
        <v>23.186666666666667</v>
      </c>
      <c r="L20" s="28">
        <f t="shared" si="8"/>
        <v>0</v>
      </c>
      <c r="M20" s="2" t="str">
        <f t="shared" si="9"/>
        <v/>
      </c>
      <c r="N20" s="2" t="str">
        <f t="shared" si="10"/>
        <v/>
      </c>
      <c r="O20" s="2">
        <f t="shared" si="11"/>
        <v>1</v>
      </c>
    </row>
    <row r="21" spans="1:15">
      <c r="A21" s="27">
        <v>11</v>
      </c>
      <c r="B21" s="27">
        <v>14</v>
      </c>
      <c r="C21" s="27">
        <v>1</v>
      </c>
      <c r="D21" s="28">
        <f t="shared" si="0"/>
        <v>14</v>
      </c>
      <c r="E21" s="28">
        <f t="shared" si="1"/>
        <v>37.632427290462147</v>
      </c>
      <c r="F21" s="28">
        <f t="shared" si="2"/>
        <v>23.186666666666667</v>
      </c>
      <c r="G21" s="28">
        <f t="shared" si="3"/>
        <v>8.7409060428711882</v>
      </c>
      <c r="H21" s="28">
        <f t="shared" si="4"/>
        <v>-1.9078261586726255</v>
      </c>
      <c r="I21" s="28">
        <f t="shared" si="5"/>
        <v>3.119674929235714</v>
      </c>
      <c r="J21" s="28">
        <f t="shared" si="6"/>
        <v>68.252743918461903</v>
      </c>
      <c r="K21" s="28">
        <f t="shared" si="7"/>
        <v>23.186666666666667</v>
      </c>
      <c r="L21" s="28">
        <f t="shared" si="8"/>
        <v>0</v>
      </c>
      <c r="M21" s="2" t="str">
        <f t="shared" si="9"/>
        <v/>
      </c>
      <c r="N21" s="2" t="str">
        <f t="shared" si="10"/>
        <v/>
      </c>
      <c r="O21" s="2">
        <f t="shared" si="11"/>
        <v>5</v>
      </c>
    </row>
    <row r="22" spans="1:15">
      <c r="A22" s="27">
        <v>12</v>
      </c>
      <c r="B22" s="27">
        <v>13</v>
      </c>
      <c r="C22" s="27">
        <v>1</v>
      </c>
      <c r="D22" s="28">
        <f t="shared" si="0"/>
        <v>13</v>
      </c>
      <c r="E22" s="28">
        <f t="shared" si="1"/>
        <v>37.632427290462147</v>
      </c>
      <c r="F22" s="28">
        <f t="shared" si="2"/>
        <v>23.186666666666667</v>
      </c>
      <c r="G22" s="28">
        <f t="shared" si="3"/>
        <v>8.7409060428711882</v>
      </c>
      <c r="H22" s="28">
        <f t="shared" si="4"/>
        <v>-2.1154995431435211</v>
      </c>
      <c r="I22" s="28">
        <f t="shared" si="5"/>
        <v>3.119674929235714</v>
      </c>
      <c r="J22" s="28">
        <f t="shared" si="6"/>
        <v>68.252743918461903</v>
      </c>
      <c r="K22" s="28">
        <f t="shared" si="7"/>
        <v>23.186666666666667</v>
      </c>
      <c r="L22" s="28">
        <f t="shared" si="8"/>
        <v>0</v>
      </c>
      <c r="M22" s="2" t="str">
        <f t="shared" si="9"/>
        <v/>
      </c>
      <c r="N22" s="2" t="str">
        <f t="shared" si="10"/>
        <v/>
      </c>
      <c r="O22" s="2">
        <f t="shared" si="11"/>
        <v>1</v>
      </c>
    </row>
    <row r="23" spans="1:15">
      <c r="A23" s="27">
        <v>13</v>
      </c>
      <c r="B23" s="27">
        <v>8</v>
      </c>
      <c r="C23" s="27">
        <v>1</v>
      </c>
      <c r="D23" s="28">
        <f t="shared" si="0"/>
        <v>8</v>
      </c>
      <c r="E23" s="28">
        <f t="shared" si="1"/>
        <v>37.632427290462147</v>
      </c>
      <c r="F23" s="28">
        <f t="shared" si="2"/>
        <v>23.186666666666667</v>
      </c>
      <c r="G23" s="28">
        <f t="shared" si="3"/>
        <v>8.7409060428711882</v>
      </c>
      <c r="H23" s="28">
        <f t="shared" si="4"/>
        <v>-3.1538664654979978</v>
      </c>
      <c r="I23" s="28">
        <f t="shared" si="5"/>
        <v>3.119674929235714</v>
      </c>
      <c r="J23" s="28">
        <f t="shared" si="6"/>
        <v>68.252743918461903</v>
      </c>
      <c r="K23" s="28">
        <f t="shared" si="7"/>
        <v>23.186666666666667</v>
      </c>
      <c r="L23" s="28">
        <f t="shared" si="8"/>
        <v>0</v>
      </c>
      <c r="M23" s="2" t="str">
        <f t="shared" si="9"/>
        <v>Y</v>
      </c>
      <c r="N23" s="2" t="str">
        <f t="shared" si="10"/>
        <v/>
      </c>
      <c r="O23" s="2">
        <f t="shared" si="11"/>
        <v>5</v>
      </c>
    </row>
    <row r="24" spans="1:15">
      <c r="A24" s="27">
        <v>14</v>
      </c>
      <c r="B24" s="27">
        <v>6</v>
      </c>
      <c r="C24" s="27">
        <v>1</v>
      </c>
      <c r="D24" s="28">
        <f t="shared" si="0"/>
        <v>6</v>
      </c>
      <c r="E24" s="28">
        <f t="shared" si="1"/>
        <v>37.632427290462147</v>
      </c>
      <c r="F24" s="28">
        <f t="shared" si="2"/>
        <v>23.186666666666667</v>
      </c>
      <c r="G24" s="28">
        <f t="shared" si="3"/>
        <v>8.7409060428711882</v>
      </c>
      <c r="H24" s="28">
        <f t="shared" si="4"/>
        <v>-3.5692132344397884</v>
      </c>
      <c r="I24" s="28">
        <f t="shared" si="5"/>
        <v>3.119674929235714</v>
      </c>
      <c r="J24" s="28">
        <f t="shared" si="6"/>
        <v>68.252743918461903</v>
      </c>
      <c r="K24" s="28">
        <f t="shared" si="7"/>
        <v>23.186666666666667</v>
      </c>
      <c r="L24" s="28">
        <f t="shared" si="8"/>
        <v>0</v>
      </c>
      <c r="M24" s="2" t="str">
        <f t="shared" si="9"/>
        <v>Y</v>
      </c>
      <c r="N24" s="2" t="str">
        <f t="shared" si="10"/>
        <v/>
      </c>
      <c r="O24" s="2">
        <f t="shared" si="11"/>
        <v>2</v>
      </c>
    </row>
    <row r="25" spans="1:15">
      <c r="A25" s="27">
        <v>15</v>
      </c>
      <c r="B25" s="27">
        <v>16</v>
      </c>
      <c r="C25" s="27">
        <v>1</v>
      </c>
      <c r="D25" s="28">
        <f t="shared" si="0"/>
        <v>16</v>
      </c>
      <c r="E25" s="28">
        <f t="shared" si="1"/>
        <v>37.632427290462147</v>
      </c>
      <c r="F25" s="28">
        <f t="shared" si="2"/>
        <v>23.186666666666667</v>
      </c>
      <c r="G25" s="28">
        <f t="shared" si="3"/>
        <v>8.7409060428711882</v>
      </c>
      <c r="H25" s="28">
        <f t="shared" si="4"/>
        <v>-1.4924793897308348</v>
      </c>
      <c r="I25" s="28">
        <f t="shared" si="5"/>
        <v>3.119674929235714</v>
      </c>
      <c r="J25" s="28">
        <f t="shared" si="6"/>
        <v>68.252743918461903</v>
      </c>
      <c r="K25" s="28">
        <f t="shared" si="7"/>
        <v>23.186666666666667</v>
      </c>
      <c r="L25" s="28">
        <f t="shared" si="8"/>
        <v>0</v>
      </c>
      <c r="M25" s="2" t="str">
        <f t="shared" si="9"/>
        <v/>
      </c>
      <c r="N25" s="2" t="str">
        <f t="shared" si="10"/>
        <v/>
      </c>
      <c r="O25" s="2">
        <f t="shared" si="11"/>
        <v>10</v>
      </c>
    </row>
    <row r="26" spans="1:15">
      <c r="A26" s="27">
        <v>16</v>
      </c>
      <c r="B26" s="27">
        <v>27</v>
      </c>
      <c r="C26" s="27">
        <v>1</v>
      </c>
      <c r="D26" s="28">
        <f t="shared" si="0"/>
        <v>27</v>
      </c>
      <c r="E26" s="28">
        <f t="shared" si="1"/>
        <v>37.632427290462147</v>
      </c>
      <c r="F26" s="28">
        <f t="shared" si="2"/>
        <v>23.186666666666667</v>
      </c>
      <c r="G26" s="28">
        <f t="shared" si="3"/>
        <v>8.7409060428711882</v>
      </c>
      <c r="H26" s="28">
        <f t="shared" si="4"/>
        <v>0.79192783944901413</v>
      </c>
      <c r="I26" s="28">
        <f t="shared" si="5"/>
        <v>3.119674929235714</v>
      </c>
      <c r="J26" s="28">
        <f t="shared" si="6"/>
        <v>68.252743918461903</v>
      </c>
      <c r="K26" s="28">
        <f t="shared" si="7"/>
        <v>23.186666666666667</v>
      </c>
      <c r="L26" s="28">
        <f t="shared" si="8"/>
        <v>0</v>
      </c>
      <c r="M26" s="2" t="str">
        <f t="shared" si="9"/>
        <v/>
      </c>
      <c r="N26" s="2" t="str">
        <f t="shared" si="10"/>
        <v/>
      </c>
      <c r="O26" s="2">
        <f t="shared" si="11"/>
        <v>11</v>
      </c>
    </row>
    <row r="27" spans="1:15">
      <c r="A27" s="27">
        <v>17</v>
      </c>
      <c r="B27" s="27">
        <v>13</v>
      </c>
      <c r="C27" s="27">
        <v>1</v>
      </c>
      <c r="D27" s="28">
        <f t="shared" si="0"/>
        <v>13</v>
      </c>
      <c r="E27" s="28">
        <f t="shared" si="1"/>
        <v>37.632427290462147</v>
      </c>
      <c r="F27" s="28">
        <f t="shared" si="2"/>
        <v>23.186666666666667</v>
      </c>
      <c r="G27" s="28">
        <f t="shared" si="3"/>
        <v>8.7409060428711882</v>
      </c>
      <c r="H27" s="28">
        <f t="shared" si="4"/>
        <v>-2.1154995431435211</v>
      </c>
      <c r="I27" s="28">
        <f t="shared" si="5"/>
        <v>3.119674929235714</v>
      </c>
      <c r="J27" s="28">
        <f t="shared" si="6"/>
        <v>68.252743918461903</v>
      </c>
      <c r="K27" s="28">
        <f t="shared" si="7"/>
        <v>23.186666666666667</v>
      </c>
      <c r="L27" s="28">
        <f t="shared" si="8"/>
        <v>0</v>
      </c>
      <c r="M27" s="2" t="str">
        <f t="shared" si="9"/>
        <v/>
      </c>
      <c r="N27" s="2" t="str">
        <f t="shared" si="10"/>
        <v/>
      </c>
      <c r="O27" s="2">
        <f t="shared" si="11"/>
        <v>14</v>
      </c>
    </row>
    <row r="28" spans="1:15">
      <c r="A28" s="27">
        <v>18</v>
      </c>
      <c r="B28" s="27">
        <v>11</v>
      </c>
      <c r="C28" s="27">
        <v>1</v>
      </c>
      <c r="D28" s="28">
        <f t="shared" si="0"/>
        <v>11</v>
      </c>
      <c r="E28" s="28">
        <f t="shared" si="1"/>
        <v>37.632427290462147</v>
      </c>
      <c r="F28" s="28">
        <f t="shared" si="2"/>
        <v>23.186666666666667</v>
      </c>
      <c r="G28" s="28">
        <f t="shared" si="3"/>
        <v>8.7409060428711882</v>
      </c>
      <c r="H28" s="28">
        <f t="shared" si="4"/>
        <v>-2.5308463120853117</v>
      </c>
      <c r="I28" s="28">
        <f t="shared" si="5"/>
        <v>3.119674929235714</v>
      </c>
      <c r="J28" s="28">
        <f t="shared" si="6"/>
        <v>68.252743918461903</v>
      </c>
      <c r="K28" s="28">
        <f t="shared" si="7"/>
        <v>23.186666666666667</v>
      </c>
      <c r="L28" s="28">
        <f t="shared" si="8"/>
        <v>0</v>
      </c>
      <c r="M28" s="2" t="str">
        <f t="shared" si="9"/>
        <v/>
      </c>
      <c r="N28" s="2" t="str">
        <f t="shared" si="10"/>
        <v/>
      </c>
      <c r="O28" s="2">
        <f t="shared" si="11"/>
        <v>2</v>
      </c>
    </row>
    <row r="29" spans="1:15">
      <c r="A29" s="27">
        <v>19</v>
      </c>
      <c r="B29" s="27">
        <v>40</v>
      </c>
      <c r="C29" s="27">
        <v>1</v>
      </c>
      <c r="D29" s="28">
        <f t="shared" si="0"/>
        <v>40</v>
      </c>
      <c r="E29" s="28">
        <f t="shared" si="1"/>
        <v>37.632427290462147</v>
      </c>
      <c r="F29" s="28">
        <f t="shared" si="2"/>
        <v>23.186666666666667</v>
      </c>
      <c r="G29" s="28">
        <f t="shared" si="3"/>
        <v>8.7409060428711882</v>
      </c>
      <c r="H29" s="28">
        <f t="shared" si="4"/>
        <v>3.491681837570654</v>
      </c>
      <c r="I29" s="28">
        <f t="shared" si="5"/>
        <v>3.119674929235714</v>
      </c>
      <c r="J29" s="28">
        <f t="shared" si="6"/>
        <v>68.252743918461903</v>
      </c>
      <c r="K29" s="28">
        <f t="shared" si="7"/>
        <v>23.186666666666667</v>
      </c>
      <c r="L29" s="28">
        <f t="shared" si="8"/>
        <v>0</v>
      </c>
      <c r="M29" s="2" t="str">
        <f t="shared" si="9"/>
        <v>Y</v>
      </c>
      <c r="N29" s="2" t="str">
        <f t="shared" si="10"/>
        <v/>
      </c>
      <c r="O29" s="2">
        <f t="shared" si="11"/>
        <v>29</v>
      </c>
    </row>
    <row r="30" spans="1:15">
      <c r="A30" s="27">
        <v>20</v>
      </c>
      <c r="B30" s="27">
        <v>18</v>
      </c>
      <c r="C30" s="27">
        <v>1</v>
      </c>
      <c r="D30" s="28">
        <f t="shared" si="0"/>
        <v>18</v>
      </c>
      <c r="E30" s="28">
        <f t="shared" si="1"/>
        <v>37.632427290462147</v>
      </c>
      <c r="F30" s="28">
        <f t="shared" si="2"/>
        <v>23.186666666666667</v>
      </c>
      <c r="G30" s="28">
        <f t="shared" si="3"/>
        <v>8.7409060428711882</v>
      </c>
      <c r="H30" s="28">
        <f t="shared" si="4"/>
        <v>-1.0771326207890441</v>
      </c>
      <c r="I30" s="28">
        <f t="shared" si="5"/>
        <v>3.119674929235714</v>
      </c>
      <c r="J30" s="28">
        <f t="shared" si="6"/>
        <v>68.252743918461903</v>
      </c>
      <c r="K30" s="28">
        <f t="shared" si="7"/>
        <v>23.186666666666667</v>
      </c>
      <c r="L30" s="28">
        <f t="shared" si="8"/>
        <v>0</v>
      </c>
      <c r="M30" s="2" t="str">
        <f t="shared" si="9"/>
        <v/>
      </c>
      <c r="N30" s="2" t="str">
        <f t="shared" si="10"/>
        <v/>
      </c>
      <c r="O30" s="2">
        <f t="shared" si="11"/>
        <v>22</v>
      </c>
    </row>
    <row r="31" spans="1:15">
      <c r="A31" s="27">
        <v>21</v>
      </c>
      <c r="B31" s="27">
        <v>21</v>
      </c>
      <c r="C31" s="27">
        <v>1</v>
      </c>
      <c r="D31" s="28">
        <f t="shared" si="0"/>
        <v>21</v>
      </c>
      <c r="E31" s="28">
        <f t="shared" si="1"/>
        <v>37.632427290462147</v>
      </c>
      <c r="F31" s="28">
        <f t="shared" si="2"/>
        <v>23.186666666666667</v>
      </c>
      <c r="G31" s="28">
        <f t="shared" si="3"/>
        <v>8.7409060428711882</v>
      </c>
      <c r="H31" s="28">
        <f t="shared" si="4"/>
        <v>-0.45411246737635802</v>
      </c>
      <c r="I31" s="28">
        <f t="shared" si="5"/>
        <v>3.119674929235714</v>
      </c>
      <c r="J31" s="28">
        <f t="shared" si="6"/>
        <v>68.252743918461903</v>
      </c>
      <c r="K31" s="28">
        <f t="shared" si="7"/>
        <v>23.186666666666667</v>
      </c>
      <c r="L31" s="28">
        <f t="shared" si="8"/>
        <v>0</v>
      </c>
      <c r="M31" s="2" t="str">
        <f t="shared" si="9"/>
        <v/>
      </c>
      <c r="N31" s="2" t="str">
        <f t="shared" si="10"/>
        <v/>
      </c>
      <c r="O31" s="2">
        <f t="shared" si="11"/>
        <v>3</v>
      </c>
    </row>
    <row r="32" spans="1:15">
      <c r="A32" s="27">
        <v>22</v>
      </c>
      <c r="B32" s="27">
        <v>33</v>
      </c>
      <c r="C32" s="27">
        <v>1</v>
      </c>
      <c r="D32" s="28">
        <f t="shared" si="0"/>
        <v>33</v>
      </c>
      <c r="E32" s="28">
        <f t="shared" si="1"/>
        <v>37.632427290462147</v>
      </c>
      <c r="F32" s="28">
        <f t="shared" si="2"/>
        <v>23.186666666666667</v>
      </c>
      <c r="G32" s="28">
        <f t="shared" si="3"/>
        <v>8.7409060428711882</v>
      </c>
      <c r="H32" s="28">
        <f t="shared" si="4"/>
        <v>2.0379681462743862</v>
      </c>
      <c r="I32" s="28">
        <f t="shared" si="5"/>
        <v>3.119674929235714</v>
      </c>
      <c r="J32" s="28">
        <f t="shared" si="6"/>
        <v>68.252743918461903</v>
      </c>
      <c r="K32" s="28">
        <f t="shared" si="7"/>
        <v>23.186666666666667</v>
      </c>
      <c r="L32" s="28">
        <f t="shared" si="8"/>
        <v>0</v>
      </c>
      <c r="M32" s="2" t="str">
        <f t="shared" si="9"/>
        <v/>
      </c>
      <c r="N32" s="2" t="str">
        <f t="shared" si="10"/>
        <v/>
      </c>
      <c r="O32" s="2">
        <f t="shared" si="11"/>
        <v>12</v>
      </c>
    </row>
    <row r="33" spans="1:15">
      <c r="A33" s="27">
        <v>23</v>
      </c>
      <c r="B33" s="27">
        <v>13</v>
      </c>
      <c r="C33" s="27">
        <v>1</v>
      </c>
      <c r="D33" s="28">
        <f t="shared" si="0"/>
        <v>13</v>
      </c>
      <c r="E33" s="28">
        <f t="shared" si="1"/>
        <v>37.632427290462147</v>
      </c>
      <c r="F33" s="28">
        <f t="shared" si="2"/>
        <v>23.186666666666667</v>
      </c>
      <c r="G33" s="28">
        <f t="shared" si="3"/>
        <v>8.7409060428711882</v>
      </c>
      <c r="H33" s="28">
        <f t="shared" si="4"/>
        <v>-2.1154995431435211</v>
      </c>
      <c r="I33" s="28">
        <f t="shared" si="5"/>
        <v>3.119674929235714</v>
      </c>
      <c r="J33" s="28">
        <f t="shared" si="6"/>
        <v>68.252743918461903</v>
      </c>
      <c r="K33" s="28">
        <f t="shared" si="7"/>
        <v>23.186666666666667</v>
      </c>
      <c r="L33" s="28">
        <f t="shared" si="8"/>
        <v>0</v>
      </c>
      <c r="M33" s="2" t="str">
        <f t="shared" si="9"/>
        <v/>
      </c>
      <c r="N33" s="2" t="str">
        <f t="shared" si="10"/>
        <v/>
      </c>
      <c r="O33" s="2">
        <f t="shared" si="11"/>
        <v>20</v>
      </c>
    </row>
    <row r="34" spans="1:15">
      <c r="A34" s="27">
        <v>24</v>
      </c>
      <c r="B34" s="27">
        <v>15</v>
      </c>
      <c r="C34" s="27">
        <v>1</v>
      </c>
      <c r="D34" s="28">
        <f t="shared" si="0"/>
        <v>15</v>
      </c>
      <c r="E34" s="28">
        <f t="shared" si="1"/>
        <v>37.632427290462147</v>
      </c>
      <c r="F34" s="28">
        <f t="shared" si="2"/>
        <v>23.186666666666667</v>
      </c>
      <c r="G34" s="28">
        <f t="shared" si="3"/>
        <v>8.7409060428711882</v>
      </c>
      <c r="H34" s="28">
        <f t="shared" si="4"/>
        <v>-1.7001527742017302</v>
      </c>
      <c r="I34" s="28">
        <f t="shared" si="5"/>
        <v>3.119674929235714</v>
      </c>
      <c r="J34" s="28">
        <f t="shared" si="6"/>
        <v>68.252743918461903</v>
      </c>
      <c r="K34" s="28">
        <f t="shared" si="7"/>
        <v>23.186666666666667</v>
      </c>
      <c r="L34" s="28">
        <f t="shared" si="8"/>
        <v>0</v>
      </c>
      <c r="M34" s="2" t="str">
        <f t="shared" si="9"/>
        <v/>
      </c>
      <c r="N34" s="2" t="str">
        <f t="shared" si="10"/>
        <v/>
      </c>
      <c r="O34" s="2">
        <f t="shared" si="11"/>
        <v>2</v>
      </c>
    </row>
    <row r="35" spans="1:15">
      <c r="A35" s="27">
        <v>25</v>
      </c>
      <c r="B35" s="27">
        <v>9</v>
      </c>
      <c r="C35" s="27">
        <v>1</v>
      </c>
      <c r="D35" s="28">
        <f t="shared" si="0"/>
        <v>9</v>
      </c>
      <c r="E35" s="28">
        <f t="shared" si="1"/>
        <v>37.632427290462147</v>
      </c>
      <c r="F35" s="28">
        <f t="shared" si="2"/>
        <v>23.186666666666667</v>
      </c>
      <c r="G35" s="28">
        <f t="shared" si="3"/>
        <v>8.7409060428711882</v>
      </c>
      <c r="H35" s="28">
        <f t="shared" si="4"/>
        <v>-2.9461930810271024</v>
      </c>
      <c r="I35" s="28">
        <f t="shared" si="5"/>
        <v>3.119674929235714</v>
      </c>
      <c r="J35" s="28">
        <f t="shared" si="6"/>
        <v>68.252743918461903</v>
      </c>
      <c r="K35" s="28">
        <f t="shared" si="7"/>
        <v>23.186666666666667</v>
      </c>
      <c r="L35" s="28">
        <f t="shared" si="8"/>
        <v>0</v>
      </c>
      <c r="M35" s="2" t="str">
        <f t="shared" si="9"/>
        <v/>
      </c>
      <c r="N35" s="2" t="str">
        <f t="shared" si="10"/>
        <v/>
      </c>
      <c r="O35" s="2">
        <f t="shared" si="11"/>
        <v>6</v>
      </c>
    </row>
    <row r="36" spans="1:15">
      <c r="A36" s="27">
        <v>26</v>
      </c>
      <c r="B36" s="27">
        <v>13</v>
      </c>
      <c r="C36" s="27">
        <v>1</v>
      </c>
      <c r="D36" s="28">
        <f t="shared" si="0"/>
        <v>13</v>
      </c>
      <c r="E36" s="28">
        <f t="shared" si="1"/>
        <v>37.632427290462147</v>
      </c>
      <c r="F36" s="28">
        <f t="shared" si="2"/>
        <v>23.186666666666667</v>
      </c>
      <c r="G36" s="28">
        <f t="shared" si="3"/>
        <v>8.7409060428711882</v>
      </c>
      <c r="H36" s="28">
        <f t="shared" si="4"/>
        <v>-2.1154995431435211</v>
      </c>
      <c r="I36" s="28">
        <f t="shared" si="5"/>
        <v>3.119674929235714</v>
      </c>
      <c r="J36" s="28">
        <f t="shared" si="6"/>
        <v>68.252743918461903</v>
      </c>
      <c r="K36" s="28">
        <f t="shared" si="7"/>
        <v>23.186666666666667</v>
      </c>
      <c r="L36" s="28">
        <f t="shared" si="8"/>
        <v>0</v>
      </c>
      <c r="M36" s="2" t="str">
        <f t="shared" si="9"/>
        <v/>
      </c>
      <c r="N36" s="2" t="str">
        <f t="shared" si="10"/>
        <v/>
      </c>
      <c r="O36" s="2">
        <f t="shared" si="11"/>
        <v>4</v>
      </c>
    </row>
    <row r="37" spans="1:15">
      <c r="A37" s="27">
        <v>27</v>
      </c>
      <c r="B37" s="27">
        <v>6</v>
      </c>
      <c r="C37" s="27">
        <v>1</v>
      </c>
      <c r="D37" s="28">
        <f t="shared" si="0"/>
        <v>6</v>
      </c>
      <c r="E37" s="28">
        <f t="shared" si="1"/>
        <v>37.632427290462147</v>
      </c>
      <c r="F37" s="28">
        <f t="shared" si="2"/>
        <v>23.186666666666667</v>
      </c>
      <c r="G37" s="28">
        <f t="shared" si="3"/>
        <v>8.7409060428711882</v>
      </c>
      <c r="H37" s="28">
        <f t="shared" si="4"/>
        <v>-3.5692132344397884</v>
      </c>
      <c r="I37" s="28">
        <f t="shared" si="5"/>
        <v>3.119674929235714</v>
      </c>
      <c r="J37" s="28">
        <f t="shared" si="6"/>
        <v>68.252743918461903</v>
      </c>
      <c r="K37" s="28">
        <f t="shared" si="7"/>
        <v>23.186666666666667</v>
      </c>
      <c r="L37" s="28">
        <f t="shared" si="8"/>
        <v>0</v>
      </c>
      <c r="M37" s="2" t="str">
        <f t="shared" si="9"/>
        <v>Y</v>
      </c>
      <c r="N37" s="2" t="str">
        <f t="shared" si="10"/>
        <v/>
      </c>
      <c r="O37" s="2">
        <f t="shared" si="11"/>
        <v>7</v>
      </c>
    </row>
    <row r="38" spans="1:15">
      <c r="A38" s="27">
        <v>28</v>
      </c>
      <c r="B38" s="27">
        <v>9</v>
      </c>
      <c r="C38" s="27">
        <v>1</v>
      </c>
      <c r="D38" s="28">
        <f t="shared" si="0"/>
        <v>9</v>
      </c>
      <c r="E38" s="28">
        <f t="shared" si="1"/>
        <v>37.632427290462147</v>
      </c>
      <c r="F38" s="28">
        <f t="shared" si="2"/>
        <v>23.186666666666667</v>
      </c>
      <c r="G38" s="28">
        <f t="shared" si="3"/>
        <v>8.7409060428711882</v>
      </c>
      <c r="H38" s="28">
        <f t="shared" si="4"/>
        <v>-2.9461930810271024</v>
      </c>
      <c r="I38" s="28">
        <f t="shared" si="5"/>
        <v>3.119674929235714</v>
      </c>
      <c r="J38" s="28">
        <f t="shared" si="6"/>
        <v>68.252743918461903</v>
      </c>
      <c r="K38" s="28">
        <f t="shared" si="7"/>
        <v>23.186666666666667</v>
      </c>
      <c r="L38" s="28">
        <f t="shared" si="8"/>
        <v>0</v>
      </c>
      <c r="M38" s="2" t="str">
        <f t="shared" si="9"/>
        <v/>
      </c>
      <c r="N38" s="2" t="str">
        <f t="shared" si="10"/>
        <v/>
      </c>
      <c r="O38" s="2">
        <f t="shared" si="11"/>
        <v>3</v>
      </c>
    </row>
    <row r="39" spans="1:15">
      <c r="A39" s="27">
        <v>29</v>
      </c>
      <c r="B39" s="27">
        <v>8</v>
      </c>
      <c r="C39" s="27">
        <v>1</v>
      </c>
      <c r="D39" s="28">
        <f t="shared" si="0"/>
        <v>8</v>
      </c>
      <c r="E39" s="28">
        <f t="shared" si="1"/>
        <v>37.632427290462147</v>
      </c>
      <c r="F39" s="28">
        <f t="shared" si="2"/>
        <v>23.186666666666667</v>
      </c>
      <c r="G39" s="28">
        <f t="shared" si="3"/>
        <v>8.7409060428711882</v>
      </c>
      <c r="H39" s="28">
        <f t="shared" si="4"/>
        <v>-3.1538664654979978</v>
      </c>
      <c r="I39" s="28">
        <f t="shared" si="5"/>
        <v>3.119674929235714</v>
      </c>
      <c r="J39" s="28">
        <f t="shared" si="6"/>
        <v>68.252743918461903</v>
      </c>
      <c r="K39" s="28">
        <f t="shared" si="7"/>
        <v>23.186666666666667</v>
      </c>
      <c r="L39" s="28">
        <f t="shared" si="8"/>
        <v>0</v>
      </c>
      <c r="M39" s="2" t="str">
        <f t="shared" si="9"/>
        <v>Y</v>
      </c>
      <c r="N39" s="2" t="str">
        <f t="shared" si="10"/>
        <v/>
      </c>
      <c r="O39" s="2">
        <f t="shared" si="11"/>
        <v>1</v>
      </c>
    </row>
    <row r="40" spans="1:15">
      <c r="A40" s="27">
        <v>30</v>
      </c>
      <c r="B40" s="27">
        <v>15</v>
      </c>
      <c r="C40" s="27">
        <v>1</v>
      </c>
      <c r="D40" s="28">
        <f t="shared" si="0"/>
        <v>15</v>
      </c>
      <c r="E40" s="28">
        <f t="shared" si="1"/>
        <v>37.632427290462147</v>
      </c>
      <c r="F40" s="28">
        <f t="shared" si="2"/>
        <v>23.186666666666667</v>
      </c>
      <c r="G40" s="28">
        <f t="shared" si="3"/>
        <v>8.7409060428711882</v>
      </c>
      <c r="H40" s="28">
        <f t="shared" si="4"/>
        <v>-1.7001527742017302</v>
      </c>
      <c r="I40" s="28">
        <f t="shared" si="5"/>
        <v>3.119674929235714</v>
      </c>
      <c r="J40" s="28">
        <f t="shared" si="6"/>
        <v>68.252743918461903</v>
      </c>
      <c r="K40" s="28">
        <f t="shared" si="7"/>
        <v>23.186666666666667</v>
      </c>
      <c r="L40" s="28">
        <f t="shared" si="8"/>
        <v>0</v>
      </c>
      <c r="M40" s="2" t="str">
        <f t="shared" si="9"/>
        <v/>
      </c>
      <c r="N40" s="2" t="str">
        <f t="shared" si="10"/>
        <v/>
      </c>
      <c r="O40" s="2">
        <f t="shared" si="11"/>
        <v>7</v>
      </c>
    </row>
    <row r="41" spans="1:15">
      <c r="A41" s="27">
        <v>31</v>
      </c>
      <c r="B41" s="27">
        <v>10</v>
      </c>
      <c r="C41" s="27">
        <v>1</v>
      </c>
      <c r="D41" s="28">
        <f t="shared" si="0"/>
        <v>10</v>
      </c>
      <c r="E41" s="28">
        <f t="shared" si="1"/>
        <v>37.632427290462147</v>
      </c>
      <c r="F41" s="28">
        <f t="shared" si="2"/>
        <v>23.186666666666667</v>
      </c>
      <c r="G41" s="28">
        <f t="shared" si="3"/>
        <v>8.7409060428711882</v>
      </c>
      <c r="H41" s="28">
        <f t="shared" si="4"/>
        <v>-2.7385196965562071</v>
      </c>
      <c r="I41" s="28">
        <f t="shared" si="5"/>
        <v>3.119674929235714</v>
      </c>
      <c r="J41" s="28">
        <f t="shared" si="6"/>
        <v>68.252743918461903</v>
      </c>
      <c r="K41" s="28">
        <f t="shared" si="7"/>
        <v>23.186666666666667</v>
      </c>
      <c r="L41" s="28">
        <f t="shared" si="8"/>
        <v>0</v>
      </c>
      <c r="M41" s="2" t="str">
        <f t="shared" si="9"/>
        <v/>
      </c>
      <c r="N41" s="2" t="str">
        <f t="shared" si="10"/>
        <v/>
      </c>
      <c r="O41" s="2">
        <f t="shared" si="11"/>
        <v>5</v>
      </c>
    </row>
    <row r="42" spans="1:15">
      <c r="A42" s="27">
        <v>32</v>
      </c>
      <c r="B42" s="27">
        <v>14</v>
      </c>
      <c r="C42" s="27">
        <v>1</v>
      </c>
      <c r="D42" s="28">
        <f t="shared" si="0"/>
        <v>14</v>
      </c>
      <c r="E42" s="28">
        <f t="shared" si="1"/>
        <v>37.632427290462147</v>
      </c>
      <c r="F42" s="28">
        <f t="shared" si="2"/>
        <v>23.186666666666667</v>
      </c>
      <c r="G42" s="28">
        <f t="shared" si="3"/>
        <v>8.7409060428711882</v>
      </c>
      <c r="H42" s="28">
        <f t="shared" si="4"/>
        <v>-1.9078261586726255</v>
      </c>
      <c r="I42" s="28">
        <f t="shared" si="5"/>
        <v>3.119674929235714</v>
      </c>
      <c r="J42" s="28">
        <f t="shared" si="6"/>
        <v>68.252743918461903</v>
      </c>
      <c r="K42" s="28">
        <f t="shared" si="7"/>
        <v>23.186666666666667</v>
      </c>
      <c r="L42" s="28">
        <f t="shared" si="8"/>
        <v>0</v>
      </c>
      <c r="M42" s="2" t="str">
        <f t="shared" si="9"/>
        <v/>
      </c>
      <c r="N42" s="2" t="str">
        <f t="shared" si="10"/>
        <v/>
      </c>
      <c r="O42" s="2">
        <f t="shared" si="11"/>
        <v>4</v>
      </c>
    </row>
    <row r="43" spans="1:15">
      <c r="A43" s="27">
        <v>33</v>
      </c>
      <c r="B43" s="27">
        <v>24</v>
      </c>
      <c r="C43" s="27">
        <v>1</v>
      </c>
      <c r="D43" s="28">
        <f t="shared" si="0"/>
        <v>24</v>
      </c>
      <c r="E43" s="28">
        <f t="shared" si="1"/>
        <v>37.632427290462147</v>
      </c>
      <c r="F43" s="28">
        <f t="shared" si="2"/>
        <v>23.186666666666667</v>
      </c>
      <c r="G43" s="28">
        <f t="shared" si="3"/>
        <v>8.7409060428711882</v>
      </c>
      <c r="H43" s="28">
        <f t="shared" si="4"/>
        <v>0.16890768603632808</v>
      </c>
      <c r="I43" s="28">
        <f t="shared" si="5"/>
        <v>3.119674929235714</v>
      </c>
      <c r="J43" s="28">
        <f t="shared" si="6"/>
        <v>68.252743918461903</v>
      </c>
      <c r="K43" s="28">
        <f t="shared" si="7"/>
        <v>23.186666666666667</v>
      </c>
      <c r="L43" s="28">
        <f t="shared" si="8"/>
        <v>0</v>
      </c>
      <c r="M43" s="2" t="str">
        <f t="shared" si="9"/>
        <v/>
      </c>
      <c r="N43" s="2" t="str">
        <f t="shared" si="10"/>
        <v/>
      </c>
      <c r="O43" s="2">
        <f t="shared" si="11"/>
        <v>10</v>
      </c>
    </row>
    <row r="44" spans="1:15">
      <c r="A44" s="27">
        <v>34</v>
      </c>
      <c r="B44" s="27">
        <v>23</v>
      </c>
      <c r="C44" s="27">
        <v>1</v>
      </c>
      <c r="D44" s="28">
        <f t="shared" si="0"/>
        <v>23</v>
      </c>
      <c r="E44" s="28">
        <f t="shared" si="1"/>
        <v>37.632427290462147</v>
      </c>
      <c r="F44" s="28">
        <f t="shared" si="2"/>
        <v>23.186666666666667</v>
      </c>
      <c r="G44" s="28">
        <f t="shared" si="3"/>
        <v>8.7409060428711882</v>
      </c>
      <c r="H44" s="28">
        <f t="shared" si="4"/>
        <v>-3.8765698434567293E-2</v>
      </c>
      <c r="I44" s="28">
        <f t="shared" si="5"/>
        <v>3.119674929235714</v>
      </c>
      <c r="J44" s="28">
        <f t="shared" si="6"/>
        <v>68.252743918461903</v>
      </c>
      <c r="K44" s="28">
        <f t="shared" si="7"/>
        <v>23.186666666666667</v>
      </c>
      <c r="L44" s="28">
        <f t="shared" si="8"/>
        <v>0</v>
      </c>
      <c r="M44" s="2" t="str">
        <f t="shared" si="9"/>
        <v/>
      </c>
      <c r="N44" s="2" t="str">
        <f t="shared" si="10"/>
        <v/>
      </c>
      <c r="O44" s="2">
        <f t="shared" si="11"/>
        <v>1</v>
      </c>
    </row>
    <row r="45" spans="1:15">
      <c r="A45" s="27">
        <v>35</v>
      </c>
      <c r="B45" s="27">
        <v>31</v>
      </c>
      <c r="C45" s="27">
        <v>1</v>
      </c>
      <c r="D45" s="28">
        <f t="shared" si="0"/>
        <v>31</v>
      </c>
      <c r="E45" s="28">
        <f t="shared" si="1"/>
        <v>37.632427290462147</v>
      </c>
      <c r="F45" s="28">
        <f t="shared" si="2"/>
        <v>23.186666666666667</v>
      </c>
      <c r="G45" s="28">
        <f t="shared" si="3"/>
        <v>8.7409060428711882</v>
      </c>
      <c r="H45" s="28">
        <f t="shared" si="4"/>
        <v>1.6226213773325957</v>
      </c>
      <c r="I45" s="28">
        <f t="shared" si="5"/>
        <v>3.119674929235714</v>
      </c>
      <c r="J45" s="28">
        <f t="shared" si="6"/>
        <v>68.252743918461903</v>
      </c>
      <c r="K45" s="28">
        <f t="shared" si="7"/>
        <v>23.186666666666667</v>
      </c>
      <c r="L45" s="28">
        <f t="shared" si="8"/>
        <v>0</v>
      </c>
      <c r="M45" s="2" t="str">
        <f t="shared" si="9"/>
        <v/>
      </c>
      <c r="N45" s="2" t="str">
        <f t="shared" si="10"/>
        <v/>
      </c>
      <c r="O45" s="2">
        <f t="shared" si="11"/>
        <v>8</v>
      </c>
    </row>
    <row r="46" spans="1:15">
      <c r="A46" s="27">
        <v>36</v>
      </c>
      <c r="B46" s="27">
        <v>34</v>
      </c>
      <c r="C46" s="27">
        <v>1</v>
      </c>
      <c r="D46" s="28">
        <f t="shared" si="0"/>
        <v>34</v>
      </c>
      <c r="E46" s="28">
        <f t="shared" si="1"/>
        <v>37.632427290462147</v>
      </c>
      <c r="F46" s="28">
        <f t="shared" si="2"/>
        <v>23.186666666666667</v>
      </c>
      <c r="G46" s="28">
        <f t="shared" si="3"/>
        <v>8.7409060428711882</v>
      </c>
      <c r="H46" s="28">
        <f t="shared" si="4"/>
        <v>2.2456415307452819</v>
      </c>
      <c r="I46" s="28">
        <f t="shared" si="5"/>
        <v>3.119674929235714</v>
      </c>
      <c r="J46" s="28">
        <f t="shared" si="6"/>
        <v>68.252743918461903</v>
      </c>
      <c r="K46" s="28">
        <f t="shared" si="7"/>
        <v>23.186666666666667</v>
      </c>
      <c r="L46" s="28">
        <f t="shared" si="8"/>
        <v>0</v>
      </c>
      <c r="M46" s="2" t="str">
        <f t="shared" si="9"/>
        <v/>
      </c>
      <c r="N46" s="2" t="str">
        <f t="shared" si="10"/>
        <v/>
      </c>
      <c r="O46" s="2">
        <f t="shared" si="11"/>
        <v>3</v>
      </c>
    </row>
    <row r="47" spans="1:15">
      <c r="A47" s="27">
        <v>37</v>
      </c>
      <c r="B47" s="27">
        <v>20</v>
      </c>
      <c r="C47" s="27">
        <v>1</v>
      </c>
      <c r="D47" s="28">
        <f t="shared" si="0"/>
        <v>20</v>
      </c>
      <c r="E47" s="28">
        <f t="shared" si="1"/>
        <v>37.632427290462147</v>
      </c>
      <c r="F47" s="28">
        <f t="shared" si="2"/>
        <v>23.186666666666667</v>
      </c>
      <c r="G47" s="28">
        <f t="shared" si="3"/>
        <v>8.7409060428711882</v>
      </c>
      <c r="H47" s="28">
        <f t="shared" si="4"/>
        <v>-0.66178585184725336</v>
      </c>
      <c r="I47" s="28">
        <f t="shared" si="5"/>
        <v>3.119674929235714</v>
      </c>
      <c r="J47" s="28">
        <f t="shared" si="6"/>
        <v>68.252743918461903</v>
      </c>
      <c r="K47" s="28">
        <f t="shared" si="7"/>
        <v>23.186666666666667</v>
      </c>
      <c r="L47" s="28">
        <f t="shared" si="8"/>
        <v>0</v>
      </c>
      <c r="M47" s="2" t="str">
        <f t="shared" si="9"/>
        <v/>
      </c>
      <c r="N47" s="2" t="str">
        <f t="shared" si="10"/>
        <v/>
      </c>
      <c r="O47" s="2">
        <f t="shared" si="11"/>
        <v>14</v>
      </c>
    </row>
    <row r="48" spans="1:15">
      <c r="A48" s="27">
        <v>38</v>
      </c>
      <c r="B48" s="27">
        <v>10</v>
      </c>
      <c r="C48" s="27">
        <v>1</v>
      </c>
      <c r="D48" s="28">
        <f t="shared" si="0"/>
        <v>10</v>
      </c>
      <c r="E48" s="28">
        <f t="shared" si="1"/>
        <v>37.632427290462147</v>
      </c>
      <c r="F48" s="28">
        <f t="shared" si="2"/>
        <v>23.186666666666667</v>
      </c>
      <c r="G48" s="28">
        <f t="shared" si="3"/>
        <v>8.7409060428711882</v>
      </c>
      <c r="H48" s="28">
        <f t="shared" si="4"/>
        <v>-2.7385196965562071</v>
      </c>
      <c r="I48" s="28">
        <f t="shared" si="5"/>
        <v>3.119674929235714</v>
      </c>
      <c r="J48" s="28">
        <f t="shared" si="6"/>
        <v>68.252743918461903</v>
      </c>
      <c r="K48" s="28">
        <f t="shared" si="7"/>
        <v>23.186666666666667</v>
      </c>
      <c r="L48" s="28">
        <f t="shared" si="8"/>
        <v>0</v>
      </c>
      <c r="M48" s="2" t="str">
        <f t="shared" si="9"/>
        <v/>
      </c>
      <c r="N48" s="2" t="str">
        <f t="shared" si="10"/>
        <v/>
      </c>
      <c r="O48" s="2">
        <f t="shared" si="11"/>
        <v>10</v>
      </c>
    </row>
    <row r="49" spans="1:15">
      <c r="A49" s="27">
        <v>39</v>
      </c>
      <c r="B49" s="27">
        <v>19</v>
      </c>
      <c r="C49" s="27">
        <v>1</v>
      </c>
      <c r="D49" s="28">
        <f t="shared" si="0"/>
        <v>19</v>
      </c>
      <c r="E49" s="28">
        <f t="shared" si="1"/>
        <v>37.632427290462147</v>
      </c>
      <c r="F49" s="28">
        <f t="shared" si="2"/>
        <v>23.186666666666667</v>
      </c>
      <c r="G49" s="28">
        <f t="shared" si="3"/>
        <v>8.7409060428711882</v>
      </c>
      <c r="H49" s="28">
        <f t="shared" si="4"/>
        <v>-0.8694592363181487</v>
      </c>
      <c r="I49" s="28">
        <f t="shared" si="5"/>
        <v>3.119674929235714</v>
      </c>
      <c r="J49" s="28">
        <f t="shared" si="6"/>
        <v>68.252743918461903</v>
      </c>
      <c r="K49" s="28">
        <f t="shared" si="7"/>
        <v>23.186666666666667</v>
      </c>
      <c r="L49" s="28">
        <f t="shared" si="8"/>
        <v>0</v>
      </c>
      <c r="M49" s="2" t="str">
        <f t="shared" si="9"/>
        <v/>
      </c>
      <c r="N49" s="2" t="str">
        <f t="shared" si="10"/>
        <v/>
      </c>
      <c r="O49" s="2">
        <f t="shared" si="11"/>
        <v>9</v>
      </c>
    </row>
    <row r="50" spans="1:15">
      <c r="A50" s="27">
        <v>40</v>
      </c>
      <c r="B50" s="27">
        <v>22</v>
      </c>
      <c r="C50" s="27">
        <v>1</v>
      </c>
      <c r="D50" s="28">
        <f t="shared" si="0"/>
        <v>22</v>
      </c>
      <c r="E50" s="28">
        <f t="shared" si="1"/>
        <v>37.632427290462147</v>
      </c>
      <c r="F50" s="28">
        <f t="shared" si="2"/>
        <v>23.186666666666667</v>
      </c>
      <c r="G50" s="28">
        <f t="shared" si="3"/>
        <v>8.7409060428711882</v>
      </c>
      <c r="H50" s="28">
        <f t="shared" si="4"/>
        <v>-0.24643908290546265</v>
      </c>
      <c r="I50" s="28">
        <f t="shared" si="5"/>
        <v>3.119674929235714</v>
      </c>
      <c r="J50" s="28">
        <f t="shared" si="6"/>
        <v>68.252743918461903</v>
      </c>
      <c r="K50" s="28">
        <f t="shared" si="7"/>
        <v>23.186666666666667</v>
      </c>
      <c r="L50" s="28">
        <f t="shared" si="8"/>
        <v>0</v>
      </c>
      <c r="M50" s="2" t="str">
        <f t="shared" si="9"/>
        <v/>
      </c>
      <c r="N50" s="2" t="str">
        <f t="shared" si="10"/>
        <v/>
      </c>
      <c r="O50" s="2">
        <f t="shared" si="11"/>
        <v>3</v>
      </c>
    </row>
    <row r="51" spans="1:15">
      <c r="A51" s="27">
        <v>41</v>
      </c>
      <c r="B51" s="27">
        <v>14</v>
      </c>
      <c r="C51" s="27">
        <v>1</v>
      </c>
      <c r="D51" s="28">
        <f t="shared" si="0"/>
        <v>14</v>
      </c>
      <c r="E51" s="28">
        <f t="shared" si="1"/>
        <v>37.632427290462147</v>
      </c>
      <c r="F51" s="28">
        <f t="shared" si="2"/>
        <v>23.186666666666667</v>
      </c>
      <c r="G51" s="28">
        <f t="shared" si="3"/>
        <v>8.7409060428711882</v>
      </c>
      <c r="H51" s="28">
        <f t="shared" si="4"/>
        <v>-1.9078261586726255</v>
      </c>
      <c r="I51" s="28">
        <f t="shared" si="5"/>
        <v>3.119674929235714</v>
      </c>
      <c r="J51" s="28">
        <f t="shared" si="6"/>
        <v>68.252743918461903</v>
      </c>
      <c r="K51" s="28">
        <f t="shared" si="7"/>
        <v>23.186666666666667</v>
      </c>
      <c r="L51" s="28">
        <f t="shared" si="8"/>
        <v>0</v>
      </c>
      <c r="M51" s="2" t="str">
        <f t="shared" si="9"/>
        <v/>
      </c>
      <c r="N51" s="2" t="str">
        <f t="shared" si="10"/>
        <v/>
      </c>
      <c r="O51" s="2">
        <f t="shared" si="11"/>
        <v>8</v>
      </c>
    </row>
    <row r="52" spans="1:15">
      <c r="A52" s="27">
        <v>42</v>
      </c>
      <c r="B52" s="27">
        <v>34</v>
      </c>
      <c r="C52" s="27">
        <v>1</v>
      </c>
      <c r="D52" s="28">
        <f t="shared" si="0"/>
        <v>34</v>
      </c>
      <c r="E52" s="28">
        <f t="shared" si="1"/>
        <v>37.632427290462147</v>
      </c>
      <c r="F52" s="28">
        <f t="shared" si="2"/>
        <v>23.186666666666667</v>
      </c>
      <c r="G52" s="28">
        <f t="shared" si="3"/>
        <v>8.7409060428711882</v>
      </c>
      <c r="H52" s="28">
        <f t="shared" si="4"/>
        <v>2.2456415307452819</v>
      </c>
      <c r="I52" s="28">
        <f t="shared" si="5"/>
        <v>3.119674929235714</v>
      </c>
      <c r="J52" s="28">
        <f t="shared" si="6"/>
        <v>68.252743918461903</v>
      </c>
      <c r="K52" s="28">
        <f t="shared" si="7"/>
        <v>23.186666666666667</v>
      </c>
      <c r="L52" s="28">
        <f t="shared" si="8"/>
        <v>0</v>
      </c>
      <c r="M52" s="2" t="str">
        <f t="shared" si="9"/>
        <v/>
      </c>
      <c r="N52" s="2" t="str">
        <f t="shared" si="10"/>
        <v/>
      </c>
      <c r="O52" s="2">
        <f t="shared" si="11"/>
        <v>20</v>
      </c>
    </row>
    <row r="53" spans="1:15">
      <c r="A53" s="27">
        <v>43</v>
      </c>
      <c r="B53" s="27">
        <v>41</v>
      </c>
      <c r="C53" s="27">
        <v>1</v>
      </c>
      <c r="D53" s="28">
        <f t="shared" si="0"/>
        <v>41</v>
      </c>
      <c r="E53" s="28">
        <f t="shared" si="1"/>
        <v>37.632427290462147</v>
      </c>
      <c r="F53" s="28">
        <f t="shared" si="2"/>
        <v>23.186666666666667</v>
      </c>
      <c r="G53" s="28">
        <f t="shared" si="3"/>
        <v>8.7409060428711882</v>
      </c>
      <c r="H53" s="28">
        <f t="shared" si="4"/>
        <v>3.6993552220415493</v>
      </c>
      <c r="I53" s="28">
        <f t="shared" si="5"/>
        <v>3.119674929235714</v>
      </c>
      <c r="J53" s="28">
        <f t="shared" si="6"/>
        <v>68.252743918461903</v>
      </c>
      <c r="K53" s="28">
        <f t="shared" si="7"/>
        <v>23.186666666666667</v>
      </c>
      <c r="L53" s="28">
        <f t="shared" si="8"/>
        <v>0</v>
      </c>
      <c r="M53" s="2" t="str">
        <f t="shared" si="9"/>
        <v>Y</v>
      </c>
      <c r="N53" s="2" t="str">
        <f t="shared" si="10"/>
        <v/>
      </c>
      <c r="O53" s="2">
        <f t="shared" si="11"/>
        <v>7</v>
      </c>
    </row>
    <row r="54" spans="1:15">
      <c r="A54" s="27">
        <v>44</v>
      </c>
      <c r="B54" s="27">
        <v>41</v>
      </c>
      <c r="C54" s="27">
        <v>1</v>
      </c>
      <c r="D54" s="28">
        <f t="shared" si="0"/>
        <v>41</v>
      </c>
      <c r="E54" s="28">
        <f t="shared" si="1"/>
        <v>37.632427290462147</v>
      </c>
      <c r="F54" s="28">
        <f t="shared" si="2"/>
        <v>23.186666666666667</v>
      </c>
      <c r="G54" s="28">
        <f t="shared" si="3"/>
        <v>8.7409060428711882</v>
      </c>
      <c r="H54" s="28">
        <f t="shared" si="4"/>
        <v>3.6993552220415493</v>
      </c>
      <c r="I54" s="28">
        <f t="shared" si="5"/>
        <v>3.119674929235714</v>
      </c>
      <c r="J54" s="28">
        <f t="shared" si="6"/>
        <v>68.252743918461903</v>
      </c>
      <c r="K54" s="28">
        <f t="shared" si="7"/>
        <v>23.186666666666667</v>
      </c>
      <c r="L54" s="28">
        <f t="shared" si="8"/>
        <v>0</v>
      </c>
      <c r="M54" s="2" t="str">
        <f t="shared" si="9"/>
        <v>Y</v>
      </c>
      <c r="N54" s="2" t="str">
        <f t="shared" si="10"/>
        <v/>
      </c>
      <c r="O54" s="2">
        <f t="shared" si="11"/>
        <v>0</v>
      </c>
    </row>
    <row r="55" spans="1:15">
      <c r="A55" s="27">
        <v>45</v>
      </c>
      <c r="B55" s="27">
        <v>13</v>
      </c>
      <c r="C55" s="27">
        <v>1</v>
      </c>
      <c r="D55" s="28">
        <f t="shared" si="0"/>
        <v>13</v>
      </c>
      <c r="E55" s="28">
        <f t="shared" si="1"/>
        <v>37.632427290462147</v>
      </c>
      <c r="F55" s="28">
        <f t="shared" si="2"/>
        <v>23.186666666666667</v>
      </c>
      <c r="G55" s="28">
        <f t="shared" si="3"/>
        <v>8.7409060428711882</v>
      </c>
      <c r="H55" s="28">
        <f t="shared" si="4"/>
        <v>-2.1154995431435211</v>
      </c>
      <c r="I55" s="28">
        <f t="shared" si="5"/>
        <v>3.119674929235714</v>
      </c>
      <c r="J55" s="28">
        <f t="shared" si="6"/>
        <v>68.252743918461903</v>
      </c>
      <c r="K55" s="28">
        <f t="shared" si="7"/>
        <v>23.186666666666667</v>
      </c>
      <c r="L55" s="28">
        <f t="shared" si="8"/>
        <v>0</v>
      </c>
      <c r="M55" s="2" t="str">
        <f t="shared" si="9"/>
        <v/>
      </c>
      <c r="N55" s="2" t="str">
        <f t="shared" si="10"/>
        <v/>
      </c>
      <c r="O55" s="2">
        <f t="shared" si="11"/>
        <v>28</v>
      </c>
    </row>
    <row r="56" spans="1:15">
      <c r="A56" s="27">
        <v>46</v>
      </c>
      <c r="B56" s="27">
        <v>9</v>
      </c>
      <c r="C56" s="27">
        <v>1</v>
      </c>
      <c r="D56" s="28">
        <f t="shared" si="0"/>
        <v>9</v>
      </c>
      <c r="E56" s="28">
        <f t="shared" si="1"/>
        <v>37.632427290462147</v>
      </c>
      <c r="F56" s="28">
        <f t="shared" si="2"/>
        <v>23.186666666666667</v>
      </c>
      <c r="G56" s="28">
        <f t="shared" si="3"/>
        <v>8.7409060428711882</v>
      </c>
      <c r="H56" s="28">
        <f t="shared" si="4"/>
        <v>-2.9461930810271024</v>
      </c>
      <c r="I56" s="28">
        <f t="shared" si="5"/>
        <v>3.119674929235714</v>
      </c>
      <c r="J56" s="28">
        <f t="shared" si="6"/>
        <v>68.252743918461903</v>
      </c>
      <c r="K56" s="28">
        <f t="shared" si="7"/>
        <v>23.186666666666667</v>
      </c>
      <c r="L56" s="28">
        <f t="shared" si="8"/>
        <v>0</v>
      </c>
      <c r="M56" s="2" t="str">
        <f t="shared" si="9"/>
        <v/>
      </c>
      <c r="N56" s="2" t="str">
        <f t="shared" si="10"/>
        <v/>
      </c>
      <c r="O56" s="2">
        <f t="shared" si="11"/>
        <v>4</v>
      </c>
    </row>
    <row r="57" spans="1:15">
      <c r="A57" s="27">
        <v>47</v>
      </c>
      <c r="B57" s="27">
        <v>20</v>
      </c>
      <c r="C57" s="27">
        <v>1</v>
      </c>
      <c r="D57" s="28">
        <f t="shared" si="0"/>
        <v>20</v>
      </c>
      <c r="E57" s="28">
        <f t="shared" si="1"/>
        <v>37.632427290462147</v>
      </c>
      <c r="F57" s="28">
        <f t="shared" si="2"/>
        <v>23.186666666666667</v>
      </c>
      <c r="G57" s="28">
        <f t="shared" si="3"/>
        <v>8.7409060428711882</v>
      </c>
      <c r="H57" s="28">
        <f t="shared" si="4"/>
        <v>-0.66178585184725336</v>
      </c>
      <c r="I57" s="28">
        <f t="shared" si="5"/>
        <v>3.119674929235714</v>
      </c>
      <c r="J57" s="28">
        <f t="shared" si="6"/>
        <v>68.252743918461903</v>
      </c>
      <c r="K57" s="28">
        <f t="shared" si="7"/>
        <v>23.186666666666667</v>
      </c>
      <c r="L57" s="28">
        <f t="shared" si="8"/>
        <v>0</v>
      </c>
      <c r="M57" s="2" t="str">
        <f t="shared" si="9"/>
        <v/>
      </c>
      <c r="N57" s="2" t="str">
        <f t="shared" si="10"/>
        <v/>
      </c>
      <c r="O57" s="2">
        <f t="shared" si="11"/>
        <v>11</v>
      </c>
    </row>
    <row r="58" spans="1:15">
      <c r="A58" s="27">
        <v>48</v>
      </c>
      <c r="B58" s="27">
        <v>6</v>
      </c>
      <c r="C58" s="27">
        <v>1</v>
      </c>
      <c r="D58" s="28">
        <f t="shared" si="0"/>
        <v>6</v>
      </c>
      <c r="E58" s="28">
        <f t="shared" si="1"/>
        <v>37.632427290462147</v>
      </c>
      <c r="F58" s="28">
        <f t="shared" si="2"/>
        <v>23.186666666666667</v>
      </c>
      <c r="G58" s="28">
        <f t="shared" si="3"/>
        <v>8.7409060428711882</v>
      </c>
      <c r="H58" s="28">
        <f t="shared" si="4"/>
        <v>-3.5692132344397884</v>
      </c>
      <c r="I58" s="28">
        <f t="shared" si="5"/>
        <v>3.119674929235714</v>
      </c>
      <c r="J58" s="28">
        <f t="shared" si="6"/>
        <v>68.252743918461903</v>
      </c>
      <c r="K58" s="28">
        <f t="shared" si="7"/>
        <v>23.186666666666667</v>
      </c>
      <c r="L58" s="28">
        <f t="shared" si="8"/>
        <v>0</v>
      </c>
      <c r="M58" s="2" t="str">
        <f t="shared" si="9"/>
        <v>Y</v>
      </c>
      <c r="N58" s="2" t="str">
        <f t="shared" si="10"/>
        <v/>
      </c>
      <c r="O58" s="2">
        <f t="shared" si="11"/>
        <v>14</v>
      </c>
    </row>
    <row r="59" spans="1:15">
      <c r="A59" s="27">
        <v>49</v>
      </c>
      <c r="B59" s="27">
        <v>21</v>
      </c>
      <c r="C59" s="27">
        <v>1</v>
      </c>
      <c r="D59" s="28">
        <f t="shared" si="0"/>
        <v>21</v>
      </c>
      <c r="E59" s="28">
        <f t="shared" si="1"/>
        <v>37.632427290462147</v>
      </c>
      <c r="F59" s="28">
        <f t="shared" si="2"/>
        <v>23.186666666666667</v>
      </c>
      <c r="G59" s="28">
        <f t="shared" si="3"/>
        <v>8.7409060428711882</v>
      </c>
      <c r="H59" s="28">
        <f t="shared" si="4"/>
        <v>-0.45411246737635802</v>
      </c>
      <c r="I59" s="28">
        <f t="shared" si="5"/>
        <v>3.119674929235714</v>
      </c>
      <c r="J59" s="28">
        <f t="shared" si="6"/>
        <v>68.252743918461903</v>
      </c>
      <c r="K59" s="28">
        <f t="shared" si="7"/>
        <v>23.186666666666667</v>
      </c>
      <c r="L59" s="28">
        <f t="shared" si="8"/>
        <v>0</v>
      </c>
      <c r="M59" s="2" t="str">
        <f t="shared" si="9"/>
        <v/>
      </c>
      <c r="N59" s="2" t="str">
        <f t="shared" si="10"/>
        <v/>
      </c>
      <c r="O59" s="2">
        <f t="shared" si="11"/>
        <v>15</v>
      </c>
    </row>
    <row r="60" spans="1:15">
      <c r="A60" s="27">
        <v>50</v>
      </c>
      <c r="B60" s="27">
        <v>14</v>
      </c>
      <c r="C60" s="27">
        <v>1</v>
      </c>
      <c r="D60" s="28">
        <f t="shared" si="0"/>
        <v>14</v>
      </c>
      <c r="E60" s="28">
        <f t="shared" si="1"/>
        <v>37.632427290462147</v>
      </c>
      <c r="F60" s="28">
        <f t="shared" si="2"/>
        <v>23.186666666666667</v>
      </c>
      <c r="G60" s="28">
        <f t="shared" si="3"/>
        <v>8.7409060428711882</v>
      </c>
      <c r="H60" s="28">
        <f t="shared" si="4"/>
        <v>-1.9078261586726255</v>
      </c>
      <c r="I60" s="28">
        <f t="shared" si="5"/>
        <v>3.119674929235714</v>
      </c>
      <c r="J60" s="28">
        <f t="shared" si="6"/>
        <v>68.252743918461903</v>
      </c>
      <c r="K60" s="28">
        <f t="shared" si="7"/>
        <v>23.186666666666667</v>
      </c>
      <c r="L60" s="28">
        <f t="shared" si="8"/>
        <v>0</v>
      </c>
      <c r="M60" s="2" t="str">
        <f t="shared" si="9"/>
        <v/>
      </c>
      <c r="N60" s="2" t="str">
        <f t="shared" si="10"/>
        <v/>
      </c>
      <c r="O60" s="2">
        <f t="shared" si="11"/>
        <v>7</v>
      </c>
    </row>
    <row r="61" spans="1:15">
      <c r="A61" s="27">
        <v>51</v>
      </c>
      <c r="B61" s="27">
        <v>8</v>
      </c>
      <c r="C61" s="27">
        <v>1</v>
      </c>
      <c r="D61" s="28">
        <f t="shared" si="0"/>
        <v>8</v>
      </c>
      <c r="E61" s="28">
        <f t="shared" si="1"/>
        <v>37.632427290462147</v>
      </c>
      <c r="F61" s="28">
        <f t="shared" si="2"/>
        <v>23.186666666666667</v>
      </c>
      <c r="G61" s="28">
        <f t="shared" si="3"/>
        <v>8.7409060428711882</v>
      </c>
      <c r="H61" s="28">
        <f t="shared" si="4"/>
        <v>-3.1538664654979978</v>
      </c>
      <c r="I61" s="28">
        <f t="shared" si="5"/>
        <v>3.119674929235714</v>
      </c>
      <c r="J61" s="28">
        <f t="shared" si="6"/>
        <v>68.252743918461903</v>
      </c>
      <c r="K61" s="28">
        <f t="shared" si="7"/>
        <v>23.186666666666667</v>
      </c>
      <c r="L61" s="28">
        <f t="shared" si="8"/>
        <v>0</v>
      </c>
      <c r="M61" s="2" t="str">
        <f t="shared" si="9"/>
        <v>Y</v>
      </c>
      <c r="N61" s="2" t="str">
        <f t="shared" si="10"/>
        <v/>
      </c>
      <c r="O61" s="2">
        <f t="shared" si="11"/>
        <v>6</v>
      </c>
    </row>
    <row r="62" spans="1:15">
      <c r="A62" s="27">
        <v>52</v>
      </c>
      <c r="B62" s="27">
        <v>9</v>
      </c>
      <c r="C62" s="27">
        <v>1</v>
      </c>
      <c r="D62" s="28">
        <f t="shared" si="0"/>
        <v>9</v>
      </c>
      <c r="E62" s="28">
        <f t="shared" si="1"/>
        <v>37.632427290462147</v>
      </c>
      <c r="F62" s="28">
        <f t="shared" si="2"/>
        <v>23.186666666666667</v>
      </c>
      <c r="G62" s="28">
        <f t="shared" si="3"/>
        <v>8.7409060428711882</v>
      </c>
      <c r="H62" s="28">
        <f t="shared" si="4"/>
        <v>-2.9461930810271024</v>
      </c>
      <c r="I62" s="28">
        <f t="shared" si="5"/>
        <v>3.119674929235714</v>
      </c>
      <c r="J62" s="28">
        <f t="shared" si="6"/>
        <v>68.252743918461903</v>
      </c>
      <c r="K62" s="28">
        <f t="shared" si="7"/>
        <v>23.186666666666667</v>
      </c>
      <c r="L62" s="28">
        <f t="shared" si="8"/>
        <v>0</v>
      </c>
      <c r="M62" s="2" t="str">
        <f t="shared" si="9"/>
        <v/>
      </c>
      <c r="N62" s="2" t="str">
        <f t="shared" si="10"/>
        <v/>
      </c>
      <c r="O62" s="2">
        <f t="shared" si="11"/>
        <v>1</v>
      </c>
    </row>
    <row r="63" spans="1:15">
      <c r="A63" s="27">
        <v>53</v>
      </c>
      <c r="B63" s="27">
        <v>11</v>
      </c>
      <c r="C63" s="27">
        <v>1</v>
      </c>
      <c r="D63" s="28">
        <f t="shared" si="0"/>
        <v>11</v>
      </c>
      <c r="E63" s="28">
        <f t="shared" si="1"/>
        <v>37.632427290462147</v>
      </c>
      <c r="F63" s="28">
        <f t="shared" si="2"/>
        <v>23.186666666666667</v>
      </c>
      <c r="G63" s="28">
        <f t="shared" si="3"/>
        <v>8.7409060428711882</v>
      </c>
      <c r="H63" s="28">
        <f t="shared" si="4"/>
        <v>-2.5308463120853117</v>
      </c>
      <c r="I63" s="28">
        <f t="shared" si="5"/>
        <v>3.119674929235714</v>
      </c>
      <c r="J63" s="28">
        <f t="shared" si="6"/>
        <v>68.252743918461903</v>
      </c>
      <c r="K63" s="28">
        <f t="shared" si="7"/>
        <v>23.186666666666667</v>
      </c>
      <c r="L63" s="28">
        <f t="shared" si="8"/>
        <v>0</v>
      </c>
      <c r="M63" s="2" t="str">
        <f t="shared" si="9"/>
        <v/>
      </c>
      <c r="N63" s="2" t="str">
        <f t="shared" si="10"/>
        <v/>
      </c>
      <c r="O63" s="2">
        <f t="shared" si="11"/>
        <v>2</v>
      </c>
    </row>
    <row r="64" spans="1:15">
      <c r="A64" s="27">
        <v>54</v>
      </c>
      <c r="B64" s="27">
        <v>12</v>
      </c>
      <c r="C64" s="27">
        <v>1</v>
      </c>
      <c r="D64" s="28">
        <f t="shared" si="0"/>
        <v>12</v>
      </c>
      <c r="E64" s="28">
        <f t="shared" si="1"/>
        <v>37.632427290462147</v>
      </c>
      <c r="F64" s="28">
        <f t="shared" si="2"/>
        <v>23.186666666666667</v>
      </c>
      <c r="G64" s="28">
        <f t="shared" si="3"/>
        <v>8.7409060428711882</v>
      </c>
      <c r="H64" s="28">
        <f t="shared" si="4"/>
        <v>-2.3231729276144164</v>
      </c>
      <c r="I64" s="28">
        <f t="shared" si="5"/>
        <v>3.119674929235714</v>
      </c>
      <c r="J64" s="28">
        <f t="shared" si="6"/>
        <v>68.252743918461903</v>
      </c>
      <c r="K64" s="28">
        <f t="shared" si="7"/>
        <v>23.186666666666667</v>
      </c>
      <c r="L64" s="28">
        <f t="shared" si="8"/>
        <v>0</v>
      </c>
      <c r="M64" s="2" t="str">
        <f t="shared" si="9"/>
        <v/>
      </c>
      <c r="N64" s="2" t="str">
        <f t="shared" si="10"/>
        <v/>
      </c>
      <c r="O64" s="2">
        <f t="shared" si="11"/>
        <v>1</v>
      </c>
    </row>
    <row r="65" spans="1:15">
      <c r="A65" s="27">
        <v>55</v>
      </c>
      <c r="B65" s="27">
        <v>15</v>
      </c>
      <c r="C65" s="27">
        <v>1</v>
      </c>
      <c r="D65" s="28">
        <f t="shared" si="0"/>
        <v>15</v>
      </c>
      <c r="E65" s="28">
        <f t="shared" si="1"/>
        <v>37.632427290462147</v>
      </c>
      <c r="F65" s="28">
        <f t="shared" si="2"/>
        <v>23.186666666666667</v>
      </c>
      <c r="G65" s="28">
        <f t="shared" si="3"/>
        <v>8.7409060428711882</v>
      </c>
      <c r="H65" s="28">
        <f t="shared" si="4"/>
        <v>-1.7001527742017302</v>
      </c>
      <c r="I65" s="28">
        <f t="shared" si="5"/>
        <v>3.119674929235714</v>
      </c>
      <c r="J65" s="28">
        <f t="shared" si="6"/>
        <v>68.252743918461903</v>
      </c>
      <c r="K65" s="28">
        <f t="shared" si="7"/>
        <v>23.186666666666667</v>
      </c>
      <c r="L65" s="28">
        <f t="shared" si="8"/>
        <v>0</v>
      </c>
      <c r="M65" s="2" t="str">
        <f t="shared" si="9"/>
        <v/>
      </c>
      <c r="N65" s="2" t="str">
        <f t="shared" si="10"/>
        <v/>
      </c>
      <c r="O65" s="2">
        <f t="shared" si="11"/>
        <v>3</v>
      </c>
    </row>
    <row r="66" spans="1:15">
      <c r="A66" s="27">
        <v>56</v>
      </c>
      <c r="B66" s="27">
        <v>21</v>
      </c>
      <c r="C66" s="27">
        <v>1</v>
      </c>
      <c r="D66" s="28">
        <f t="shared" si="0"/>
        <v>21</v>
      </c>
      <c r="E66" s="28">
        <f t="shared" si="1"/>
        <v>37.632427290462147</v>
      </c>
      <c r="F66" s="28">
        <f t="shared" si="2"/>
        <v>23.186666666666667</v>
      </c>
      <c r="G66" s="28">
        <f t="shared" si="3"/>
        <v>8.7409060428711882</v>
      </c>
      <c r="H66" s="28">
        <f t="shared" si="4"/>
        <v>-0.45411246737635802</v>
      </c>
      <c r="I66" s="28">
        <f t="shared" si="5"/>
        <v>3.119674929235714</v>
      </c>
      <c r="J66" s="28">
        <f t="shared" si="6"/>
        <v>68.252743918461903</v>
      </c>
      <c r="K66" s="28">
        <f t="shared" si="7"/>
        <v>23.186666666666667</v>
      </c>
      <c r="L66" s="28">
        <f t="shared" si="8"/>
        <v>0</v>
      </c>
      <c r="M66" s="2" t="str">
        <f t="shared" si="9"/>
        <v/>
      </c>
      <c r="N66" s="2" t="str">
        <f t="shared" si="10"/>
        <v/>
      </c>
      <c r="O66" s="2">
        <f t="shared" si="11"/>
        <v>6</v>
      </c>
    </row>
    <row r="67" spans="1:15">
      <c r="A67" s="27">
        <v>57</v>
      </c>
      <c r="B67" s="27">
        <v>25</v>
      </c>
      <c r="C67" s="27">
        <v>1</v>
      </c>
      <c r="D67" s="28">
        <f t="shared" si="0"/>
        <v>25</v>
      </c>
      <c r="E67" s="28">
        <f t="shared" si="1"/>
        <v>37.632427290462147</v>
      </c>
      <c r="F67" s="28">
        <f t="shared" si="2"/>
        <v>23.186666666666667</v>
      </c>
      <c r="G67" s="28">
        <f t="shared" si="3"/>
        <v>8.7409060428711882</v>
      </c>
      <c r="H67" s="28">
        <f t="shared" si="4"/>
        <v>0.37658107050722345</v>
      </c>
      <c r="I67" s="28">
        <f t="shared" si="5"/>
        <v>3.119674929235714</v>
      </c>
      <c r="J67" s="28">
        <f t="shared" si="6"/>
        <v>68.252743918461903</v>
      </c>
      <c r="K67" s="28">
        <f t="shared" si="7"/>
        <v>23.186666666666667</v>
      </c>
      <c r="L67" s="28">
        <f t="shared" si="8"/>
        <v>0</v>
      </c>
      <c r="M67" s="2" t="str">
        <f t="shared" si="9"/>
        <v/>
      </c>
      <c r="N67" s="2" t="str">
        <f t="shared" si="10"/>
        <v/>
      </c>
      <c r="O67" s="2">
        <f t="shared" si="11"/>
        <v>4</v>
      </c>
    </row>
    <row r="68" spans="1:15">
      <c r="A68" s="27">
        <v>58</v>
      </c>
      <c r="B68" s="27">
        <v>10</v>
      </c>
      <c r="C68" s="27">
        <v>1</v>
      </c>
      <c r="D68" s="28">
        <f t="shared" si="0"/>
        <v>10</v>
      </c>
      <c r="E68" s="28">
        <f t="shared" si="1"/>
        <v>37.632427290462147</v>
      </c>
      <c r="F68" s="28">
        <f t="shared" si="2"/>
        <v>23.186666666666667</v>
      </c>
      <c r="G68" s="28">
        <f t="shared" si="3"/>
        <v>8.7409060428711882</v>
      </c>
      <c r="H68" s="28">
        <f t="shared" si="4"/>
        <v>-2.7385196965562071</v>
      </c>
      <c r="I68" s="28">
        <f t="shared" si="5"/>
        <v>3.119674929235714</v>
      </c>
      <c r="J68" s="28">
        <f t="shared" si="6"/>
        <v>68.252743918461903</v>
      </c>
      <c r="K68" s="28">
        <f t="shared" si="7"/>
        <v>23.186666666666667</v>
      </c>
      <c r="L68" s="28">
        <f t="shared" si="8"/>
        <v>0</v>
      </c>
      <c r="M68" s="2" t="str">
        <f t="shared" si="9"/>
        <v/>
      </c>
      <c r="N68" s="2" t="str">
        <f t="shared" si="10"/>
        <v/>
      </c>
      <c r="O68" s="2">
        <f t="shared" si="11"/>
        <v>15</v>
      </c>
    </row>
    <row r="69" spans="1:15">
      <c r="A69" s="27">
        <v>59</v>
      </c>
      <c r="B69" s="27">
        <v>19</v>
      </c>
      <c r="C69" s="27">
        <v>1</v>
      </c>
      <c r="D69" s="28">
        <f t="shared" si="0"/>
        <v>19</v>
      </c>
      <c r="E69" s="28">
        <f t="shared" si="1"/>
        <v>37.632427290462147</v>
      </c>
      <c r="F69" s="28">
        <f t="shared" si="2"/>
        <v>23.186666666666667</v>
      </c>
      <c r="G69" s="28">
        <f t="shared" si="3"/>
        <v>8.7409060428711882</v>
      </c>
      <c r="H69" s="28">
        <f t="shared" si="4"/>
        <v>-0.8694592363181487</v>
      </c>
      <c r="I69" s="28">
        <f t="shared" si="5"/>
        <v>3.119674929235714</v>
      </c>
      <c r="J69" s="28">
        <f t="shared" si="6"/>
        <v>68.252743918461903</v>
      </c>
      <c r="K69" s="28">
        <f t="shared" si="7"/>
        <v>23.186666666666667</v>
      </c>
      <c r="L69" s="28">
        <f t="shared" si="8"/>
        <v>0</v>
      </c>
      <c r="M69" s="2" t="str">
        <f t="shared" si="9"/>
        <v/>
      </c>
      <c r="N69" s="2" t="str">
        <f t="shared" si="10"/>
        <v/>
      </c>
      <c r="O69" s="2">
        <f t="shared" si="11"/>
        <v>9</v>
      </c>
    </row>
    <row r="70" spans="1:15">
      <c r="A70" s="27">
        <v>60</v>
      </c>
      <c r="B70" s="27">
        <v>16</v>
      </c>
      <c r="C70" s="27">
        <v>1</v>
      </c>
      <c r="D70" s="28">
        <f t="shared" si="0"/>
        <v>16</v>
      </c>
      <c r="E70" s="28">
        <f t="shared" si="1"/>
        <v>37.632427290462147</v>
      </c>
      <c r="F70" s="28">
        <f t="shared" si="2"/>
        <v>23.186666666666667</v>
      </c>
      <c r="G70" s="28">
        <f t="shared" si="3"/>
        <v>8.7409060428711882</v>
      </c>
      <c r="H70" s="28">
        <f t="shared" si="4"/>
        <v>-1.4924793897308348</v>
      </c>
      <c r="I70" s="28">
        <f t="shared" si="5"/>
        <v>3.119674929235714</v>
      </c>
      <c r="J70" s="28">
        <f t="shared" si="6"/>
        <v>68.252743918461903</v>
      </c>
      <c r="K70" s="28">
        <f t="shared" si="7"/>
        <v>23.186666666666667</v>
      </c>
      <c r="L70" s="28">
        <f t="shared" si="8"/>
        <v>0</v>
      </c>
      <c r="M70" s="2" t="str">
        <f t="shared" si="9"/>
        <v/>
      </c>
      <c r="N70" s="2" t="str">
        <f t="shared" si="10"/>
        <v/>
      </c>
      <c r="O70" s="2">
        <f t="shared" si="11"/>
        <v>3</v>
      </c>
    </row>
    <row r="71" spans="1:15">
      <c r="A71" s="27">
        <v>61</v>
      </c>
      <c r="B71" s="27">
        <v>10</v>
      </c>
      <c r="C71" s="27">
        <v>1</v>
      </c>
      <c r="D71" s="28">
        <f t="shared" si="0"/>
        <v>10</v>
      </c>
      <c r="E71" s="28">
        <f t="shared" si="1"/>
        <v>37.632427290462147</v>
      </c>
      <c r="F71" s="28">
        <f t="shared" si="2"/>
        <v>23.186666666666667</v>
      </c>
      <c r="G71" s="28">
        <f t="shared" si="3"/>
        <v>8.7409060428711882</v>
      </c>
      <c r="H71" s="28">
        <f t="shared" si="4"/>
        <v>-2.7385196965562071</v>
      </c>
      <c r="I71" s="28">
        <f t="shared" si="5"/>
        <v>3.119674929235714</v>
      </c>
      <c r="J71" s="28">
        <f t="shared" si="6"/>
        <v>68.252743918461903</v>
      </c>
      <c r="K71" s="28">
        <f t="shared" si="7"/>
        <v>23.186666666666667</v>
      </c>
      <c r="L71" s="28">
        <f t="shared" si="8"/>
        <v>0</v>
      </c>
      <c r="M71" s="2" t="str">
        <f t="shared" si="9"/>
        <v/>
      </c>
      <c r="N71" s="2" t="str">
        <f t="shared" si="10"/>
        <v/>
      </c>
      <c r="O71" s="2">
        <f t="shared" si="11"/>
        <v>6</v>
      </c>
    </row>
    <row r="72" spans="1:15">
      <c r="A72" s="27">
        <v>62</v>
      </c>
      <c r="B72" s="27">
        <v>9</v>
      </c>
      <c r="C72" s="27">
        <v>1</v>
      </c>
      <c r="D72" s="28">
        <f t="shared" si="0"/>
        <v>9</v>
      </c>
      <c r="E72" s="28">
        <f t="shared" si="1"/>
        <v>37.632427290462147</v>
      </c>
      <c r="F72" s="28">
        <f t="shared" si="2"/>
        <v>23.186666666666667</v>
      </c>
      <c r="G72" s="28">
        <f t="shared" si="3"/>
        <v>8.7409060428711882</v>
      </c>
      <c r="H72" s="28">
        <f t="shared" si="4"/>
        <v>-2.9461930810271024</v>
      </c>
      <c r="I72" s="28">
        <f t="shared" si="5"/>
        <v>3.119674929235714</v>
      </c>
      <c r="J72" s="28">
        <f t="shared" si="6"/>
        <v>68.252743918461903</v>
      </c>
      <c r="K72" s="28">
        <f t="shared" si="7"/>
        <v>23.186666666666667</v>
      </c>
      <c r="L72" s="28">
        <f t="shared" si="8"/>
        <v>0</v>
      </c>
      <c r="M72" s="2" t="str">
        <f t="shared" si="9"/>
        <v/>
      </c>
      <c r="N72" s="2" t="str">
        <f t="shared" si="10"/>
        <v/>
      </c>
      <c r="O72" s="2">
        <f t="shared" si="11"/>
        <v>1</v>
      </c>
    </row>
    <row r="73" spans="1:15">
      <c r="A73" s="27">
        <v>63</v>
      </c>
      <c r="B73" s="27">
        <v>10</v>
      </c>
      <c r="C73" s="27">
        <v>1</v>
      </c>
      <c r="D73" s="28">
        <f t="shared" si="0"/>
        <v>10</v>
      </c>
      <c r="E73" s="28">
        <f t="shared" si="1"/>
        <v>37.632427290462147</v>
      </c>
      <c r="F73" s="28">
        <f t="shared" si="2"/>
        <v>23.186666666666667</v>
      </c>
      <c r="G73" s="28">
        <f t="shared" si="3"/>
        <v>8.7409060428711882</v>
      </c>
      <c r="H73" s="28">
        <f t="shared" si="4"/>
        <v>-2.7385196965562071</v>
      </c>
      <c r="I73" s="28">
        <f t="shared" si="5"/>
        <v>3.119674929235714</v>
      </c>
      <c r="J73" s="28">
        <f t="shared" si="6"/>
        <v>68.252743918461903</v>
      </c>
      <c r="K73" s="28">
        <f t="shared" si="7"/>
        <v>23.186666666666667</v>
      </c>
      <c r="L73" s="28">
        <f t="shared" si="8"/>
        <v>0</v>
      </c>
      <c r="M73" s="2" t="str">
        <f t="shared" si="9"/>
        <v/>
      </c>
      <c r="N73" s="2" t="str">
        <f t="shared" si="10"/>
        <v/>
      </c>
      <c r="O73" s="2">
        <f t="shared" si="11"/>
        <v>1</v>
      </c>
    </row>
    <row r="74" spans="1:15">
      <c r="A74" s="27">
        <v>64</v>
      </c>
      <c r="B74" s="27">
        <v>16</v>
      </c>
      <c r="C74" s="27">
        <v>1</v>
      </c>
      <c r="D74" s="28">
        <f t="shared" si="0"/>
        <v>16</v>
      </c>
      <c r="E74" s="28">
        <f t="shared" si="1"/>
        <v>37.632427290462147</v>
      </c>
      <c r="F74" s="28">
        <f t="shared" si="2"/>
        <v>23.186666666666667</v>
      </c>
      <c r="G74" s="28">
        <f t="shared" si="3"/>
        <v>8.7409060428711882</v>
      </c>
      <c r="H74" s="28">
        <f t="shared" si="4"/>
        <v>-1.4924793897308348</v>
      </c>
      <c r="I74" s="28">
        <f t="shared" si="5"/>
        <v>3.119674929235714</v>
      </c>
      <c r="J74" s="28">
        <f t="shared" si="6"/>
        <v>68.252743918461903</v>
      </c>
      <c r="K74" s="28">
        <f t="shared" si="7"/>
        <v>23.186666666666667</v>
      </c>
      <c r="L74" s="28">
        <f t="shared" si="8"/>
        <v>0</v>
      </c>
      <c r="M74" s="2" t="str">
        <f t="shared" si="9"/>
        <v/>
      </c>
      <c r="N74" s="2" t="str">
        <f t="shared" si="10"/>
        <v/>
      </c>
      <c r="O74" s="2">
        <f t="shared" si="11"/>
        <v>6</v>
      </c>
    </row>
    <row r="75" spans="1:15">
      <c r="A75" s="27">
        <v>65</v>
      </c>
      <c r="B75" s="27">
        <v>14</v>
      </c>
      <c r="C75" s="27">
        <v>1</v>
      </c>
      <c r="D75" s="28">
        <f t="shared" ref="D75:D138" si="12">IF(C75=0,"",B75/C75)</f>
        <v>14</v>
      </c>
      <c r="E75" s="28">
        <f t="shared" ref="E75:E138" si="13">IF(C75=0,"",$F$5+3*SQRT($F$5/C75))</f>
        <v>37.632427290462147</v>
      </c>
      <c r="F75" s="28">
        <f t="shared" ref="F75:F138" si="14">$F$5</f>
        <v>23.186666666666667</v>
      </c>
      <c r="G75" s="28">
        <f t="shared" ref="G75:G138" si="15">IF(C75=0,"",MAX(0,$F$5-3*SQRT($F$5/C75)))</f>
        <v>8.7409060428711882</v>
      </c>
      <c r="H75" s="28">
        <f t="shared" ref="H75:H138" si="16">IF(C75=0,"",(D75-$F$5)/SQRT($F$5/C75))</f>
        <v>-1.9078261586726255</v>
      </c>
      <c r="I75" s="28">
        <f t="shared" ref="I75:I138" si="17">$F$6</f>
        <v>3.119674929235714</v>
      </c>
      <c r="J75" s="28">
        <f t="shared" ref="J75:J138" si="18">IF(C75=0,"",$F$5+3*$F$6*SQRT($F$5/C75))</f>
        <v>68.252743918461903</v>
      </c>
      <c r="K75" s="28">
        <f t="shared" ref="K75:K138" si="19">$F$5</f>
        <v>23.186666666666667</v>
      </c>
      <c r="L75" s="28">
        <f t="shared" ref="L75:L138" si="20">IF(C75=0,"",MAX(0,$F$5-3*$F$6*SQRT($F$5/C75)))</f>
        <v>0</v>
      </c>
      <c r="M75" s="2" t="str">
        <f t="shared" ref="M75:M138" si="21">IF(OR(D75&gt;E75,D75&lt;G75),"Y","")</f>
        <v/>
      </c>
      <c r="N75" s="2" t="str">
        <f t="shared" ref="N75:N138" si="22">IF(OR(D75&gt;J75,D75&lt;L75),"Y","")</f>
        <v/>
      </c>
      <c r="O75" s="2">
        <f t="shared" si="11"/>
        <v>2</v>
      </c>
    </row>
    <row r="76" spans="1:15">
      <c r="A76" s="27">
        <v>66</v>
      </c>
      <c r="B76" s="27">
        <v>15</v>
      </c>
      <c r="C76" s="27">
        <v>1</v>
      </c>
      <c r="D76" s="28">
        <f t="shared" si="12"/>
        <v>15</v>
      </c>
      <c r="E76" s="28">
        <f t="shared" si="13"/>
        <v>37.632427290462147</v>
      </c>
      <c r="F76" s="28">
        <f t="shared" si="14"/>
        <v>23.186666666666667</v>
      </c>
      <c r="G76" s="28">
        <f t="shared" si="15"/>
        <v>8.7409060428711882</v>
      </c>
      <c r="H76" s="28">
        <f t="shared" si="16"/>
        <v>-1.7001527742017302</v>
      </c>
      <c r="I76" s="28">
        <f t="shared" si="17"/>
        <v>3.119674929235714</v>
      </c>
      <c r="J76" s="28">
        <f t="shared" si="18"/>
        <v>68.252743918461903</v>
      </c>
      <c r="K76" s="28">
        <f t="shared" si="19"/>
        <v>23.186666666666667</v>
      </c>
      <c r="L76" s="28">
        <f t="shared" si="20"/>
        <v>0</v>
      </c>
      <c r="M76" s="2" t="str">
        <f t="shared" si="21"/>
        <v/>
      </c>
      <c r="N76" s="2" t="str">
        <f t="shared" si="22"/>
        <v/>
      </c>
      <c r="O76" s="2">
        <f t="shared" ref="O76:O139" si="23">ABS(D76-D75)</f>
        <v>1</v>
      </c>
    </row>
    <row r="77" spans="1:15">
      <c r="A77" s="27">
        <v>67</v>
      </c>
      <c r="B77" s="27">
        <v>11</v>
      </c>
      <c r="C77" s="27">
        <v>1</v>
      </c>
      <c r="D77" s="28">
        <f t="shared" si="12"/>
        <v>11</v>
      </c>
      <c r="E77" s="28">
        <f t="shared" si="13"/>
        <v>37.632427290462147</v>
      </c>
      <c r="F77" s="28">
        <f t="shared" si="14"/>
        <v>23.186666666666667</v>
      </c>
      <c r="G77" s="28">
        <f t="shared" si="15"/>
        <v>8.7409060428711882</v>
      </c>
      <c r="H77" s="28">
        <f t="shared" si="16"/>
        <v>-2.5308463120853117</v>
      </c>
      <c r="I77" s="28">
        <f t="shared" si="17"/>
        <v>3.119674929235714</v>
      </c>
      <c r="J77" s="28">
        <f t="shared" si="18"/>
        <v>68.252743918461903</v>
      </c>
      <c r="K77" s="28">
        <f t="shared" si="19"/>
        <v>23.186666666666667</v>
      </c>
      <c r="L77" s="28">
        <f t="shared" si="20"/>
        <v>0</v>
      </c>
      <c r="M77" s="2" t="str">
        <f t="shared" si="21"/>
        <v/>
      </c>
      <c r="N77" s="2" t="str">
        <f t="shared" si="22"/>
        <v/>
      </c>
      <c r="O77" s="2">
        <f t="shared" si="23"/>
        <v>4</v>
      </c>
    </row>
    <row r="78" spans="1:15">
      <c r="A78" s="27">
        <v>68</v>
      </c>
      <c r="B78" s="27">
        <v>15</v>
      </c>
      <c r="C78" s="27">
        <v>1</v>
      </c>
      <c r="D78" s="28">
        <f t="shared" si="12"/>
        <v>15</v>
      </c>
      <c r="E78" s="28">
        <f t="shared" si="13"/>
        <v>37.632427290462147</v>
      </c>
      <c r="F78" s="28">
        <f t="shared" si="14"/>
        <v>23.186666666666667</v>
      </c>
      <c r="G78" s="28">
        <f t="shared" si="15"/>
        <v>8.7409060428711882</v>
      </c>
      <c r="H78" s="28">
        <f t="shared" si="16"/>
        <v>-1.7001527742017302</v>
      </c>
      <c r="I78" s="28">
        <f t="shared" si="17"/>
        <v>3.119674929235714</v>
      </c>
      <c r="J78" s="28">
        <f t="shared" si="18"/>
        <v>68.252743918461903</v>
      </c>
      <c r="K78" s="28">
        <f t="shared" si="19"/>
        <v>23.186666666666667</v>
      </c>
      <c r="L78" s="28">
        <f t="shared" si="20"/>
        <v>0</v>
      </c>
      <c r="M78" s="2" t="str">
        <f t="shared" si="21"/>
        <v/>
      </c>
      <c r="N78" s="2" t="str">
        <f t="shared" si="22"/>
        <v/>
      </c>
      <c r="O78" s="2">
        <f t="shared" si="23"/>
        <v>4</v>
      </c>
    </row>
    <row r="79" spans="1:15">
      <c r="A79" s="27">
        <v>69</v>
      </c>
      <c r="B79" s="27">
        <v>16</v>
      </c>
      <c r="C79" s="27">
        <v>1</v>
      </c>
      <c r="D79" s="28">
        <f t="shared" si="12"/>
        <v>16</v>
      </c>
      <c r="E79" s="28">
        <f t="shared" si="13"/>
        <v>37.632427290462147</v>
      </c>
      <c r="F79" s="28">
        <f t="shared" si="14"/>
        <v>23.186666666666667</v>
      </c>
      <c r="G79" s="28">
        <f t="shared" si="15"/>
        <v>8.7409060428711882</v>
      </c>
      <c r="H79" s="28">
        <f t="shared" si="16"/>
        <v>-1.4924793897308348</v>
      </c>
      <c r="I79" s="28">
        <f t="shared" si="17"/>
        <v>3.119674929235714</v>
      </c>
      <c r="J79" s="28">
        <f t="shared" si="18"/>
        <v>68.252743918461903</v>
      </c>
      <c r="K79" s="28">
        <f t="shared" si="19"/>
        <v>23.186666666666667</v>
      </c>
      <c r="L79" s="28">
        <f t="shared" si="20"/>
        <v>0</v>
      </c>
      <c r="M79" s="2" t="str">
        <f t="shared" si="21"/>
        <v/>
      </c>
      <c r="N79" s="2" t="str">
        <f t="shared" si="22"/>
        <v/>
      </c>
      <c r="O79" s="2">
        <f t="shared" si="23"/>
        <v>1</v>
      </c>
    </row>
    <row r="80" spans="1:15">
      <c r="A80" s="27">
        <v>70</v>
      </c>
      <c r="B80" s="27">
        <v>13</v>
      </c>
      <c r="C80" s="27">
        <v>1</v>
      </c>
      <c r="D80" s="28">
        <f t="shared" si="12"/>
        <v>13</v>
      </c>
      <c r="E80" s="28">
        <f t="shared" si="13"/>
        <v>37.632427290462147</v>
      </c>
      <c r="F80" s="28">
        <f t="shared" si="14"/>
        <v>23.186666666666667</v>
      </c>
      <c r="G80" s="28">
        <f t="shared" si="15"/>
        <v>8.7409060428711882</v>
      </c>
      <c r="H80" s="28">
        <f t="shared" si="16"/>
        <v>-2.1154995431435211</v>
      </c>
      <c r="I80" s="28">
        <f t="shared" si="17"/>
        <v>3.119674929235714</v>
      </c>
      <c r="J80" s="28">
        <f t="shared" si="18"/>
        <v>68.252743918461903</v>
      </c>
      <c r="K80" s="28">
        <f t="shared" si="19"/>
        <v>23.186666666666667</v>
      </c>
      <c r="L80" s="28">
        <f t="shared" si="20"/>
        <v>0</v>
      </c>
      <c r="M80" s="2" t="str">
        <f t="shared" si="21"/>
        <v/>
      </c>
      <c r="N80" s="2" t="str">
        <f t="shared" si="22"/>
        <v/>
      </c>
      <c r="O80" s="2">
        <f t="shared" si="23"/>
        <v>3</v>
      </c>
    </row>
    <row r="81" spans="1:15">
      <c r="A81" s="27">
        <v>71</v>
      </c>
      <c r="B81" s="27">
        <v>9</v>
      </c>
      <c r="C81" s="27">
        <v>1</v>
      </c>
      <c r="D81" s="28">
        <f t="shared" si="12"/>
        <v>9</v>
      </c>
      <c r="E81" s="28">
        <f t="shared" si="13"/>
        <v>37.632427290462147</v>
      </c>
      <c r="F81" s="28">
        <f t="shared" si="14"/>
        <v>23.186666666666667</v>
      </c>
      <c r="G81" s="28">
        <f t="shared" si="15"/>
        <v>8.7409060428711882</v>
      </c>
      <c r="H81" s="28">
        <f t="shared" si="16"/>
        <v>-2.9461930810271024</v>
      </c>
      <c r="I81" s="28">
        <f t="shared" si="17"/>
        <v>3.119674929235714</v>
      </c>
      <c r="J81" s="28">
        <f t="shared" si="18"/>
        <v>68.252743918461903</v>
      </c>
      <c r="K81" s="28">
        <f t="shared" si="19"/>
        <v>23.186666666666667</v>
      </c>
      <c r="L81" s="28">
        <f t="shared" si="20"/>
        <v>0</v>
      </c>
      <c r="M81" s="2" t="str">
        <f t="shared" si="21"/>
        <v/>
      </c>
      <c r="N81" s="2" t="str">
        <f t="shared" si="22"/>
        <v/>
      </c>
      <c r="O81" s="2">
        <f t="shared" si="23"/>
        <v>4</v>
      </c>
    </row>
    <row r="82" spans="1:15">
      <c r="A82" s="27">
        <v>72</v>
      </c>
      <c r="B82" s="27">
        <v>23</v>
      </c>
      <c r="C82" s="27">
        <v>1</v>
      </c>
      <c r="D82" s="28">
        <f t="shared" si="12"/>
        <v>23</v>
      </c>
      <c r="E82" s="28">
        <f t="shared" si="13"/>
        <v>37.632427290462147</v>
      </c>
      <c r="F82" s="28">
        <f t="shared" si="14"/>
        <v>23.186666666666667</v>
      </c>
      <c r="G82" s="28">
        <f t="shared" si="15"/>
        <v>8.7409060428711882</v>
      </c>
      <c r="H82" s="28">
        <f t="shared" si="16"/>
        <v>-3.8765698434567293E-2</v>
      </c>
      <c r="I82" s="28">
        <f t="shared" si="17"/>
        <v>3.119674929235714</v>
      </c>
      <c r="J82" s="28">
        <f t="shared" si="18"/>
        <v>68.252743918461903</v>
      </c>
      <c r="K82" s="28">
        <f t="shared" si="19"/>
        <v>23.186666666666667</v>
      </c>
      <c r="L82" s="28">
        <f t="shared" si="20"/>
        <v>0</v>
      </c>
      <c r="M82" s="2" t="str">
        <f t="shared" si="21"/>
        <v/>
      </c>
      <c r="N82" s="2" t="str">
        <f t="shared" si="22"/>
        <v/>
      </c>
      <c r="O82" s="2">
        <f t="shared" si="23"/>
        <v>14</v>
      </c>
    </row>
    <row r="83" spans="1:15">
      <c r="A83" s="27">
        <v>73</v>
      </c>
      <c r="B83" s="27">
        <v>10</v>
      </c>
      <c r="C83" s="27">
        <v>1</v>
      </c>
      <c r="D83" s="28">
        <f t="shared" si="12"/>
        <v>10</v>
      </c>
      <c r="E83" s="28">
        <f t="shared" si="13"/>
        <v>37.632427290462147</v>
      </c>
      <c r="F83" s="28">
        <f t="shared" si="14"/>
        <v>23.186666666666667</v>
      </c>
      <c r="G83" s="28">
        <f t="shared" si="15"/>
        <v>8.7409060428711882</v>
      </c>
      <c r="H83" s="28">
        <f t="shared" si="16"/>
        <v>-2.7385196965562071</v>
      </c>
      <c r="I83" s="28">
        <f t="shared" si="17"/>
        <v>3.119674929235714</v>
      </c>
      <c r="J83" s="28">
        <f t="shared" si="18"/>
        <v>68.252743918461903</v>
      </c>
      <c r="K83" s="28">
        <f t="shared" si="19"/>
        <v>23.186666666666667</v>
      </c>
      <c r="L83" s="28">
        <f t="shared" si="20"/>
        <v>0</v>
      </c>
      <c r="M83" s="2" t="str">
        <f t="shared" si="21"/>
        <v/>
      </c>
      <c r="N83" s="2" t="str">
        <f t="shared" si="22"/>
        <v/>
      </c>
      <c r="O83" s="2">
        <f t="shared" si="23"/>
        <v>13</v>
      </c>
    </row>
    <row r="84" spans="1:15">
      <c r="A84" s="27">
        <v>74</v>
      </c>
      <c r="B84" s="27">
        <v>10</v>
      </c>
      <c r="C84" s="27">
        <v>1</v>
      </c>
      <c r="D84" s="28">
        <f t="shared" si="12"/>
        <v>10</v>
      </c>
      <c r="E84" s="28">
        <f t="shared" si="13"/>
        <v>37.632427290462147</v>
      </c>
      <c r="F84" s="28">
        <f t="shared" si="14"/>
        <v>23.186666666666667</v>
      </c>
      <c r="G84" s="28">
        <f t="shared" si="15"/>
        <v>8.7409060428711882</v>
      </c>
      <c r="H84" s="28">
        <f t="shared" si="16"/>
        <v>-2.7385196965562071</v>
      </c>
      <c r="I84" s="28">
        <f t="shared" si="17"/>
        <v>3.119674929235714</v>
      </c>
      <c r="J84" s="28">
        <f t="shared" si="18"/>
        <v>68.252743918461903</v>
      </c>
      <c r="K84" s="28">
        <f t="shared" si="19"/>
        <v>23.186666666666667</v>
      </c>
      <c r="L84" s="28">
        <f t="shared" si="20"/>
        <v>0</v>
      </c>
      <c r="M84" s="2" t="str">
        <f t="shared" si="21"/>
        <v/>
      </c>
      <c r="N84" s="2" t="str">
        <f t="shared" si="22"/>
        <v/>
      </c>
      <c r="O84" s="2">
        <f t="shared" si="23"/>
        <v>0</v>
      </c>
    </row>
    <row r="85" spans="1:15">
      <c r="A85" s="27">
        <v>75</v>
      </c>
      <c r="B85" s="27">
        <v>12</v>
      </c>
      <c r="C85" s="27">
        <v>1</v>
      </c>
      <c r="D85" s="28">
        <f t="shared" si="12"/>
        <v>12</v>
      </c>
      <c r="E85" s="28">
        <f t="shared" si="13"/>
        <v>37.632427290462147</v>
      </c>
      <c r="F85" s="28">
        <f t="shared" si="14"/>
        <v>23.186666666666667</v>
      </c>
      <c r="G85" s="28">
        <f t="shared" si="15"/>
        <v>8.7409060428711882</v>
      </c>
      <c r="H85" s="28">
        <f t="shared" si="16"/>
        <v>-2.3231729276144164</v>
      </c>
      <c r="I85" s="28">
        <f t="shared" si="17"/>
        <v>3.119674929235714</v>
      </c>
      <c r="J85" s="28">
        <f t="shared" si="18"/>
        <v>68.252743918461903</v>
      </c>
      <c r="K85" s="28">
        <f t="shared" si="19"/>
        <v>23.186666666666667</v>
      </c>
      <c r="L85" s="28">
        <f t="shared" si="20"/>
        <v>0</v>
      </c>
      <c r="M85" s="2" t="str">
        <f t="shared" si="21"/>
        <v/>
      </c>
      <c r="N85" s="2" t="str">
        <f t="shared" si="22"/>
        <v/>
      </c>
      <c r="O85" s="2">
        <f t="shared" si="23"/>
        <v>2</v>
      </c>
    </row>
    <row r="86" spans="1:15">
      <c r="A86" s="27">
        <v>76</v>
      </c>
      <c r="B86" s="27">
        <v>17</v>
      </c>
      <c r="C86" s="27">
        <v>1</v>
      </c>
      <c r="D86" s="28">
        <f t="shared" si="12"/>
        <v>17</v>
      </c>
      <c r="E86" s="28">
        <f t="shared" si="13"/>
        <v>37.632427290462147</v>
      </c>
      <c r="F86" s="28">
        <f t="shared" si="14"/>
        <v>23.186666666666667</v>
      </c>
      <c r="G86" s="28">
        <f t="shared" si="15"/>
        <v>8.7409060428711882</v>
      </c>
      <c r="H86" s="28">
        <f t="shared" si="16"/>
        <v>-1.2848060052599395</v>
      </c>
      <c r="I86" s="28">
        <f t="shared" si="17"/>
        <v>3.119674929235714</v>
      </c>
      <c r="J86" s="28">
        <f t="shared" si="18"/>
        <v>68.252743918461903</v>
      </c>
      <c r="K86" s="28">
        <f t="shared" si="19"/>
        <v>23.186666666666667</v>
      </c>
      <c r="L86" s="28">
        <f t="shared" si="20"/>
        <v>0</v>
      </c>
      <c r="M86" s="2" t="str">
        <f t="shared" si="21"/>
        <v/>
      </c>
      <c r="N86" s="2" t="str">
        <f t="shared" si="22"/>
        <v/>
      </c>
      <c r="O86" s="2">
        <f t="shared" si="23"/>
        <v>5</v>
      </c>
    </row>
    <row r="87" spans="1:15">
      <c r="A87" s="27">
        <v>77</v>
      </c>
      <c r="B87" s="27">
        <v>11</v>
      </c>
      <c r="C87" s="27">
        <v>1</v>
      </c>
      <c r="D87" s="28">
        <f t="shared" si="12"/>
        <v>11</v>
      </c>
      <c r="E87" s="28">
        <f t="shared" si="13"/>
        <v>37.632427290462147</v>
      </c>
      <c r="F87" s="28">
        <f t="shared" si="14"/>
        <v>23.186666666666667</v>
      </c>
      <c r="G87" s="28">
        <f t="shared" si="15"/>
        <v>8.7409060428711882</v>
      </c>
      <c r="H87" s="28">
        <f t="shared" si="16"/>
        <v>-2.5308463120853117</v>
      </c>
      <c r="I87" s="28">
        <f t="shared" si="17"/>
        <v>3.119674929235714</v>
      </c>
      <c r="J87" s="28">
        <f t="shared" si="18"/>
        <v>68.252743918461903</v>
      </c>
      <c r="K87" s="28">
        <f t="shared" si="19"/>
        <v>23.186666666666667</v>
      </c>
      <c r="L87" s="28">
        <f t="shared" si="20"/>
        <v>0</v>
      </c>
      <c r="M87" s="2" t="str">
        <f t="shared" si="21"/>
        <v/>
      </c>
      <c r="N87" s="2" t="str">
        <f t="shared" si="22"/>
        <v/>
      </c>
      <c r="O87" s="2">
        <f t="shared" si="23"/>
        <v>6</v>
      </c>
    </row>
    <row r="88" spans="1:15">
      <c r="A88" s="27">
        <v>78</v>
      </c>
      <c r="B88" s="27">
        <v>20</v>
      </c>
      <c r="C88" s="27">
        <v>1</v>
      </c>
      <c r="D88" s="28">
        <f t="shared" si="12"/>
        <v>20</v>
      </c>
      <c r="E88" s="28">
        <f t="shared" si="13"/>
        <v>37.632427290462147</v>
      </c>
      <c r="F88" s="28">
        <f t="shared" si="14"/>
        <v>23.186666666666667</v>
      </c>
      <c r="G88" s="28">
        <f t="shared" si="15"/>
        <v>8.7409060428711882</v>
      </c>
      <c r="H88" s="28">
        <f t="shared" si="16"/>
        <v>-0.66178585184725336</v>
      </c>
      <c r="I88" s="28">
        <f t="shared" si="17"/>
        <v>3.119674929235714</v>
      </c>
      <c r="J88" s="28">
        <f t="shared" si="18"/>
        <v>68.252743918461903</v>
      </c>
      <c r="K88" s="28">
        <f t="shared" si="19"/>
        <v>23.186666666666667</v>
      </c>
      <c r="L88" s="28">
        <f t="shared" si="20"/>
        <v>0</v>
      </c>
      <c r="M88" s="2" t="str">
        <f t="shared" si="21"/>
        <v/>
      </c>
      <c r="N88" s="2" t="str">
        <f t="shared" si="22"/>
        <v/>
      </c>
      <c r="O88" s="2">
        <f t="shared" si="23"/>
        <v>9</v>
      </c>
    </row>
    <row r="89" spans="1:15">
      <c r="A89" s="27">
        <v>79</v>
      </c>
      <c r="B89" s="27">
        <v>22</v>
      </c>
      <c r="C89" s="27">
        <v>1</v>
      </c>
      <c r="D89" s="28">
        <f t="shared" si="12"/>
        <v>22</v>
      </c>
      <c r="E89" s="28">
        <f t="shared" si="13"/>
        <v>37.632427290462147</v>
      </c>
      <c r="F89" s="28">
        <f t="shared" si="14"/>
        <v>23.186666666666667</v>
      </c>
      <c r="G89" s="28">
        <f t="shared" si="15"/>
        <v>8.7409060428711882</v>
      </c>
      <c r="H89" s="28">
        <f t="shared" si="16"/>
        <v>-0.24643908290546265</v>
      </c>
      <c r="I89" s="28">
        <f t="shared" si="17"/>
        <v>3.119674929235714</v>
      </c>
      <c r="J89" s="28">
        <f t="shared" si="18"/>
        <v>68.252743918461903</v>
      </c>
      <c r="K89" s="28">
        <f t="shared" si="19"/>
        <v>23.186666666666667</v>
      </c>
      <c r="L89" s="28">
        <f t="shared" si="20"/>
        <v>0</v>
      </c>
      <c r="M89" s="2" t="str">
        <f t="shared" si="21"/>
        <v/>
      </c>
      <c r="N89" s="2" t="str">
        <f t="shared" si="22"/>
        <v/>
      </c>
      <c r="O89" s="2">
        <f t="shared" si="23"/>
        <v>2</v>
      </c>
    </row>
    <row r="90" spans="1:15">
      <c r="A90" s="27">
        <v>80</v>
      </c>
      <c r="B90" s="27">
        <v>23</v>
      </c>
      <c r="C90" s="27">
        <v>1</v>
      </c>
      <c r="D90" s="28">
        <f t="shared" si="12"/>
        <v>23</v>
      </c>
      <c r="E90" s="28">
        <f t="shared" si="13"/>
        <v>37.632427290462147</v>
      </c>
      <c r="F90" s="28">
        <f t="shared" si="14"/>
        <v>23.186666666666667</v>
      </c>
      <c r="G90" s="28">
        <f t="shared" si="15"/>
        <v>8.7409060428711882</v>
      </c>
      <c r="H90" s="28">
        <f t="shared" si="16"/>
        <v>-3.8765698434567293E-2</v>
      </c>
      <c r="I90" s="28">
        <f t="shared" si="17"/>
        <v>3.119674929235714</v>
      </c>
      <c r="J90" s="28">
        <f t="shared" si="18"/>
        <v>68.252743918461903</v>
      </c>
      <c r="K90" s="28">
        <f t="shared" si="19"/>
        <v>23.186666666666667</v>
      </c>
      <c r="L90" s="28">
        <f t="shared" si="20"/>
        <v>0</v>
      </c>
      <c r="M90" s="2" t="str">
        <f t="shared" si="21"/>
        <v/>
      </c>
      <c r="N90" s="2" t="str">
        <f t="shared" si="22"/>
        <v/>
      </c>
      <c r="O90" s="2">
        <f t="shared" si="23"/>
        <v>1</v>
      </c>
    </row>
    <row r="91" spans="1:15">
      <c r="A91" s="27">
        <v>81</v>
      </c>
      <c r="B91" s="27">
        <v>38</v>
      </c>
      <c r="C91" s="27">
        <v>1</v>
      </c>
      <c r="D91" s="28">
        <f t="shared" si="12"/>
        <v>38</v>
      </c>
      <c r="E91" s="28">
        <f t="shared" si="13"/>
        <v>37.632427290462147</v>
      </c>
      <c r="F91" s="28">
        <f t="shared" si="14"/>
        <v>23.186666666666667</v>
      </c>
      <c r="G91" s="28">
        <f t="shared" si="15"/>
        <v>8.7409060428711882</v>
      </c>
      <c r="H91" s="28">
        <f t="shared" si="16"/>
        <v>3.0763350686288633</v>
      </c>
      <c r="I91" s="28">
        <f t="shared" si="17"/>
        <v>3.119674929235714</v>
      </c>
      <c r="J91" s="28">
        <f t="shared" si="18"/>
        <v>68.252743918461903</v>
      </c>
      <c r="K91" s="28">
        <f t="shared" si="19"/>
        <v>23.186666666666667</v>
      </c>
      <c r="L91" s="28">
        <f t="shared" si="20"/>
        <v>0</v>
      </c>
      <c r="M91" s="2" t="str">
        <f t="shared" si="21"/>
        <v>Y</v>
      </c>
      <c r="N91" s="2" t="str">
        <f t="shared" si="22"/>
        <v/>
      </c>
      <c r="O91" s="2">
        <f t="shared" si="23"/>
        <v>15</v>
      </c>
    </row>
    <row r="92" spans="1:15">
      <c r="A92" s="27">
        <v>82</v>
      </c>
      <c r="B92" s="27">
        <v>40</v>
      </c>
      <c r="C92" s="27">
        <v>1</v>
      </c>
      <c r="D92" s="28">
        <f t="shared" si="12"/>
        <v>40</v>
      </c>
      <c r="E92" s="28">
        <f t="shared" si="13"/>
        <v>37.632427290462147</v>
      </c>
      <c r="F92" s="28">
        <f t="shared" si="14"/>
        <v>23.186666666666667</v>
      </c>
      <c r="G92" s="28">
        <f t="shared" si="15"/>
        <v>8.7409060428711882</v>
      </c>
      <c r="H92" s="28">
        <f t="shared" si="16"/>
        <v>3.491681837570654</v>
      </c>
      <c r="I92" s="28">
        <f t="shared" si="17"/>
        <v>3.119674929235714</v>
      </c>
      <c r="J92" s="28">
        <f t="shared" si="18"/>
        <v>68.252743918461903</v>
      </c>
      <c r="K92" s="28">
        <f t="shared" si="19"/>
        <v>23.186666666666667</v>
      </c>
      <c r="L92" s="28">
        <f t="shared" si="20"/>
        <v>0</v>
      </c>
      <c r="M92" s="2" t="str">
        <f t="shared" si="21"/>
        <v>Y</v>
      </c>
      <c r="N92" s="2" t="str">
        <f t="shared" si="22"/>
        <v/>
      </c>
      <c r="O92" s="2">
        <f t="shared" si="23"/>
        <v>2</v>
      </c>
    </row>
    <row r="93" spans="1:15">
      <c r="A93" s="27">
        <v>83</v>
      </c>
      <c r="B93" s="27">
        <v>7</v>
      </c>
      <c r="C93" s="27">
        <v>1</v>
      </c>
      <c r="D93" s="28">
        <f t="shared" si="12"/>
        <v>7</v>
      </c>
      <c r="E93" s="28">
        <f t="shared" si="13"/>
        <v>37.632427290462147</v>
      </c>
      <c r="F93" s="28">
        <f t="shared" si="14"/>
        <v>23.186666666666667</v>
      </c>
      <c r="G93" s="28">
        <f t="shared" si="15"/>
        <v>8.7409060428711882</v>
      </c>
      <c r="H93" s="28">
        <f t="shared" si="16"/>
        <v>-3.3615398499688931</v>
      </c>
      <c r="I93" s="28">
        <f t="shared" si="17"/>
        <v>3.119674929235714</v>
      </c>
      <c r="J93" s="28">
        <f t="shared" si="18"/>
        <v>68.252743918461903</v>
      </c>
      <c r="K93" s="28">
        <f t="shared" si="19"/>
        <v>23.186666666666667</v>
      </c>
      <c r="L93" s="28">
        <f t="shared" si="20"/>
        <v>0</v>
      </c>
      <c r="M93" s="2" t="str">
        <f t="shared" si="21"/>
        <v>Y</v>
      </c>
      <c r="N93" s="2" t="str">
        <f t="shared" si="22"/>
        <v/>
      </c>
      <c r="O93" s="2">
        <f t="shared" si="23"/>
        <v>33</v>
      </c>
    </row>
    <row r="94" spans="1:15">
      <c r="A94" s="27">
        <v>84</v>
      </c>
      <c r="B94" s="27">
        <v>14</v>
      </c>
      <c r="C94" s="27">
        <v>1</v>
      </c>
      <c r="D94" s="28">
        <f t="shared" si="12"/>
        <v>14</v>
      </c>
      <c r="E94" s="28">
        <f t="shared" si="13"/>
        <v>37.632427290462147</v>
      </c>
      <c r="F94" s="28">
        <f t="shared" si="14"/>
        <v>23.186666666666667</v>
      </c>
      <c r="G94" s="28">
        <f t="shared" si="15"/>
        <v>8.7409060428711882</v>
      </c>
      <c r="H94" s="28">
        <f t="shared" si="16"/>
        <v>-1.9078261586726255</v>
      </c>
      <c r="I94" s="28">
        <f t="shared" si="17"/>
        <v>3.119674929235714</v>
      </c>
      <c r="J94" s="28">
        <f t="shared" si="18"/>
        <v>68.252743918461903</v>
      </c>
      <c r="K94" s="28">
        <f t="shared" si="19"/>
        <v>23.186666666666667</v>
      </c>
      <c r="L94" s="28">
        <f t="shared" si="20"/>
        <v>0</v>
      </c>
      <c r="M94" s="2" t="str">
        <f t="shared" si="21"/>
        <v/>
      </c>
      <c r="N94" s="2" t="str">
        <f t="shared" si="22"/>
        <v/>
      </c>
      <c r="O94" s="2">
        <f t="shared" si="23"/>
        <v>7</v>
      </c>
    </row>
    <row r="95" spans="1:15">
      <c r="A95" s="27">
        <v>85</v>
      </c>
      <c r="B95" s="27">
        <v>14</v>
      </c>
      <c r="C95" s="27">
        <v>1</v>
      </c>
      <c r="D95" s="28">
        <f t="shared" si="12"/>
        <v>14</v>
      </c>
      <c r="E95" s="28">
        <f t="shared" si="13"/>
        <v>37.632427290462147</v>
      </c>
      <c r="F95" s="28">
        <f t="shared" si="14"/>
        <v>23.186666666666667</v>
      </c>
      <c r="G95" s="28">
        <f t="shared" si="15"/>
        <v>8.7409060428711882</v>
      </c>
      <c r="H95" s="28">
        <f t="shared" si="16"/>
        <v>-1.9078261586726255</v>
      </c>
      <c r="I95" s="28">
        <f t="shared" si="17"/>
        <v>3.119674929235714</v>
      </c>
      <c r="J95" s="28">
        <f t="shared" si="18"/>
        <v>68.252743918461903</v>
      </c>
      <c r="K95" s="28">
        <f t="shared" si="19"/>
        <v>23.186666666666667</v>
      </c>
      <c r="L95" s="28">
        <f t="shared" si="20"/>
        <v>0</v>
      </c>
      <c r="M95" s="2" t="str">
        <f t="shared" si="21"/>
        <v/>
      </c>
      <c r="N95" s="2" t="str">
        <f t="shared" si="22"/>
        <v/>
      </c>
      <c r="O95" s="2">
        <f t="shared" si="23"/>
        <v>0</v>
      </c>
    </row>
    <row r="96" spans="1:15">
      <c r="A96" s="27">
        <v>86</v>
      </c>
      <c r="B96" s="27">
        <v>24</v>
      </c>
      <c r="C96" s="27">
        <v>1</v>
      </c>
      <c r="D96" s="28">
        <f t="shared" si="12"/>
        <v>24</v>
      </c>
      <c r="E96" s="28">
        <f t="shared" si="13"/>
        <v>37.632427290462147</v>
      </c>
      <c r="F96" s="28">
        <f t="shared" si="14"/>
        <v>23.186666666666667</v>
      </c>
      <c r="G96" s="28">
        <f t="shared" si="15"/>
        <v>8.7409060428711882</v>
      </c>
      <c r="H96" s="28">
        <f t="shared" si="16"/>
        <v>0.16890768603632808</v>
      </c>
      <c r="I96" s="28">
        <f t="shared" si="17"/>
        <v>3.119674929235714</v>
      </c>
      <c r="J96" s="28">
        <f t="shared" si="18"/>
        <v>68.252743918461903</v>
      </c>
      <c r="K96" s="28">
        <f t="shared" si="19"/>
        <v>23.186666666666667</v>
      </c>
      <c r="L96" s="28">
        <f t="shared" si="20"/>
        <v>0</v>
      </c>
      <c r="M96" s="2" t="str">
        <f t="shared" si="21"/>
        <v/>
      </c>
      <c r="N96" s="2" t="str">
        <f t="shared" si="22"/>
        <v/>
      </c>
      <c r="O96" s="2">
        <f t="shared" si="23"/>
        <v>10</v>
      </c>
    </row>
    <row r="97" spans="1:15">
      <c r="A97" s="27">
        <v>87</v>
      </c>
      <c r="B97" s="27">
        <v>10</v>
      </c>
      <c r="C97" s="27">
        <v>1</v>
      </c>
      <c r="D97" s="28">
        <f t="shared" si="12"/>
        <v>10</v>
      </c>
      <c r="E97" s="28">
        <f t="shared" si="13"/>
        <v>37.632427290462147</v>
      </c>
      <c r="F97" s="28">
        <f t="shared" si="14"/>
        <v>23.186666666666667</v>
      </c>
      <c r="G97" s="28">
        <f t="shared" si="15"/>
        <v>8.7409060428711882</v>
      </c>
      <c r="H97" s="28">
        <f t="shared" si="16"/>
        <v>-2.7385196965562071</v>
      </c>
      <c r="I97" s="28">
        <f t="shared" si="17"/>
        <v>3.119674929235714</v>
      </c>
      <c r="J97" s="28">
        <f t="shared" si="18"/>
        <v>68.252743918461903</v>
      </c>
      <c r="K97" s="28">
        <f t="shared" si="19"/>
        <v>23.186666666666667</v>
      </c>
      <c r="L97" s="28">
        <f t="shared" si="20"/>
        <v>0</v>
      </c>
      <c r="M97" s="2" t="str">
        <f t="shared" si="21"/>
        <v/>
      </c>
      <c r="N97" s="2" t="str">
        <f t="shared" si="22"/>
        <v/>
      </c>
      <c r="O97" s="2">
        <f t="shared" si="23"/>
        <v>14</v>
      </c>
    </row>
    <row r="98" spans="1:15">
      <c r="A98" s="27">
        <v>88</v>
      </c>
      <c r="B98" s="27">
        <v>7</v>
      </c>
      <c r="C98" s="27">
        <v>1</v>
      </c>
      <c r="D98" s="28">
        <f t="shared" si="12"/>
        <v>7</v>
      </c>
      <c r="E98" s="28">
        <f t="shared" si="13"/>
        <v>37.632427290462147</v>
      </c>
      <c r="F98" s="28">
        <f t="shared" si="14"/>
        <v>23.186666666666667</v>
      </c>
      <c r="G98" s="28">
        <f t="shared" si="15"/>
        <v>8.7409060428711882</v>
      </c>
      <c r="H98" s="28">
        <f t="shared" si="16"/>
        <v>-3.3615398499688931</v>
      </c>
      <c r="I98" s="28">
        <f t="shared" si="17"/>
        <v>3.119674929235714</v>
      </c>
      <c r="J98" s="28">
        <f t="shared" si="18"/>
        <v>68.252743918461903</v>
      </c>
      <c r="K98" s="28">
        <f t="shared" si="19"/>
        <v>23.186666666666667</v>
      </c>
      <c r="L98" s="28">
        <f t="shared" si="20"/>
        <v>0</v>
      </c>
      <c r="M98" s="2" t="str">
        <f t="shared" si="21"/>
        <v>Y</v>
      </c>
      <c r="N98" s="2" t="str">
        <f t="shared" si="22"/>
        <v/>
      </c>
      <c r="O98" s="2">
        <f t="shared" si="23"/>
        <v>3</v>
      </c>
    </row>
    <row r="99" spans="1:15">
      <c r="A99" s="27">
        <v>89</v>
      </c>
      <c r="B99" s="27">
        <v>6</v>
      </c>
      <c r="C99" s="27">
        <v>1</v>
      </c>
      <c r="D99" s="28">
        <f t="shared" si="12"/>
        <v>6</v>
      </c>
      <c r="E99" s="28">
        <f t="shared" si="13"/>
        <v>37.632427290462147</v>
      </c>
      <c r="F99" s="28">
        <f t="shared" si="14"/>
        <v>23.186666666666667</v>
      </c>
      <c r="G99" s="28">
        <f t="shared" si="15"/>
        <v>8.7409060428711882</v>
      </c>
      <c r="H99" s="28">
        <f t="shared" si="16"/>
        <v>-3.5692132344397884</v>
      </c>
      <c r="I99" s="28">
        <f t="shared" si="17"/>
        <v>3.119674929235714</v>
      </c>
      <c r="J99" s="28">
        <f t="shared" si="18"/>
        <v>68.252743918461903</v>
      </c>
      <c r="K99" s="28">
        <f t="shared" si="19"/>
        <v>23.186666666666667</v>
      </c>
      <c r="L99" s="28">
        <f t="shared" si="20"/>
        <v>0</v>
      </c>
      <c r="M99" s="2" t="str">
        <f t="shared" si="21"/>
        <v>Y</v>
      </c>
      <c r="N99" s="2" t="str">
        <f t="shared" si="22"/>
        <v/>
      </c>
      <c r="O99" s="2">
        <f t="shared" si="23"/>
        <v>1</v>
      </c>
    </row>
    <row r="100" spans="1:15">
      <c r="A100" s="27">
        <v>90</v>
      </c>
      <c r="B100" s="27">
        <v>12</v>
      </c>
      <c r="C100" s="27">
        <v>1</v>
      </c>
      <c r="D100" s="28">
        <f t="shared" si="12"/>
        <v>12</v>
      </c>
      <c r="E100" s="28">
        <f t="shared" si="13"/>
        <v>37.632427290462147</v>
      </c>
      <c r="F100" s="28">
        <f t="shared" si="14"/>
        <v>23.186666666666667</v>
      </c>
      <c r="G100" s="28">
        <f t="shared" si="15"/>
        <v>8.7409060428711882</v>
      </c>
      <c r="H100" s="28">
        <f t="shared" si="16"/>
        <v>-2.3231729276144164</v>
      </c>
      <c r="I100" s="28">
        <f t="shared" si="17"/>
        <v>3.119674929235714</v>
      </c>
      <c r="J100" s="28">
        <f t="shared" si="18"/>
        <v>68.252743918461903</v>
      </c>
      <c r="K100" s="28">
        <f t="shared" si="19"/>
        <v>23.186666666666667</v>
      </c>
      <c r="L100" s="28">
        <f t="shared" si="20"/>
        <v>0</v>
      </c>
      <c r="M100" s="2" t="str">
        <f t="shared" si="21"/>
        <v/>
      </c>
      <c r="N100" s="2" t="str">
        <f t="shared" si="22"/>
        <v/>
      </c>
      <c r="O100" s="2">
        <f t="shared" si="23"/>
        <v>6</v>
      </c>
    </row>
    <row r="101" spans="1:15">
      <c r="A101" s="27">
        <v>91</v>
      </c>
      <c r="B101" s="27">
        <v>11</v>
      </c>
      <c r="C101" s="27">
        <v>1</v>
      </c>
      <c r="D101" s="28">
        <f t="shared" si="12"/>
        <v>11</v>
      </c>
      <c r="E101" s="28">
        <f t="shared" si="13"/>
        <v>37.632427290462147</v>
      </c>
      <c r="F101" s="28">
        <f t="shared" si="14"/>
        <v>23.186666666666667</v>
      </c>
      <c r="G101" s="28">
        <f t="shared" si="15"/>
        <v>8.7409060428711882</v>
      </c>
      <c r="H101" s="28">
        <f t="shared" si="16"/>
        <v>-2.5308463120853117</v>
      </c>
      <c r="I101" s="28">
        <f t="shared" si="17"/>
        <v>3.119674929235714</v>
      </c>
      <c r="J101" s="28">
        <f t="shared" si="18"/>
        <v>68.252743918461903</v>
      </c>
      <c r="K101" s="28">
        <f t="shared" si="19"/>
        <v>23.186666666666667</v>
      </c>
      <c r="L101" s="28">
        <f t="shared" si="20"/>
        <v>0</v>
      </c>
      <c r="M101" s="2" t="str">
        <f t="shared" si="21"/>
        <v/>
      </c>
      <c r="N101" s="2" t="str">
        <f t="shared" si="22"/>
        <v/>
      </c>
      <c r="O101" s="2">
        <f t="shared" si="23"/>
        <v>1</v>
      </c>
    </row>
    <row r="102" spans="1:15">
      <c r="A102" s="27">
        <v>92</v>
      </c>
      <c r="B102" s="27">
        <v>15</v>
      </c>
      <c r="C102" s="27">
        <v>1</v>
      </c>
      <c r="D102" s="28">
        <f t="shared" si="12"/>
        <v>15</v>
      </c>
      <c r="E102" s="28">
        <f t="shared" si="13"/>
        <v>37.632427290462147</v>
      </c>
      <c r="F102" s="28">
        <f t="shared" si="14"/>
        <v>23.186666666666667</v>
      </c>
      <c r="G102" s="28">
        <f t="shared" si="15"/>
        <v>8.7409060428711882</v>
      </c>
      <c r="H102" s="28">
        <f t="shared" si="16"/>
        <v>-1.7001527742017302</v>
      </c>
      <c r="I102" s="28">
        <f t="shared" si="17"/>
        <v>3.119674929235714</v>
      </c>
      <c r="J102" s="28">
        <f t="shared" si="18"/>
        <v>68.252743918461903</v>
      </c>
      <c r="K102" s="28">
        <f t="shared" si="19"/>
        <v>23.186666666666667</v>
      </c>
      <c r="L102" s="28">
        <f t="shared" si="20"/>
        <v>0</v>
      </c>
      <c r="M102" s="2" t="str">
        <f t="shared" si="21"/>
        <v/>
      </c>
      <c r="N102" s="2" t="str">
        <f t="shared" si="22"/>
        <v/>
      </c>
      <c r="O102" s="2">
        <f t="shared" si="23"/>
        <v>4</v>
      </c>
    </row>
    <row r="103" spans="1:15">
      <c r="A103" s="27">
        <v>93</v>
      </c>
      <c r="B103" s="27">
        <v>9</v>
      </c>
      <c r="C103" s="27">
        <v>1</v>
      </c>
      <c r="D103" s="28">
        <f t="shared" si="12"/>
        <v>9</v>
      </c>
      <c r="E103" s="28">
        <f t="shared" si="13"/>
        <v>37.632427290462147</v>
      </c>
      <c r="F103" s="28">
        <f t="shared" si="14"/>
        <v>23.186666666666667</v>
      </c>
      <c r="G103" s="28">
        <f t="shared" si="15"/>
        <v>8.7409060428711882</v>
      </c>
      <c r="H103" s="28">
        <f t="shared" si="16"/>
        <v>-2.9461930810271024</v>
      </c>
      <c r="I103" s="28">
        <f t="shared" si="17"/>
        <v>3.119674929235714</v>
      </c>
      <c r="J103" s="28">
        <f t="shared" si="18"/>
        <v>68.252743918461903</v>
      </c>
      <c r="K103" s="28">
        <f t="shared" si="19"/>
        <v>23.186666666666667</v>
      </c>
      <c r="L103" s="28">
        <f t="shared" si="20"/>
        <v>0</v>
      </c>
      <c r="M103" s="2" t="str">
        <f t="shared" si="21"/>
        <v/>
      </c>
      <c r="N103" s="2" t="str">
        <f t="shared" si="22"/>
        <v/>
      </c>
      <c r="O103" s="2">
        <f t="shared" si="23"/>
        <v>6</v>
      </c>
    </row>
    <row r="104" spans="1:15">
      <c r="A104" s="27">
        <v>94</v>
      </c>
      <c r="B104" s="27">
        <v>8</v>
      </c>
      <c r="C104" s="27">
        <v>1</v>
      </c>
      <c r="D104" s="28">
        <f t="shared" si="12"/>
        <v>8</v>
      </c>
      <c r="E104" s="28">
        <f t="shared" si="13"/>
        <v>37.632427290462147</v>
      </c>
      <c r="F104" s="28">
        <f t="shared" si="14"/>
        <v>23.186666666666667</v>
      </c>
      <c r="G104" s="28">
        <f t="shared" si="15"/>
        <v>8.7409060428711882</v>
      </c>
      <c r="H104" s="28">
        <f t="shared" si="16"/>
        <v>-3.1538664654979978</v>
      </c>
      <c r="I104" s="28">
        <f t="shared" si="17"/>
        <v>3.119674929235714</v>
      </c>
      <c r="J104" s="28">
        <f t="shared" si="18"/>
        <v>68.252743918461903</v>
      </c>
      <c r="K104" s="28">
        <f t="shared" si="19"/>
        <v>23.186666666666667</v>
      </c>
      <c r="L104" s="28">
        <f t="shared" si="20"/>
        <v>0</v>
      </c>
      <c r="M104" s="2" t="str">
        <f t="shared" si="21"/>
        <v>Y</v>
      </c>
      <c r="N104" s="2" t="str">
        <f t="shared" si="22"/>
        <v/>
      </c>
      <c r="O104" s="2">
        <f t="shared" si="23"/>
        <v>1</v>
      </c>
    </row>
    <row r="105" spans="1:15">
      <c r="A105" s="27">
        <v>95</v>
      </c>
      <c r="B105" s="27">
        <v>13</v>
      </c>
      <c r="C105" s="27">
        <v>1</v>
      </c>
      <c r="D105" s="28">
        <f t="shared" si="12"/>
        <v>13</v>
      </c>
      <c r="E105" s="28">
        <f t="shared" si="13"/>
        <v>37.632427290462147</v>
      </c>
      <c r="F105" s="28">
        <f t="shared" si="14"/>
        <v>23.186666666666667</v>
      </c>
      <c r="G105" s="28">
        <f t="shared" si="15"/>
        <v>8.7409060428711882</v>
      </c>
      <c r="H105" s="28">
        <f t="shared" si="16"/>
        <v>-2.1154995431435211</v>
      </c>
      <c r="I105" s="28">
        <f t="shared" si="17"/>
        <v>3.119674929235714</v>
      </c>
      <c r="J105" s="28">
        <f t="shared" si="18"/>
        <v>68.252743918461903</v>
      </c>
      <c r="K105" s="28">
        <f t="shared" si="19"/>
        <v>23.186666666666667</v>
      </c>
      <c r="L105" s="28">
        <f t="shared" si="20"/>
        <v>0</v>
      </c>
      <c r="M105" s="2" t="str">
        <f t="shared" si="21"/>
        <v/>
      </c>
      <c r="N105" s="2" t="str">
        <f t="shared" si="22"/>
        <v/>
      </c>
      <c r="O105" s="2">
        <f t="shared" si="23"/>
        <v>5</v>
      </c>
    </row>
    <row r="106" spans="1:15">
      <c r="A106" s="27">
        <v>96</v>
      </c>
      <c r="B106" s="27">
        <v>11</v>
      </c>
      <c r="C106" s="27">
        <v>1</v>
      </c>
      <c r="D106" s="28">
        <f t="shared" si="12"/>
        <v>11</v>
      </c>
      <c r="E106" s="28">
        <f t="shared" si="13"/>
        <v>37.632427290462147</v>
      </c>
      <c r="F106" s="28">
        <f t="shared" si="14"/>
        <v>23.186666666666667</v>
      </c>
      <c r="G106" s="28">
        <f t="shared" si="15"/>
        <v>8.7409060428711882</v>
      </c>
      <c r="H106" s="28">
        <f t="shared" si="16"/>
        <v>-2.5308463120853117</v>
      </c>
      <c r="I106" s="28">
        <f t="shared" si="17"/>
        <v>3.119674929235714</v>
      </c>
      <c r="J106" s="28">
        <f t="shared" si="18"/>
        <v>68.252743918461903</v>
      </c>
      <c r="K106" s="28">
        <f t="shared" si="19"/>
        <v>23.186666666666667</v>
      </c>
      <c r="L106" s="28">
        <f t="shared" si="20"/>
        <v>0</v>
      </c>
      <c r="M106" s="2" t="str">
        <f t="shared" si="21"/>
        <v/>
      </c>
      <c r="N106" s="2" t="str">
        <f t="shared" si="22"/>
        <v/>
      </c>
      <c r="O106" s="2">
        <f t="shared" si="23"/>
        <v>2</v>
      </c>
    </row>
    <row r="107" spans="1:15">
      <c r="A107" s="27">
        <v>97</v>
      </c>
      <c r="B107" s="27">
        <v>10</v>
      </c>
      <c r="C107" s="27">
        <v>1</v>
      </c>
      <c r="D107" s="28">
        <f t="shared" si="12"/>
        <v>10</v>
      </c>
      <c r="E107" s="28">
        <f t="shared" si="13"/>
        <v>37.632427290462147</v>
      </c>
      <c r="F107" s="28">
        <f t="shared" si="14"/>
        <v>23.186666666666667</v>
      </c>
      <c r="G107" s="28">
        <f t="shared" si="15"/>
        <v>8.7409060428711882</v>
      </c>
      <c r="H107" s="28">
        <f t="shared" si="16"/>
        <v>-2.7385196965562071</v>
      </c>
      <c r="I107" s="28">
        <f t="shared" si="17"/>
        <v>3.119674929235714</v>
      </c>
      <c r="J107" s="28">
        <f t="shared" si="18"/>
        <v>68.252743918461903</v>
      </c>
      <c r="K107" s="28">
        <f t="shared" si="19"/>
        <v>23.186666666666667</v>
      </c>
      <c r="L107" s="28">
        <f t="shared" si="20"/>
        <v>0</v>
      </c>
      <c r="M107" s="2" t="str">
        <f t="shared" si="21"/>
        <v/>
      </c>
      <c r="N107" s="2" t="str">
        <f t="shared" si="22"/>
        <v/>
      </c>
      <c r="O107" s="2">
        <f t="shared" si="23"/>
        <v>1</v>
      </c>
    </row>
    <row r="108" spans="1:15">
      <c r="A108" s="27">
        <v>98</v>
      </c>
      <c r="B108" s="27">
        <v>7</v>
      </c>
      <c r="C108" s="27">
        <v>1</v>
      </c>
      <c r="D108" s="28">
        <f t="shared" si="12"/>
        <v>7</v>
      </c>
      <c r="E108" s="28">
        <f t="shared" si="13"/>
        <v>37.632427290462147</v>
      </c>
      <c r="F108" s="28">
        <f t="shared" si="14"/>
        <v>23.186666666666667</v>
      </c>
      <c r="G108" s="28">
        <f t="shared" si="15"/>
        <v>8.7409060428711882</v>
      </c>
      <c r="H108" s="28">
        <f t="shared" si="16"/>
        <v>-3.3615398499688931</v>
      </c>
      <c r="I108" s="28">
        <f t="shared" si="17"/>
        <v>3.119674929235714</v>
      </c>
      <c r="J108" s="28">
        <f t="shared" si="18"/>
        <v>68.252743918461903</v>
      </c>
      <c r="K108" s="28">
        <f t="shared" si="19"/>
        <v>23.186666666666667</v>
      </c>
      <c r="L108" s="28">
        <f t="shared" si="20"/>
        <v>0</v>
      </c>
      <c r="M108" s="2" t="str">
        <f t="shared" si="21"/>
        <v>Y</v>
      </c>
      <c r="N108" s="2" t="str">
        <f t="shared" si="22"/>
        <v/>
      </c>
      <c r="O108" s="2">
        <f t="shared" si="23"/>
        <v>3</v>
      </c>
    </row>
    <row r="109" spans="1:15">
      <c r="A109" s="27">
        <v>99</v>
      </c>
      <c r="B109" s="27">
        <v>10</v>
      </c>
      <c r="C109" s="27">
        <v>1</v>
      </c>
      <c r="D109" s="28">
        <f t="shared" si="12"/>
        <v>10</v>
      </c>
      <c r="E109" s="28">
        <f t="shared" si="13"/>
        <v>37.632427290462147</v>
      </c>
      <c r="F109" s="28">
        <f t="shared" si="14"/>
        <v>23.186666666666667</v>
      </c>
      <c r="G109" s="28">
        <f t="shared" si="15"/>
        <v>8.7409060428711882</v>
      </c>
      <c r="H109" s="28">
        <f t="shared" si="16"/>
        <v>-2.7385196965562071</v>
      </c>
      <c r="I109" s="28">
        <f t="shared" si="17"/>
        <v>3.119674929235714</v>
      </c>
      <c r="J109" s="28">
        <f t="shared" si="18"/>
        <v>68.252743918461903</v>
      </c>
      <c r="K109" s="28">
        <f t="shared" si="19"/>
        <v>23.186666666666667</v>
      </c>
      <c r="L109" s="28">
        <f t="shared" si="20"/>
        <v>0</v>
      </c>
      <c r="M109" s="2" t="str">
        <f t="shared" si="21"/>
        <v/>
      </c>
      <c r="N109" s="2" t="str">
        <f t="shared" si="22"/>
        <v/>
      </c>
      <c r="O109" s="2">
        <f t="shared" si="23"/>
        <v>3</v>
      </c>
    </row>
    <row r="110" spans="1:15">
      <c r="A110" s="27">
        <v>100</v>
      </c>
      <c r="B110" s="27">
        <v>13</v>
      </c>
      <c r="C110" s="27">
        <v>1</v>
      </c>
      <c r="D110" s="28">
        <f t="shared" si="12"/>
        <v>13</v>
      </c>
      <c r="E110" s="28">
        <f t="shared" si="13"/>
        <v>37.632427290462147</v>
      </c>
      <c r="F110" s="28">
        <f t="shared" si="14"/>
        <v>23.186666666666667</v>
      </c>
      <c r="G110" s="28">
        <f t="shared" si="15"/>
        <v>8.7409060428711882</v>
      </c>
      <c r="H110" s="28">
        <f t="shared" si="16"/>
        <v>-2.1154995431435211</v>
      </c>
      <c r="I110" s="28">
        <f t="shared" si="17"/>
        <v>3.119674929235714</v>
      </c>
      <c r="J110" s="28">
        <f t="shared" si="18"/>
        <v>68.252743918461903</v>
      </c>
      <c r="K110" s="28">
        <f t="shared" si="19"/>
        <v>23.186666666666667</v>
      </c>
      <c r="L110" s="28">
        <f t="shared" si="20"/>
        <v>0</v>
      </c>
      <c r="M110" s="2" t="str">
        <f t="shared" si="21"/>
        <v/>
      </c>
      <c r="N110" s="2" t="str">
        <f t="shared" si="22"/>
        <v/>
      </c>
      <c r="O110" s="2">
        <f t="shared" si="23"/>
        <v>3</v>
      </c>
    </row>
    <row r="111" spans="1:15">
      <c r="A111" s="27">
        <v>101</v>
      </c>
      <c r="B111" s="27">
        <v>32</v>
      </c>
      <c r="C111" s="27">
        <v>1</v>
      </c>
      <c r="D111" s="28">
        <f t="shared" si="12"/>
        <v>32</v>
      </c>
      <c r="E111" s="28">
        <f t="shared" si="13"/>
        <v>37.632427290462147</v>
      </c>
      <c r="F111" s="28">
        <f t="shared" si="14"/>
        <v>23.186666666666667</v>
      </c>
      <c r="G111" s="28">
        <f t="shared" si="15"/>
        <v>8.7409060428711882</v>
      </c>
      <c r="H111" s="28">
        <f t="shared" si="16"/>
        <v>1.830294761803491</v>
      </c>
      <c r="I111" s="28">
        <f t="shared" si="17"/>
        <v>3.119674929235714</v>
      </c>
      <c r="J111" s="28">
        <f t="shared" si="18"/>
        <v>68.252743918461903</v>
      </c>
      <c r="K111" s="28">
        <f t="shared" si="19"/>
        <v>23.186666666666667</v>
      </c>
      <c r="L111" s="28">
        <f t="shared" si="20"/>
        <v>0</v>
      </c>
      <c r="M111" s="2" t="str">
        <f t="shared" si="21"/>
        <v/>
      </c>
      <c r="N111" s="2" t="str">
        <f t="shared" si="22"/>
        <v/>
      </c>
      <c r="O111" s="2">
        <f t="shared" si="23"/>
        <v>19</v>
      </c>
    </row>
    <row r="112" spans="1:15">
      <c r="A112" s="27">
        <v>102</v>
      </c>
      <c r="B112" s="27">
        <v>33</v>
      </c>
      <c r="C112" s="27">
        <v>1</v>
      </c>
      <c r="D112" s="28">
        <f t="shared" si="12"/>
        <v>33</v>
      </c>
      <c r="E112" s="28">
        <f t="shared" si="13"/>
        <v>37.632427290462147</v>
      </c>
      <c r="F112" s="28">
        <f t="shared" si="14"/>
        <v>23.186666666666667</v>
      </c>
      <c r="G112" s="28">
        <f t="shared" si="15"/>
        <v>8.7409060428711882</v>
      </c>
      <c r="H112" s="28">
        <f t="shared" si="16"/>
        <v>2.0379681462743862</v>
      </c>
      <c r="I112" s="28">
        <f t="shared" si="17"/>
        <v>3.119674929235714</v>
      </c>
      <c r="J112" s="28">
        <f t="shared" si="18"/>
        <v>68.252743918461903</v>
      </c>
      <c r="K112" s="28">
        <f t="shared" si="19"/>
        <v>23.186666666666667</v>
      </c>
      <c r="L112" s="28">
        <f t="shared" si="20"/>
        <v>0</v>
      </c>
      <c r="M112" s="2" t="str">
        <f t="shared" si="21"/>
        <v/>
      </c>
      <c r="N112" s="2" t="str">
        <f t="shared" si="22"/>
        <v/>
      </c>
      <c r="O112" s="2">
        <f t="shared" si="23"/>
        <v>1</v>
      </c>
    </row>
    <row r="113" spans="1:15">
      <c r="A113" s="27">
        <v>103</v>
      </c>
      <c r="B113" s="27">
        <v>41</v>
      </c>
      <c r="C113" s="27">
        <v>1</v>
      </c>
      <c r="D113" s="28">
        <f t="shared" si="12"/>
        <v>41</v>
      </c>
      <c r="E113" s="28">
        <f t="shared" si="13"/>
        <v>37.632427290462147</v>
      </c>
      <c r="F113" s="28">
        <f t="shared" si="14"/>
        <v>23.186666666666667</v>
      </c>
      <c r="G113" s="28">
        <f t="shared" si="15"/>
        <v>8.7409060428711882</v>
      </c>
      <c r="H113" s="28">
        <f t="shared" si="16"/>
        <v>3.6993552220415493</v>
      </c>
      <c r="I113" s="28">
        <f t="shared" si="17"/>
        <v>3.119674929235714</v>
      </c>
      <c r="J113" s="28">
        <f t="shared" si="18"/>
        <v>68.252743918461903</v>
      </c>
      <c r="K113" s="28">
        <f t="shared" si="19"/>
        <v>23.186666666666667</v>
      </c>
      <c r="L113" s="28">
        <f t="shared" si="20"/>
        <v>0</v>
      </c>
      <c r="M113" s="2" t="str">
        <f t="shared" si="21"/>
        <v>Y</v>
      </c>
      <c r="N113" s="2" t="str">
        <f t="shared" si="22"/>
        <v/>
      </c>
      <c r="O113" s="2">
        <f t="shared" si="23"/>
        <v>8</v>
      </c>
    </row>
    <row r="114" spans="1:15">
      <c r="A114" s="27">
        <v>104</v>
      </c>
      <c r="B114" s="27">
        <v>29</v>
      </c>
      <c r="C114" s="27">
        <v>1</v>
      </c>
      <c r="D114" s="28">
        <f t="shared" si="12"/>
        <v>29</v>
      </c>
      <c r="E114" s="28">
        <f t="shared" si="13"/>
        <v>37.632427290462147</v>
      </c>
      <c r="F114" s="28">
        <f t="shared" si="14"/>
        <v>23.186666666666667</v>
      </c>
      <c r="G114" s="28">
        <f t="shared" si="15"/>
        <v>8.7409060428711882</v>
      </c>
      <c r="H114" s="28">
        <f t="shared" si="16"/>
        <v>1.2072746083908048</v>
      </c>
      <c r="I114" s="28">
        <f t="shared" si="17"/>
        <v>3.119674929235714</v>
      </c>
      <c r="J114" s="28">
        <f t="shared" si="18"/>
        <v>68.252743918461903</v>
      </c>
      <c r="K114" s="28">
        <f t="shared" si="19"/>
        <v>23.186666666666667</v>
      </c>
      <c r="L114" s="28">
        <f t="shared" si="20"/>
        <v>0</v>
      </c>
      <c r="M114" s="2" t="str">
        <f t="shared" si="21"/>
        <v/>
      </c>
      <c r="N114" s="2" t="str">
        <f t="shared" si="22"/>
        <v/>
      </c>
      <c r="O114" s="2">
        <f t="shared" si="23"/>
        <v>12</v>
      </c>
    </row>
    <row r="115" spans="1:15">
      <c r="A115" s="27">
        <v>105</v>
      </c>
      <c r="B115" s="27">
        <v>27</v>
      </c>
      <c r="C115" s="27">
        <v>1</v>
      </c>
      <c r="D115" s="28">
        <f t="shared" si="12"/>
        <v>27</v>
      </c>
      <c r="E115" s="28">
        <f t="shared" si="13"/>
        <v>37.632427290462147</v>
      </c>
      <c r="F115" s="28">
        <f t="shared" si="14"/>
        <v>23.186666666666667</v>
      </c>
      <c r="G115" s="28">
        <f t="shared" si="15"/>
        <v>8.7409060428711882</v>
      </c>
      <c r="H115" s="28">
        <f t="shared" si="16"/>
        <v>0.79192783944901413</v>
      </c>
      <c r="I115" s="28">
        <f t="shared" si="17"/>
        <v>3.119674929235714</v>
      </c>
      <c r="J115" s="28">
        <f t="shared" si="18"/>
        <v>68.252743918461903</v>
      </c>
      <c r="K115" s="28">
        <f t="shared" si="19"/>
        <v>23.186666666666667</v>
      </c>
      <c r="L115" s="28">
        <f t="shared" si="20"/>
        <v>0</v>
      </c>
      <c r="M115" s="2" t="str">
        <f t="shared" si="21"/>
        <v/>
      </c>
      <c r="N115" s="2" t="str">
        <f t="shared" si="22"/>
        <v/>
      </c>
      <c r="O115" s="2">
        <f t="shared" si="23"/>
        <v>2</v>
      </c>
    </row>
    <row r="116" spans="1:15">
      <c r="A116" s="27">
        <v>106</v>
      </c>
      <c r="B116" s="27">
        <v>44</v>
      </c>
      <c r="C116" s="27">
        <v>1</v>
      </c>
      <c r="D116" s="28">
        <f t="shared" si="12"/>
        <v>44</v>
      </c>
      <c r="E116" s="28">
        <f t="shared" si="13"/>
        <v>37.632427290462147</v>
      </c>
      <c r="F116" s="28">
        <f t="shared" si="14"/>
        <v>23.186666666666667</v>
      </c>
      <c r="G116" s="28">
        <f t="shared" si="15"/>
        <v>8.7409060428711882</v>
      </c>
      <c r="H116" s="28">
        <f t="shared" si="16"/>
        <v>4.3223753754542358</v>
      </c>
      <c r="I116" s="28">
        <f t="shared" si="17"/>
        <v>3.119674929235714</v>
      </c>
      <c r="J116" s="28">
        <f t="shared" si="18"/>
        <v>68.252743918461903</v>
      </c>
      <c r="K116" s="28">
        <f t="shared" si="19"/>
        <v>23.186666666666667</v>
      </c>
      <c r="L116" s="28">
        <f t="shared" si="20"/>
        <v>0</v>
      </c>
      <c r="M116" s="2" t="str">
        <f t="shared" si="21"/>
        <v>Y</v>
      </c>
      <c r="N116" s="2" t="str">
        <f t="shared" si="22"/>
        <v/>
      </c>
      <c r="O116" s="2">
        <f t="shared" si="23"/>
        <v>17</v>
      </c>
    </row>
    <row r="117" spans="1:15">
      <c r="A117" s="27">
        <v>107</v>
      </c>
      <c r="B117" s="27">
        <v>47</v>
      </c>
      <c r="C117" s="27">
        <v>1</v>
      </c>
      <c r="D117" s="28">
        <f t="shared" si="12"/>
        <v>47</v>
      </c>
      <c r="E117" s="28">
        <f t="shared" si="13"/>
        <v>37.632427290462147</v>
      </c>
      <c r="F117" s="28">
        <f t="shared" si="14"/>
        <v>23.186666666666667</v>
      </c>
      <c r="G117" s="28">
        <f t="shared" si="15"/>
        <v>8.7409060428711882</v>
      </c>
      <c r="H117" s="28">
        <f t="shared" si="16"/>
        <v>4.9453955288669214</v>
      </c>
      <c r="I117" s="28">
        <f t="shared" si="17"/>
        <v>3.119674929235714</v>
      </c>
      <c r="J117" s="28">
        <f t="shared" si="18"/>
        <v>68.252743918461903</v>
      </c>
      <c r="K117" s="28">
        <f t="shared" si="19"/>
        <v>23.186666666666667</v>
      </c>
      <c r="L117" s="28">
        <f t="shared" si="20"/>
        <v>0</v>
      </c>
      <c r="M117" s="2" t="str">
        <f t="shared" si="21"/>
        <v>Y</v>
      </c>
      <c r="N117" s="2" t="str">
        <f t="shared" si="22"/>
        <v/>
      </c>
      <c r="O117" s="2">
        <f t="shared" si="23"/>
        <v>3</v>
      </c>
    </row>
    <row r="118" spans="1:15">
      <c r="A118" s="27">
        <v>108</v>
      </c>
      <c r="B118" s="27">
        <v>30</v>
      </c>
      <c r="C118" s="27">
        <v>1</v>
      </c>
      <c r="D118" s="28">
        <f t="shared" si="12"/>
        <v>30</v>
      </c>
      <c r="E118" s="28">
        <f t="shared" si="13"/>
        <v>37.632427290462147</v>
      </c>
      <c r="F118" s="28">
        <f t="shared" si="14"/>
        <v>23.186666666666667</v>
      </c>
      <c r="G118" s="28">
        <f t="shared" si="15"/>
        <v>8.7409060428711882</v>
      </c>
      <c r="H118" s="28">
        <f t="shared" si="16"/>
        <v>1.4149479928617004</v>
      </c>
      <c r="I118" s="28">
        <f t="shared" si="17"/>
        <v>3.119674929235714</v>
      </c>
      <c r="J118" s="28">
        <f t="shared" si="18"/>
        <v>68.252743918461903</v>
      </c>
      <c r="K118" s="28">
        <f t="shared" si="19"/>
        <v>23.186666666666667</v>
      </c>
      <c r="L118" s="28">
        <f t="shared" si="20"/>
        <v>0</v>
      </c>
      <c r="M118" s="2" t="str">
        <f t="shared" si="21"/>
        <v/>
      </c>
      <c r="N118" s="2" t="str">
        <f t="shared" si="22"/>
        <v/>
      </c>
      <c r="O118" s="2">
        <f t="shared" si="23"/>
        <v>17</v>
      </c>
    </row>
    <row r="119" spans="1:15">
      <c r="A119" s="27">
        <v>109</v>
      </c>
      <c r="B119" s="27">
        <v>36</v>
      </c>
      <c r="C119" s="27">
        <v>1</v>
      </c>
      <c r="D119" s="28">
        <f t="shared" si="12"/>
        <v>36</v>
      </c>
      <c r="E119" s="28">
        <f t="shared" si="13"/>
        <v>37.632427290462147</v>
      </c>
      <c r="F119" s="28">
        <f t="shared" si="14"/>
        <v>23.186666666666667</v>
      </c>
      <c r="G119" s="28">
        <f t="shared" si="15"/>
        <v>8.7409060428711882</v>
      </c>
      <c r="H119" s="28">
        <f t="shared" si="16"/>
        <v>2.6609882996870726</v>
      </c>
      <c r="I119" s="28">
        <f t="shared" si="17"/>
        <v>3.119674929235714</v>
      </c>
      <c r="J119" s="28">
        <f t="shared" si="18"/>
        <v>68.252743918461903</v>
      </c>
      <c r="K119" s="28">
        <f t="shared" si="19"/>
        <v>23.186666666666667</v>
      </c>
      <c r="L119" s="28">
        <f t="shared" si="20"/>
        <v>0</v>
      </c>
      <c r="M119" s="2" t="str">
        <f t="shared" si="21"/>
        <v/>
      </c>
      <c r="N119" s="2" t="str">
        <f t="shared" si="22"/>
        <v/>
      </c>
      <c r="O119" s="2">
        <f t="shared" si="23"/>
        <v>6</v>
      </c>
    </row>
    <row r="120" spans="1:15">
      <c r="A120" s="27">
        <v>110</v>
      </c>
      <c r="B120" s="27">
        <v>16</v>
      </c>
      <c r="C120" s="27">
        <v>1</v>
      </c>
      <c r="D120" s="28">
        <f t="shared" si="12"/>
        <v>16</v>
      </c>
      <c r="E120" s="28">
        <f t="shared" si="13"/>
        <v>37.632427290462147</v>
      </c>
      <c r="F120" s="28">
        <f t="shared" si="14"/>
        <v>23.186666666666667</v>
      </c>
      <c r="G120" s="28">
        <f t="shared" si="15"/>
        <v>8.7409060428711882</v>
      </c>
      <c r="H120" s="28">
        <f t="shared" si="16"/>
        <v>-1.4924793897308348</v>
      </c>
      <c r="I120" s="28">
        <f t="shared" si="17"/>
        <v>3.119674929235714</v>
      </c>
      <c r="J120" s="28">
        <f t="shared" si="18"/>
        <v>68.252743918461903</v>
      </c>
      <c r="K120" s="28">
        <f t="shared" si="19"/>
        <v>23.186666666666667</v>
      </c>
      <c r="L120" s="28">
        <f t="shared" si="20"/>
        <v>0</v>
      </c>
      <c r="M120" s="2" t="str">
        <f t="shared" si="21"/>
        <v/>
      </c>
      <c r="N120" s="2" t="str">
        <f t="shared" si="22"/>
        <v/>
      </c>
      <c r="O120" s="2">
        <f t="shared" si="23"/>
        <v>20</v>
      </c>
    </row>
    <row r="121" spans="1:15">
      <c r="A121" s="27">
        <v>111</v>
      </c>
      <c r="B121" s="27">
        <v>28</v>
      </c>
      <c r="C121" s="27">
        <v>1</v>
      </c>
      <c r="D121" s="28">
        <f t="shared" si="12"/>
        <v>28</v>
      </c>
      <c r="E121" s="28">
        <f t="shared" si="13"/>
        <v>37.632427290462147</v>
      </c>
      <c r="F121" s="28">
        <f t="shared" si="14"/>
        <v>23.186666666666667</v>
      </c>
      <c r="G121" s="28">
        <f t="shared" si="15"/>
        <v>8.7409060428711882</v>
      </c>
      <c r="H121" s="28">
        <f t="shared" si="16"/>
        <v>0.99960122391990958</v>
      </c>
      <c r="I121" s="28">
        <f t="shared" si="17"/>
        <v>3.119674929235714</v>
      </c>
      <c r="J121" s="28">
        <f t="shared" si="18"/>
        <v>68.252743918461903</v>
      </c>
      <c r="K121" s="28">
        <f t="shared" si="19"/>
        <v>23.186666666666667</v>
      </c>
      <c r="L121" s="28">
        <f t="shared" si="20"/>
        <v>0</v>
      </c>
      <c r="M121" s="2" t="str">
        <f t="shared" si="21"/>
        <v/>
      </c>
      <c r="N121" s="2" t="str">
        <f t="shared" si="22"/>
        <v/>
      </c>
      <c r="O121" s="2">
        <f t="shared" si="23"/>
        <v>12</v>
      </c>
    </row>
    <row r="122" spans="1:15">
      <c r="A122" s="27">
        <v>112</v>
      </c>
      <c r="B122" s="27">
        <v>12</v>
      </c>
      <c r="C122" s="27">
        <v>1</v>
      </c>
      <c r="D122" s="28">
        <f t="shared" si="12"/>
        <v>12</v>
      </c>
      <c r="E122" s="28">
        <f t="shared" si="13"/>
        <v>37.632427290462147</v>
      </c>
      <c r="F122" s="28">
        <f t="shared" si="14"/>
        <v>23.186666666666667</v>
      </c>
      <c r="G122" s="28">
        <f t="shared" si="15"/>
        <v>8.7409060428711882</v>
      </c>
      <c r="H122" s="28">
        <f t="shared" si="16"/>
        <v>-2.3231729276144164</v>
      </c>
      <c r="I122" s="28">
        <f t="shared" si="17"/>
        <v>3.119674929235714</v>
      </c>
      <c r="J122" s="28">
        <f t="shared" si="18"/>
        <v>68.252743918461903</v>
      </c>
      <c r="K122" s="28">
        <f t="shared" si="19"/>
        <v>23.186666666666667</v>
      </c>
      <c r="L122" s="28">
        <f t="shared" si="20"/>
        <v>0</v>
      </c>
      <c r="M122" s="2" t="str">
        <f t="shared" si="21"/>
        <v/>
      </c>
      <c r="N122" s="2" t="str">
        <f t="shared" si="22"/>
        <v/>
      </c>
      <c r="O122" s="2">
        <f t="shared" si="23"/>
        <v>16</v>
      </c>
    </row>
    <row r="123" spans="1:15">
      <c r="A123" s="27">
        <v>113</v>
      </c>
      <c r="B123" s="27">
        <v>16</v>
      </c>
      <c r="C123" s="27">
        <v>1</v>
      </c>
      <c r="D123" s="28">
        <f t="shared" si="12"/>
        <v>16</v>
      </c>
      <c r="E123" s="28">
        <f t="shared" si="13"/>
        <v>37.632427290462147</v>
      </c>
      <c r="F123" s="28">
        <f t="shared" si="14"/>
        <v>23.186666666666667</v>
      </c>
      <c r="G123" s="28">
        <f t="shared" si="15"/>
        <v>8.7409060428711882</v>
      </c>
      <c r="H123" s="28">
        <f t="shared" si="16"/>
        <v>-1.4924793897308348</v>
      </c>
      <c r="I123" s="28">
        <f t="shared" si="17"/>
        <v>3.119674929235714</v>
      </c>
      <c r="J123" s="28">
        <f t="shared" si="18"/>
        <v>68.252743918461903</v>
      </c>
      <c r="K123" s="28">
        <f t="shared" si="19"/>
        <v>23.186666666666667</v>
      </c>
      <c r="L123" s="28">
        <f t="shared" si="20"/>
        <v>0</v>
      </c>
      <c r="M123" s="2" t="str">
        <f t="shared" si="21"/>
        <v/>
      </c>
      <c r="N123" s="2" t="str">
        <f t="shared" si="22"/>
        <v/>
      </c>
      <c r="O123" s="2">
        <f t="shared" si="23"/>
        <v>4</v>
      </c>
    </row>
    <row r="124" spans="1:15">
      <c r="A124" s="27">
        <v>114</v>
      </c>
      <c r="B124" s="27">
        <v>8</v>
      </c>
      <c r="C124" s="27">
        <v>1</v>
      </c>
      <c r="D124" s="28">
        <f t="shared" si="12"/>
        <v>8</v>
      </c>
      <c r="E124" s="28">
        <f t="shared" si="13"/>
        <v>37.632427290462147</v>
      </c>
      <c r="F124" s="28">
        <f t="shared" si="14"/>
        <v>23.186666666666667</v>
      </c>
      <c r="G124" s="28">
        <f t="shared" si="15"/>
        <v>8.7409060428711882</v>
      </c>
      <c r="H124" s="28">
        <f t="shared" si="16"/>
        <v>-3.1538664654979978</v>
      </c>
      <c r="I124" s="28">
        <f t="shared" si="17"/>
        <v>3.119674929235714</v>
      </c>
      <c r="J124" s="28">
        <f t="shared" si="18"/>
        <v>68.252743918461903</v>
      </c>
      <c r="K124" s="28">
        <f t="shared" si="19"/>
        <v>23.186666666666667</v>
      </c>
      <c r="L124" s="28">
        <f t="shared" si="20"/>
        <v>0</v>
      </c>
      <c r="M124" s="2" t="str">
        <f t="shared" si="21"/>
        <v>Y</v>
      </c>
      <c r="N124" s="2" t="str">
        <f t="shared" si="22"/>
        <v/>
      </c>
      <c r="O124" s="2">
        <f t="shared" si="23"/>
        <v>8</v>
      </c>
    </row>
    <row r="125" spans="1:15">
      <c r="A125" s="27">
        <v>115</v>
      </c>
      <c r="B125" s="27">
        <v>27</v>
      </c>
      <c r="C125" s="27">
        <v>1</v>
      </c>
      <c r="D125" s="28">
        <f t="shared" si="12"/>
        <v>27</v>
      </c>
      <c r="E125" s="28">
        <f t="shared" si="13"/>
        <v>37.632427290462147</v>
      </c>
      <c r="F125" s="28">
        <f t="shared" si="14"/>
        <v>23.186666666666667</v>
      </c>
      <c r="G125" s="28">
        <f t="shared" si="15"/>
        <v>8.7409060428711882</v>
      </c>
      <c r="H125" s="28">
        <f t="shared" si="16"/>
        <v>0.79192783944901413</v>
      </c>
      <c r="I125" s="28">
        <f t="shared" si="17"/>
        <v>3.119674929235714</v>
      </c>
      <c r="J125" s="28">
        <f t="shared" si="18"/>
        <v>68.252743918461903</v>
      </c>
      <c r="K125" s="28">
        <f t="shared" si="19"/>
        <v>23.186666666666667</v>
      </c>
      <c r="L125" s="28">
        <f t="shared" si="20"/>
        <v>0</v>
      </c>
      <c r="M125" s="2" t="str">
        <f t="shared" si="21"/>
        <v/>
      </c>
      <c r="N125" s="2" t="str">
        <f t="shared" si="22"/>
        <v/>
      </c>
      <c r="O125" s="2">
        <f t="shared" si="23"/>
        <v>19</v>
      </c>
    </row>
    <row r="126" spans="1:15">
      <c r="A126" s="27">
        <v>116</v>
      </c>
      <c r="B126" s="27">
        <v>17</v>
      </c>
      <c r="C126" s="27">
        <v>1</v>
      </c>
      <c r="D126" s="28">
        <f t="shared" si="12"/>
        <v>17</v>
      </c>
      <c r="E126" s="28">
        <f t="shared" si="13"/>
        <v>37.632427290462147</v>
      </c>
      <c r="F126" s="28">
        <f t="shared" si="14"/>
        <v>23.186666666666667</v>
      </c>
      <c r="G126" s="28">
        <f t="shared" si="15"/>
        <v>8.7409060428711882</v>
      </c>
      <c r="H126" s="28">
        <f t="shared" si="16"/>
        <v>-1.2848060052599395</v>
      </c>
      <c r="I126" s="28">
        <f t="shared" si="17"/>
        <v>3.119674929235714</v>
      </c>
      <c r="J126" s="28">
        <f t="shared" si="18"/>
        <v>68.252743918461903</v>
      </c>
      <c r="K126" s="28">
        <f t="shared" si="19"/>
        <v>23.186666666666667</v>
      </c>
      <c r="L126" s="28">
        <f t="shared" si="20"/>
        <v>0</v>
      </c>
      <c r="M126" s="2" t="str">
        <f t="shared" si="21"/>
        <v/>
      </c>
      <c r="N126" s="2" t="str">
        <f t="shared" si="22"/>
        <v/>
      </c>
      <c r="O126" s="2">
        <f t="shared" si="23"/>
        <v>10</v>
      </c>
    </row>
    <row r="127" spans="1:15">
      <c r="A127" s="27">
        <v>117</v>
      </c>
      <c r="B127" s="27">
        <v>16</v>
      </c>
      <c r="C127" s="27">
        <v>1</v>
      </c>
      <c r="D127" s="28">
        <f t="shared" si="12"/>
        <v>16</v>
      </c>
      <c r="E127" s="28">
        <f t="shared" si="13"/>
        <v>37.632427290462147</v>
      </c>
      <c r="F127" s="28">
        <f t="shared" si="14"/>
        <v>23.186666666666667</v>
      </c>
      <c r="G127" s="28">
        <f t="shared" si="15"/>
        <v>8.7409060428711882</v>
      </c>
      <c r="H127" s="28">
        <f t="shared" si="16"/>
        <v>-1.4924793897308348</v>
      </c>
      <c r="I127" s="28">
        <f t="shared" si="17"/>
        <v>3.119674929235714</v>
      </c>
      <c r="J127" s="28">
        <f t="shared" si="18"/>
        <v>68.252743918461903</v>
      </c>
      <c r="K127" s="28">
        <f t="shared" si="19"/>
        <v>23.186666666666667</v>
      </c>
      <c r="L127" s="28">
        <f t="shared" si="20"/>
        <v>0</v>
      </c>
      <c r="M127" s="2" t="str">
        <f t="shared" si="21"/>
        <v/>
      </c>
      <c r="N127" s="2" t="str">
        <f t="shared" si="22"/>
        <v/>
      </c>
      <c r="O127" s="2">
        <f t="shared" si="23"/>
        <v>1</v>
      </c>
    </row>
    <row r="128" spans="1:15">
      <c r="A128" s="27">
        <v>118</v>
      </c>
      <c r="B128" s="27">
        <v>11</v>
      </c>
      <c r="C128" s="27">
        <v>1</v>
      </c>
      <c r="D128" s="28">
        <f t="shared" si="12"/>
        <v>11</v>
      </c>
      <c r="E128" s="28">
        <f t="shared" si="13"/>
        <v>37.632427290462147</v>
      </c>
      <c r="F128" s="28">
        <f t="shared" si="14"/>
        <v>23.186666666666667</v>
      </c>
      <c r="G128" s="28">
        <f t="shared" si="15"/>
        <v>8.7409060428711882</v>
      </c>
      <c r="H128" s="28">
        <f t="shared" si="16"/>
        <v>-2.5308463120853117</v>
      </c>
      <c r="I128" s="28">
        <f t="shared" si="17"/>
        <v>3.119674929235714</v>
      </c>
      <c r="J128" s="28">
        <f t="shared" si="18"/>
        <v>68.252743918461903</v>
      </c>
      <c r="K128" s="28">
        <f t="shared" si="19"/>
        <v>23.186666666666667</v>
      </c>
      <c r="L128" s="28">
        <f t="shared" si="20"/>
        <v>0</v>
      </c>
      <c r="M128" s="2" t="str">
        <f t="shared" si="21"/>
        <v/>
      </c>
      <c r="N128" s="2" t="str">
        <f t="shared" si="22"/>
        <v/>
      </c>
      <c r="O128" s="2">
        <f t="shared" si="23"/>
        <v>5</v>
      </c>
    </row>
    <row r="129" spans="1:15">
      <c r="A129" s="27">
        <v>119</v>
      </c>
      <c r="B129" s="27">
        <v>11</v>
      </c>
      <c r="C129" s="27">
        <v>1</v>
      </c>
      <c r="D129" s="28">
        <f t="shared" si="12"/>
        <v>11</v>
      </c>
      <c r="E129" s="28">
        <f t="shared" si="13"/>
        <v>37.632427290462147</v>
      </c>
      <c r="F129" s="28">
        <f t="shared" si="14"/>
        <v>23.186666666666667</v>
      </c>
      <c r="G129" s="28">
        <f t="shared" si="15"/>
        <v>8.7409060428711882</v>
      </c>
      <c r="H129" s="28">
        <f t="shared" si="16"/>
        <v>-2.5308463120853117</v>
      </c>
      <c r="I129" s="28">
        <f t="shared" si="17"/>
        <v>3.119674929235714</v>
      </c>
      <c r="J129" s="28">
        <f t="shared" si="18"/>
        <v>68.252743918461903</v>
      </c>
      <c r="K129" s="28">
        <f t="shared" si="19"/>
        <v>23.186666666666667</v>
      </c>
      <c r="L129" s="28">
        <f t="shared" si="20"/>
        <v>0</v>
      </c>
      <c r="M129" s="2" t="str">
        <f t="shared" si="21"/>
        <v/>
      </c>
      <c r="N129" s="2" t="str">
        <f t="shared" si="22"/>
        <v/>
      </c>
      <c r="O129" s="2">
        <f t="shared" si="23"/>
        <v>0</v>
      </c>
    </row>
    <row r="130" spans="1:15">
      <c r="A130" s="27">
        <v>120</v>
      </c>
      <c r="B130" s="27">
        <v>10</v>
      </c>
      <c r="C130" s="27">
        <v>1</v>
      </c>
      <c r="D130" s="28">
        <f t="shared" si="12"/>
        <v>10</v>
      </c>
      <c r="E130" s="28">
        <f t="shared" si="13"/>
        <v>37.632427290462147</v>
      </c>
      <c r="F130" s="28">
        <f t="shared" si="14"/>
        <v>23.186666666666667</v>
      </c>
      <c r="G130" s="28">
        <f t="shared" si="15"/>
        <v>8.7409060428711882</v>
      </c>
      <c r="H130" s="28">
        <f t="shared" si="16"/>
        <v>-2.7385196965562071</v>
      </c>
      <c r="I130" s="28">
        <f t="shared" si="17"/>
        <v>3.119674929235714</v>
      </c>
      <c r="J130" s="28">
        <f t="shared" si="18"/>
        <v>68.252743918461903</v>
      </c>
      <c r="K130" s="28">
        <f t="shared" si="19"/>
        <v>23.186666666666667</v>
      </c>
      <c r="L130" s="28">
        <f t="shared" si="20"/>
        <v>0</v>
      </c>
      <c r="M130" s="2" t="str">
        <f t="shared" si="21"/>
        <v/>
      </c>
      <c r="N130" s="2" t="str">
        <f t="shared" si="22"/>
        <v/>
      </c>
      <c r="O130" s="2">
        <f t="shared" si="23"/>
        <v>1</v>
      </c>
    </row>
    <row r="131" spans="1:15">
      <c r="A131" s="27">
        <v>121</v>
      </c>
      <c r="B131" s="27">
        <v>21</v>
      </c>
      <c r="C131" s="27">
        <v>1</v>
      </c>
      <c r="D131" s="28">
        <f t="shared" si="12"/>
        <v>21</v>
      </c>
      <c r="E131" s="28">
        <f t="shared" si="13"/>
        <v>37.632427290462147</v>
      </c>
      <c r="F131" s="28">
        <f t="shared" si="14"/>
        <v>23.186666666666667</v>
      </c>
      <c r="G131" s="28">
        <f t="shared" si="15"/>
        <v>8.7409060428711882</v>
      </c>
      <c r="H131" s="28">
        <f t="shared" si="16"/>
        <v>-0.45411246737635802</v>
      </c>
      <c r="I131" s="28">
        <f t="shared" si="17"/>
        <v>3.119674929235714</v>
      </c>
      <c r="J131" s="28">
        <f t="shared" si="18"/>
        <v>68.252743918461903</v>
      </c>
      <c r="K131" s="28">
        <f t="shared" si="19"/>
        <v>23.186666666666667</v>
      </c>
      <c r="L131" s="28">
        <f t="shared" si="20"/>
        <v>0</v>
      </c>
      <c r="M131" s="2" t="str">
        <f t="shared" si="21"/>
        <v/>
      </c>
      <c r="N131" s="2" t="str">
        <f t="shared" si="22"/>
        <v/>
      </c>
      <c r="O131" s="2">
        <f t="shared" si="23"/>
        <v>11</v>
      </c>
    </row>
    <row r="132" spans="1:15">
      <c r="A132" s="27">
        <v>122</v>
      </c>
      <c r="B132" s="27">
        <v>13</v>
      </c>
      <c r="C132" s="27">
        <v>1</v>
      </c>
      <c r="D132" s="28">
        <f t="shared" si="12"/>
        <v>13</v>
      </c>
      <c r="E132" s="28">
        <f t="shared" si="13"/>
        <v>37.632427290462147</v>
      </c>
      <c r="F132" s="28">
        <f t="shared" si="14"/>
        <v>23.186666666666667</v>
      </c>
      <c r="G132" s="28">
        <f t="shared" si="15"/>
        <v>8.7409060428711882</v>
      </c>
      <c r="H132" s="28">
        <f t="shared" si="16"/>
        <v>-2.1154995431435211</v>
      </c>
      <c r="I132" s="28">
        <f t="shared" si="17"/>
        <v>3.119674929235714</v>
      </c>
      <c r="J132" s="28">
        <f t="shared" si="18"/>
        <v>68.252743918461903</v>
      </c>
      <c r="K132" s="28">
        <f t="shared" si="19"/>
        <v>23.186666666666667</v>
      </c>
      <c r="L132" s="28">
        <f t="shared" si="20"/>
        <v>0</v>
      </c>
      <c r="M132" s="2" t="str">
        <f t="shared" si="21"/>
        <v/>
      </c>
      <c r="N132" s="2" t="str">
        <f t="shared" si="22"/>
        <v/>
      </c>
      <c r="O132" s="2">
        <f t="shared" si="23"/>
        <v>8</v>
      </c>
    </row>
    <row r="133" spans="1:15">
      <c r="A133" s="27">
        <v>123</v>
      </c>
      <c r="B133" s="27">
        <v>17</v>
      </c>
      <c r="C133" s="27">
        <v>1</v>
      </c>
      <c r="D133" s="28">
        <f t="shared" si="12"/>
        <v>17</v>
      </c>
      <c r="E133" s="28">
        <f t="shared" si="13"/>
        <v>37.632427290462147</v>
      </c>
      <c r="F133" s="28">
        <f t="shared" si="14"/>
        <v>23.186666666666667</v>
      </c>
      <c r="G133" s="28">
        <f t="shared" si="15"/>
        <v>8.7409060428711882</v>
      </c>
      <c r="H133" s="28">
        <f t="shared" si="16"/>
        <v>-1.2848060052599395</v>
      </c>
      <c r="I133" s="28">
        <f t="shared" si="17"/>
        <v>3.119674929235714</v>
      </c>
      <c r="J133" s="28">
        <f t="shared" si="18"/>
        <v>68.252743918461903</v>
      </c>
      <c r="K133" s="28">
        <f t="shared" si="19"/>
        <v>23.186666666666667</v>
      </c>
      <c r="L133" s="28">
        <f t="shared" si="20"/>
        <v>0</v>
      </c>
      <c r="M133" s="2" t="str">
        <f t="shared" si="21"/>
        <v/>
      </c>
      <c r="N133" s="2" t="str">
        <f t="shared" si="22"/>
        <v/>
      </c>
      <c r="O133" s="2">
        <f t="shared" si="23"/>
        <v>4</v>
      </c>
    </row>
    <row r="134" spans="1:15">
      <c r="A134" s="27">
        <v>124</v>
      </c>
      <c r="B134" s="27">
        <v>24</v>
      </c>
      <c r="C134" s="27">
        <v>1</v>
      </c>
      <c r="D134" s="28">
        <f t="shared" si="12"/>
        <v>24</v>
      </c>
      <c r="E134" s="28">
        <f t="shared" si="13"/>
        <v>37.632427290462147</v>
      </c>
      <c r="F134" s="28">
        <f t="shared" si="14"/>
        <v>23.186666666666667</v>
      </c>
      <c r="G134" s="28">
        <f t="shared" si="15"/>
        <v>8.7409060428711882</v>
      </c>
      <c r="H134" s="28">
        <f t="shared" si="16"/>
        <v>0.16890768603632808</v>
      </c>
      <c r="I134" s="28">
        <f t="shared" si="17"/>
        <v>3.119674929235714</v>
      </c>
      <c r="J134" s="28">
        <f t="shared" si="18"/>
        <v>68.252743918461903</v>
      </c>
      <c r="K134" s="28">
        <f t="shared" si="19"/>
        <v>23.186666666666667</v>
      </c>
      <c r="L134" s="28">
        <f t="shared" si="20"/>
        <v>0</v>
      </c>
      <c r="M134" s="2" t="str">
        <f t="shared" si="21"/>
        <v/>
      </c>
      <c r="N134" s="2" t="str">
        <f t="shared" si="22"/>
        <v/>
      </c>
      <c r="O134" s="2">
        <f t="shared" si="23"/>
        <v>7</v>
      </c>
    </row>
    <row r="135" spans="1:15">
      <c r="A135" s="27">
        <v>125</v>
      </c>
      <c r="B135" s="27">
        <v>21</v>
      </c>
      <c r="C135" s="27">
        <v>1</v>
      </c>
      <c r="D135" s="28">
        <f t="shared" si="12"/>
        <v>21</v>
      </c>
      <c r="E135" s="28">
        <f t="shared" si="13"/>
        <v>37.632427290462147</v>
      </c>
      <c r="F135" s="28">
        <f t="shared" si="14"/>
        <v>23.186666666666667</v>
      </c>
      <c r="G135" s="28">
        <f t="shared" si="15"/>
        <v>8.7409060428711882</v>
      </c>
      <c r="H135" s="28">
        <f t="shared" si="16"/>
        <v>-0.45411246737635802</v>
      </c>
      <c r="I135" s="28">
        <f t="shared" si="17"/>
        <v>3.119674929235714</v>
      </c>
      <c r="J135" s="28">
        <f t="shared" si="18"/>
        <v>68.252743918461903</v>
      </c>
      <c r="K135" s="28">
        <f t="shared" si="19"/>
        <v>23.186666666666667</v>
      </c>
      <c r="L135" s="28">
        <f t="shared" si="20"/>
        <v>0</v>
      </c>
      <c r="M135" s="2" t="str">
        <f t="shared" si="21"/>
        <v/>
      </c>
      <c r="N135" s="2" t="str">
        <f t="shared" si="22"/>
        <v/>
      </c>
      <c r="O135" s="2">
        <f t="shared" si="23"/>
        <v>3</v>
      </c>
    </row>
    <row r="136" spans="1:15">
      <c r="A136" s="27">
        <v>126</v>
      </c>
      <c r="B136" s="27">
        <v>5</v>
      </c>
      <c r="C136" s="27">
        <v>1</v>
      </c>
      <c r="D136" s="28">
        <f t="shared" si="12"/>
        <v>5</v>
      </c>
      <c r="E136" s="28">
        <f t="shared" si="13"/>
        <v>37.632427290462147</v>
      </c>
      <c r="F136" s="28">
        <f t="shared" si="14"/>
        <v>23.186666666666667</v>
      </c>
      <c r="G136" s="28">
        <f t="shared" si="15"/>
        <v>8.7409060428711882</v>
      </c>
      <c r="H136" s="28">
        <f t="shared" si="16"/>
        <v>-3.7768866189106838</v>
      </c>
      <c r="I136" s="28">
        <f t="shared" si="17"/>
        <v>3.119674929235714</v>
      </c>
      <c r="J136" s="28">
        <f t="shared" si="18"/>
        <v>68.252743918461903</v>
      </c>
      <c r="K136" s="28">
        <f t="shared" si="19"/>
        <v>23.186666666666667</v>
      </c>
      <c r="L136" s="28">
        <f t="shared" si="20"/>
        <v>0</v>
      </c>
      <c r="M136" s="2" t="str">
        <f t="shared" si="21"/>
        <v>Y</v>
      </c>
      <c r="N136" s="2" t="str">
        <f t="shared" si="22"/>
        <v/>
      </c>
      <c r="O136" s="2">
        <f t="shared" si="23"/>
        <v>16</v>
      </c>
    </row>
    <row r="137" spans="1:15">
      <c r="A137" s="27">
        <v>127</v>
      </c>
      <c r="B137" s="27">
        <v>24</v>
      </c>
      <c r="C137" s="27">
        <v>1</v>
      </c>
      <c r="D137" s="28">
        <f t="shared" si="12"/>
        <v>24</v>
      </c>
      <c r="E137" s="28">
        <f t="shared" si="13"/>
        <v>37.632427290462147</v>
      </c>
      <c r="F137" s="28">
        <f t="shared" si="14"/>
        <v>23.186666666666667</v>
      </c>
      <c r="G137" s="28">
        <f t="shared" si="15"/>
        <v>8.7409060428711882</v>
      </c>
      <c r="H137" s="28">
        <f t="shared" si="16"/>
        <v>0.16890768603632808</v>
      </c>
      <c r="I137" s="28">
        <f t="shared" si="17"/>
        <v>3.119674929235714</v>
      </c>
      <c r="J137" s="28">
        <f t="shared" si="18"/>
        <v>68.252743918461903</v>
      </c>
      <c r="K137" s="28">
        <f t="shared" si="19"/>
        <v>23.186666666666667</v>
      </c>
      <c r="L137" s="28">
        <f t="shared" si="20"/>
        <v>0</v>
      </c>
      <c r="M137" s="2" t="str">
        <f t="shared" si="21"/>
        <v/>
      </c>
      <c r="N137" s="2" t="str">
        <f t="shared" si="22"/>
        <v/>
      </c>
      <c r="O137" s="2">
        <f t="shared" si="23"/>
        <v>19</v>
      </c>
    </row>
    <row r="138" spans="1:15">
      <c r="A138" s="27">
        <v>128</v>
      </c>
      <c r="B138" s="27">
        <v>31</v>
      </c>
      <c r="C138" s="27">
        <v>1</v>
      </c>
      <c r="D138" s="28">
        <f t="shared" si="12"/>
        <v>31</v>
      </c>
      <c r="E138" s="28">
        <f t="shared" si="13"/>
        <v>37.632427290462147</v>
      </c>
      <c r="F138" s="28">
        <f t="shared" si="14"/>
        <v>23.186666666666667</v>
      </c>
      <c r="G138" s="28">
        <f t="shared" si="15"/>
        <v>8.7409060428711882</v>
      </c>
      <c r="H138" s="28">
        <f t="shared" si="16"/>
        <v>1.6226213773325957</v>
      </c>
      <c r="I138" s="28">
        <f t="shared" si="17"/>
        <v>3.119674929235714</v>
      </c>
      <c r="J138" s="28">
        <f t="shared" si="18"/>
        <v>68.252743918461903</v>
      </c>
      <c r="K138" s="28">
        <f t="shared" si="19"/>
        <v>23.186666666666667</v>
      </c>
      <c r="L138" s="28">
        <f t="shared" si="20"/>
        <v>0</v>
      </c>
      <c r="M138" s="2" t="str">
        <f t="shared" si="21"/>
        <v/>
      </c>
      <c r="N138" s="2" t="str">
        <f t="shared" si="22"/>
        <v/>
      </c>
      <c r="O138" s="2">
        <f t="shared" si="23"/>
        <v>7</v>
      </c>
    </row>
    <row r="139" spans="1:15">
      <c r="A139" s="27">
        <v>129</v>
      </c>
      <c r="B139" s="27">
        <v>43</v>
      </c>
      <c r="C139" s="27">
        <v>1</v>
      </c>
      <c r="D139" s="28">
        <f t="shared" ref="D139:D202" si="24">IF(C139=0,"",B139/C139)</f>
        <v>43</v>
      </c>
      <c r="E139" s="28">
        <f t="shared" ref="E139:E202" si="25">IF(C139=0,"",$F$5+3*SQRT($F$5/C139))</f>
        <v>37.632427290462147</v>
      </c>
      <c r="F139" s="28">
        <f t="shared" ref="F139:F202" si="26">$F$5</f>
        <v>23.186666666666667</v>
      </c>
      <c r="G139" s="28">
        <f t="shared" ref="G139:G202" si="27">IF(C139=0,"",MAX(0,$F$5-3*SQRT($F$5/C139)))</f>
        <v>8.7409060428711882</v>
      </c>
      <c r="H139" s="28">
        <f t="shared" ref="H139:H202" si="28">IF(C139=0,"",(D139-$F$5)/SQRT($F$5/C139))</f>
        <v>4.11470199098334</v>
      </c>
      <c r="I139" s="28">
        <f t="shared" ref="I139:I202" si="29">$F$6</f>
        <v>3.119674929235714</v>
      </c>
      <c r="J139" s="28">
        <f t="shared" ref="J139:J202" si="30">IF(C139=0,"",$F$5+3*$F$6*SQRT($F$5/C139))</f>
        <v>68.252743918461903</v>
      </c>
      <c r="K139" s="28">
        <f t="shared" ref="K139:K202" si="31">$F$5</f>
        <v>23.186666666666667</v>
      </c>
      <c r="L139" s="28">
        <f t="shared" ref="L139:L202" si="32">IF(C139=0,"",MAX(0,$F$5-3*$F$6*SQRT($F$5/C139)))</f>
        <v>0</v>
      </c>
      <c r="M139" s="2" t="str">
        <f t="shared" ref="M139:M202" si="33">IF(OR(D139&gt;E139,D139&lt;G139),"Y","")</f>
        <v>Y</v>
      </c>
      <c r="N139" s="2" t="str">
        <f t="shared" ref="N139:N202" si="34">IF(OR(D139&gt;J139,D139&lt;L139),"Y","")</f>
        <v/>
      </c>
      <c r="O139" s="2">
        <f t="shared" si="23"/>
        <v>12</v>
      </c>
    </row>
    <row r="140" spans="1:15">
      <c r="A140" s="27">
        <v>130</v>
      </c>
      <c r="B140" s="27">
        <v>27</v>
      </c>
      <c r="C140" s="27">
        <v>1</v>
      </c>
      <c r="D140" s="28">
        <f t="shared" si="24"/>
        <v>27</v>
      </c>
      <c r="E140" s="28">
        <f t="shared" si="25"/>
        <v>37.632427290462147</v>
      </c>
      <c r="F140" s="28">
        <f t="shared" si="26"/>
        <v>23.186666666666667</v>
      </c>
      <c r="G140" s="28">
        <f t="shared" si="27"/>
        <v>8.7409060428711882</v>
      </c>
      <c r="H140" s="28">
        <f t="shared" si="28"/>
        <v>0.79192783944901413</v>
      </c>
      <c r="I140" s="28">
        <f t="shared" si="29"/>
        <v>3.119674929235714</v>
      </c>
      <c r="J140" s="28">
        <f t="shared" si="30"/>
        <v>68.252743918461903</v>
      </c>
      <c r="K140" s="28">
        <f t="shared" si="31"/>
        <v>23.186666666666667</v>
      </c>
      <c r="L140" s="28">
        <f t="shared" si="32"/>
        <v>0</v>
      </c>
      <c r="M140" s="2" t="str">
        <f t="shared" si="33"/>
        <v/>
      </c>
      <c r="N140" s="2" t="str">
        <f t="shared" si="34"/>
        <v/>
      </c>
      <c r="O140" s="2">
        <f t="shared" ref="O140:O203" si="35">ABS(D140-D139)</f>
        <v>16</v>
      </c>
    </row>
    <row r="141" spans="1:15">
      <c r="A141" s="27">
        <v>131</v>
      </c>
      <c r="B141" s="27">
        <v>25</v>
      </c>
      <c r="C141" s="27">
        <v>1</v>
      </c>
      <c r="D141" s="28">
        <f t="shared" si="24"/>
        <v>25</v>
      </c>
      <c r="E141" s="28">
        <f t="shared" si="25"/>
        <v>37.632427290462147</v>
      </c>
      <c r="F141" s="28">
        <f t="shared" si="26"/>
        <v>23.186666666666667</v>
      </c>
      <c r="G141" s="28">
        <f t="shared" si="27"/>
        <v>8.7409060428711882</v>
      </c>
      <c r="H141" s="28">
        <f t="shared" si="28"/>
        <v>0.37658107050722345</v>
      </c>
      <c r="I141" s="28">
        <f t="shared" si="29"/>
        <v>3.119674929235714</v>
      </c>
      <c r="J141" s="28">
        <f t="shared" si="30"/>
        <v>68.252743918461903</v>
      </c>
      <c r="K141" s="28">
        <f t="shared" si="31"/>
        <v>23.186666666666667</v>
      </c>
      <c r="L141" s="28">
        <f t="shared" si="32"/>
        <v>0</v>
      </c>
      <c r="M141" s="2" t="str">
        <f t="shared" si="33"/>
        <v/>
      </c>
      <c r="N141" s="2" t="str">
        <f t="shared" si="34"/>
        <v/>
      </c>
      <c r="O141" s="2">
        <f t="shared" si="35"/>
        <v>2</v>
      </c>
    </row>
    <row r="142" spans="1:15">
      <c r="A142" s="27">
        <v>132</v>
      </c>
      <c r="B142" s="27">
        <v>38</v>
      </c>
      <c r="C142" s="27">
        <v>1</v>
      </c>
      <c r="D142" s="28">
        <f t="shared" si="24"/>
        <v>38</v>
      </c>
      <c r="E142" s="28">
        <f t="shared" si="25"/>
        <v>37.632427290462147</v>
      </c>
      <c r="F142" s="28">
        <f t="shared" si="26"/>
        <v>23.186666666666667</v>
      </c>
      <c r="G142" s="28">
        <f t="shared" si="27"/>
        <v>8.7409060428711882</v>
      </c>
      <c r="H142" s="28">
        <f t="shared" si="28"/>
        <v>3.0763350686288633</v>
      </c>
      <c r="I142" s="28">
        <f t="shared" si="29"/>
        <v>3.119674929235714</v>
      </c>
      <c r="J142" s="28">
        <f t="shared" si="30"/>
        <v>68.252743918461903</v>
      </c>
      <c r="K142" s="28">
        <f t="shared" si="31"/>
        <v>23.186666666666667</v>
      </c>
      <c r="L142" s="28">
        <f t="shared" si="32"/>
        <v>0</v>
      </c>
      <c r="M142" s="2" t="str">
        <f t="shared" si="33"/>
        <v>Y</v>
      </c>
      <c r="N142" s="2" t="str">
        <f t="shared" si="34"/>
        <v/>
      </c>
      <c r="O142" s="2">
        <f t="shared" si="35"/>
        <v>13</v>
      </c>
    </row>
    <row r="143" spans="1:15">
      <c r="A143" s="27">
        <v>133</v>
      </c>
      <c r="B143" s="27">
        <v>42</v>
      </c>
      <c r="C143" s="27">
        <v>1</v>
      </c>
      <c r="D143" s="28">
        <f t="shared" si="24"/>
        <v>42</v>
      </c>
      <c r="E143" s="28">
        <f t="shared" si="25"/>
        <v>37.632427290462147</v>
      </c>
      <c r="F143" s="28">
        <f t="shared" si="26"/>
        <v>23.186666666666667</v>
      </c>
      <c r="G143" s="28">
        <f t="shared" si="27"/>
        <v>8.7409060428711882</v>
      </c>
      <c r="H143" s="28">
        <f t="shared" si="28"/>
        <v>3.9070286065124447</v>
      </c>
      <c r="I143" s="28">
        <f t="shared" si="29"/>
        <v>3.119674929235714</v>
      </c>
      <c r="J143" s="28">
        <f t="shared" si="30"/>
        <v>68.252743918461903</v>
      </c>
      <c r="K143" s="28">
        <f t="shared" si="31"/>
        <v>23.186666666666667</v>
      </c>
      <c r="L143" s="28">
        <f t="shared" si="32"/>
        <v>0</v>
      </c>
      <c r="M143" s="2" t="str">
        <f t="shared" si="33"/>
        <v>Y</v>
      </c>
      <c r="N143" s="2" t="str">
        <f t="shared" si="34"/>
        <v/>
      </c>
      <c r="O143" s="2">
        <f t="shared" si="35"/>
        <v>4</v>
      </c>
    </row>
    <row r="144" spans="1:15">
      <c r="A144" s="27">
        <v>134</v>
      </c>
      <c r="B144" s="27">
        <v>31</v>
      </c>
      <c r="C144" s="27">
        <v>1</v>
      </c>
      <c r="D144" s="28">
        <f t="shared" si="24"/>
        <v>31</v>
      </c>
      <c r="E144" s="28">
        <f t="shared" si="25"/>
        <v>37.632427290462147</v>
      </c>
      <c r="F144" s="28">
        <f t="shared" si="26"/>
        <v>23.186666666666667</v>
      </c>
      <c r="G144" s="28">
        <f t="shared" si="27"/>
        <v>8.7409060428711882</v>
      </c>
      <c r="H144" s="28">
        <f t="shared" si="28"/>
        <v>1.6226213773325957</v>
      </c>
      <c r="I144" s="28">
        <f t="shared" si="29"/>
        <v>3.119674929235714</v>
      </c>
      <c r="J144" s="28">
        <f t="shared" si="30"/>
        <v>68.252743918461903</v>
      </c>
      <c r="K144" s="28">
        <f t="shared" si="31"/>
        <v>23.186666666666667</v>
      </c>
      <c r="L144" s="28">
        <f t="shared" si="32"/>
        <v>0</v>
      </c>
      <c r="M144" s="2" t="str">
        <f t="shared" si="33"/>
        <v/>
      </c>
      <c r="N144" s="2" t="str">
        <f t="shared" si="34"/>
        <v/>
      </c>
      <c r="O144" s="2">
        <f t="shared" si="35"/>
        <v>11</v>
      </c>
    </row>
    <row r="145" spans="1:15">
      <c r="A145" s="27">
        <v>135</v>
      </c>
      <c r="B145" s="27">
        <v>20</v>
      </c>
      <c r="C145" s="27">
        <v>1</v>
      </c>
      <c r="D145" s="28">
        <f t="shared" si="24"/>
        <v>20</v>
      </c>
      <c r="E145" s="28">
        <f t="shared" si="25"/>
        <v>37.632427290462147</v>
      </c>
      <c r="F145" s="28">
        <f t="shared" si="26"/>
        <v>23.186666666666667</v>
      </c>
      <c r="G145" s="28">
        <f t="shared" si="27"/>
        <v>8.7409060428711882</v>
      </c>
      <c r="H145" s="28">
        <f t="shared" si="28"/>
        <v>-0.66178585184725336</v>
      </c>
      <c r="I145" s="28">
        <f t="shared" si="29"/>
        <v>3.119674929235714</v>
      </c>
      <c r="J145" s="28">
        <f t="shared" si="30"/>
        <v>68.252743918461903</v>
      </c>
      <c r="K145" s="28">
        <f t="shared" si="31"/>
        <v>23.186666666666667</v>
      </c>
      <c r="L145" s="28">
        <f t="shared" si="32"/>
        <v>0</v>
      </c>
      <c r="M145" s="2" t="str">
        <f t="shared" si="33"/>
        <v/>
      </c>
      <c r="N145" s="2" t="str">
        <f t="shared" si="34"/>
        <v/>
      </c>
      <c r="O145" s="2">
        <f t="shared" si="35"/>
        <v>11</v>
      </c>
    </row>
    <row r="146" spans="1:15">
      <c r="A146" s="27">
        <v>136</v>
      </c>
      <c r="B146" s="27">
        <v>11</v>
      </c>
      <c r="C146" s="27">
        <v>1</v>
      </c>
      <c r="D146" s="28">
        <f t="shared" si="24"/>
        <v>11</v>
      </c>
      <c r="E146" s="28">
        <f t="shared" si="25"/>
        <v>37.632427290462147</v>
      </c>
      <c r="F146" s="28">
        <f t="shared" si="26"/>
        <v>23.186666666666667</v>
      </c>
      <c r="G146" s="28">
        <f t="shared" si="27"/>
        <v>8.7409060428711882</v>
      </c>
      <c r="H146" s="28">
        <f t="shared" si="28"/>
        <v>-2.5308463120853117</v>
      </c>
      <c r="I146" s="28">
        <f t="shared" si="29"/>
        <v>3.119674929235714</v>
      </c>
      <c r="J146" s="28">
        <f t="shared" si="30"/>
        <v>68.252743918461903</v>
      </c>
      <c r="K146" s="28">
        <f t="shared" si="31"/>
        <v>23.186666666666667</v>
      </c>
      <c r="L146" s="28">
        <f t="shared" si="32"/>
        <v>0</v>
      </c>
      <c r="M146" s="2" t="str">
        <f t="shared" si="33"/>
        <v/>
      </c>
      <c r="N146" s="2" t="str">
        <f t="shared" si="34"/>
        <v/>
      </c>
      <c r="O146" s="2">
        <f t="shared" si="35"/>
        <v>9</v>
      </c>
    </row>
    <row r="147" spans="1:15">
      <c r="A147" s="27">
        <v>137</v>
      </c>
      <c r="B147" s="27">
        <v>16</v>
      </c>
      <c r="C147" s="27">
        <v>1</v>
      </c>
      <c r="D147" s="28">
        <f t="shared" si="24"/>
        <v>16</v>
      </c>
      <c r="E147" s="28">
        <f t="shared" si="25"/>
        <v>37.632427290462147</v>
      </c>
      <c r="F147" s="28">
        <f t="shared" si="26"/>
        <v>23.186666666666667</v>
      </c>
      <c r="G147" s="28">
        <f t="shared" si="27"/>
        <v>8.7409060428711882</v>
      </c>
      <c r="H147" s="28">
        <f t="shared" si="28"/>
        <v>-1.4924793897308348</v>
      </c>
      <c r="I147" s="28">
        <f t="shared" si="29"/>
        <v>3.119674929235714</v>
      </c>
      <c r="J147" s="28">
        <f t="shared" si="30"/>
        <v>68.252743918461903</v>
      </c>
      <c r="K147" s="28">
        <f t="shared" si="31"/>
        <v>23.186666666666667</v>
      </c>
      <c r="L147" s="28">
        <f t="shared" si="32"/>
        <v>0</v>
      </c>
      <c r="M147" s="2" t="str">
        <f t="shared" si="33"/>
        <v/>
      </c>
      <c r="N147" s="2" t="str">
        <f t="shared" si="34"/>
        <v/>
      </c>
      <c r="O147" s="2">
        <f t="shared" si="35"/>
        <v>5</v>
      </c>
    </row>
    <row r="148" spans="1:15">
      <c r="A148" s="27">
        <v>138</v>
      </c>
      <c r="B148" s="27">
        <v>18</v>
      </c>
      <c r="C148" s="27">
        <v>1</v>
      </c>
      <c r="D148" s="28">
        <f t="shared" si="24"/>
        <v>18</v>
      </c>
      <c r="E148" s="28">
        <f t="shared" si="25"/>
        <v>37.632427290462147</v>
      </c>
      <c r="F148" s="28">
        <f t="shared" si="26"/>
        <v>23.186666666666667</v>
      </c>
      <c r="G148" s="28">
        <f t="shared" si="27"/>
        <v>8.7409060428711882</v>
      </c>
      <c r="H148" s="28">
        <f t="shared" si="28"/>
        <v>-1.0771326207890441</v>
      </c>
      <c r="I148" s="28">
        <f t="shared" si="29"/>
        <v>3.119674929235714</v>
      </c>
      <c r="J148" s="28">
        <f t="shared" si="30"/>
        <v>68.252743918461903</v>
      </c>
      <c r="K148" s="28">
        <f t="shared" si="31"/>
        <v>23.186666666666667</v>
      </c>
      <c r="L148" s="28">
        <f t="shared" si="32"/>
        <v>0</v>
      </c>
      <c r="M148" s="2" t="str">
        <f t="shared" si="33"/>
        <v/>
      </c>
      <c r="N148" s="2" t="str">
        <f t="shared" si="34"/>
        <v/>
      </c>
      <c r="O148" s="2">
        <f t="shared" si="35"/>
        <v>2</v>
      </c>
    </row>
    <row r="149" spans="1:15">
      <c r="A149" s="27">
        <v>139</v>
      </c>
      <c r="B149" s="27">
        <v>22</v>
      </c>
      <c r="C149" s="27">
        <v>1</v>
      </c>
      <c r="D149" s="28">
        <f t="shared" si="24"/>
        <v>22</v>
      </c>
      <c r="E149" s="28">
        <f t="shared" si="25"/>
        <v>37.632427290462147</v>
      </c>
      <c r="F149" s="28">
        <f t="shared" si="26"/>
        <v>23.186666666666667</v>
      </c>
      <c r="G149" s="28">
        <f t="shared" si="27"/>
        <v>8.7409060428711882</v>
      </c>
      <c r="H149" s="28">
        <f t="shared" si="28"/>
        <v>-0.24643908290546265</v>
      </c>
      <c r="I149" s="28">
        <f t="shared" si="29"/>
        <v>3.119674929235714</v>
      </c>
      <c r="J149" s="28">
        <f t="shared" si="30"/>
        <v>68.252743918461903</v>
      </c>
      <c r="K149" s="28">
        <f t="shared" si="31"/>
        <v>23.186666666666667</v>
      </c>
      <c r="L149" s="28">
        <f t="shared" si="32"/>
        <v>0</v>
      </c>
      <c r="M149" s="2" t="str">
        <f t="shared" si="33"/>
        <v/>
      </c>
      <c r="N149" s="2" t="str">
        <f t="shared" si="34"/>
        <v/>
      </c>
      <c r="O149" s="2">
        <f t="shared" si="35"/>
        <v>4</v>
      </c>
    </row>
    <row r="150" spans="1:15">
      <c r="A150" s="27">
        <v>140</v>
      </c>
      <c r="B150" s="27">
        <v>18</v>
      </c>
      <c r="C150" s="27">
        <v>1</v>
      </c>
      <c r="D150" s="28">
        <f t="shared" si="24"/>
        <v>18</v>
      </c>
      <c r="E150" s="28">
        <f t="shared" si="25"/>
        <v>37.632427290462147</v>
      </c>
      <c r="F150" s="28">
        <f t="shared" si="26"/>
        <v>23.186666666666667</v>
      </c>
      <c r="G150" s="28">
        <f t="shared" si="27"/>
        <v>8.7409060428711882</v>
      </c>
      <c r="H150" s="28">
        <f t="shared" si="28"/>
        <v>-1.0771326207890441</v>
      </c>
      <c r="I150" s="28">
        <f t="shared" si="29"/>
        <v>3.119674929235714</v>
      </c>
      <c r="J150" s="28">
        <f t="shared" si="30"/>
        <v>68.252743918461903</v>
      </c>
      <c r="K150" s="28">
        <f t="shared" si="31"/>
        <v>23.186666666666667</v>
      </c>
      <c r="L150" s="28">
        <f t="shared" si="32"/>
        <v>0</v>
      </c>
      <c r="M150" s="2" t="str">
        <f t="shared" si="33"/>
        <v/>
      </c>
      <c r="N150" s="2" t="str">
        <f t="shared" si="34"/>
        <v/>
      </c>
      <c r="O150" s="2">
        <f t="shared" si="35"/>
        <v>4</v>
      </c>
    </row>
    <row r="151" spans="1:15">
      <c r="A151" s="27">
        <v>141</v>
      </c>
      <c r="B151" s="27">
        <v>13</v>
      </c>
      <c r="C151" s="27">
        <v>1</v>
      </c>
      <c r="D151" s="28">
        <f t="shared" si="24"/>
        <v>13</v>
      </c>
      <c r="E151" s="28">
        <f t="shared" si="25"/>
        <v>37.632427290462147</v>
      </c>
      <c r="F151" s="28">
        <f t="shared" si="26"/>
        <v>23.186666666666667</v>
      </c>
      <c r="G151" s="28">
        <f t="shared" si="27"/>
        <v>8.7409060428711882</v>
      </c>
      <c r="H151" s="28">
        <f t="shared" si="28"/>
        <v>-2.1154995431435211</v>
      </c>
      <c r="I151" s="28">
        <f t="shared" si="29"/>
        <v>3.119674929235714</v>
      </c>
      <c r="J151" s="28">
        <f t="shared" si="30"/>
        <v>68.252743918461903</v>
      </c>
      <c r="K151" s="28">
        <f t="shared" si="31"/>
        <v>23.186666666666667</v>
      </c>
      <c r="L151" s="28">
        <f t="shared" si="32"/>
        <v>0</v>
      </c>
      <c r="M151" s="2" t="str">
        <f t="shared" si="33"/>
        <v/>
      </c>
      <c r="N151" s="2" t="str">
        <f t="shared" si="34"/>
        <v/>
      </c>
      <c r="O151" s="2">
        <f t="shared" si="35"/>
        <v>5</v>
      </c>
    </row>
    <row r="152" spans="1:15">
      <c r="A152" s="27">
        <v>142</v>
      </c>
      <c r="B152" s="27">
        <v>12</v>
      </c>
      <c r="C152" s="27">
        <v>1</v>
      </c>
      <c r="D152" s="28">
        <f t="shared" si="24"/>
        <v>12</v>
      </c>
      <c r="E152" s="28">
        <f t="shared" si="25"/>
        <v>37.632427290462147</v>
      </c>
      <c r="F152" s="28">
        <f t="shared" si="26"/>
        <v>23.186666666666667</v>
      </c>
      <c r="G152" s="28">
        <f t="shared" si="27"/>
        <v>8.7409060428711882</v>
      </c>
      <c r="H152" s="28">
        <f t="shared" si="28"/>
        <v>-2.3231729276144164</v>
      </c>
      <c r="I152" s="28">
        <f t="shared" si="29"/>
        <v>3.119674929235714</v>
      </c>
      <c r="J152" s="28">
        <f t="shared" si="30"/>
        <v>68.252743918461903</v>
      </c>
      <c r="K152" s="28">
        <f t="shared" si="31"/>
        <v>23.186666666666667</v>
      </c>
      <c r="L152" s="28">
        <f t="shared" si="32"/>
        <v>0</v>
      </c>
      <c r="M152" s="2" t="str">
        <f t="shared" si="33"/>
        <v/>
      </c>
      <c r="N152" s="2" t="str">
        <f t="shared" si="34"/>
        <v/>
      </c>
      <c r="O152" s="2">
        <f t="shared" si="35"/>
        <v>1</v>
      </c>
    </row>
    <row r="153" spans="1:15">
      <c r="A153" s="27">
        <v>143</v>
      </c>
      <c r="B153" s="27">
        <v>15</v>
      </c>
      <c r="C153" s="27">
        <v>1</v>
      </c>
      <c r="D153" s="28">
        <f t="shared" si="24"/>
        <v>15</v>
      </c>
      <c r="E153" s="28">
        <f t="shared" si="25"/>
        <v>37.632427290462147</v>
      </c>
      <c r="F153" s="28">
        <f t="shared" si="26"/>
        <v>23.186666666666667</v>
      </c>
      <c r="G153" s="28">
        <f t="shared" si="27"/>
        <v>8.7409060428711882</v>
      </c>
      <c r="H153" s="28">
        <f t="shared" si="28"/>
        <v>-1.7001527742017302</v>
      </c>
      <c r="I153" s="28">
        <f t="shared" si="29"/>
        <v>3.119674929235714</v>
      </c>
      <c r="J153" s="28">
        <f t="shared" si="30"/>
        <v>68.252743918461903</v>
      </c>
      <c r="K153" s="28">
        <f t="shared" si="31"/>
        <v>23.186666666666667</v>
      </c>
      <c r="L153" s="28">
        <f t="shared" si="32"/>
        <v>0</v>
      </c>
      <c r="M153" s="2" t="str">
        <f t="shared" si="33"/>
        <v/>
      </c>
      <c r="N153" s="2" t="str">
        <f t="shared" si="34"/>
        <v/>
      </c>
      <c r="O153" s="2">
        <f t="shared" si="35"/>
        <v>3</v>
      </c>
    </row>
    <row r="154" spans="1:15">
      <c r="A154" s="27">
        <v>144</v>
      </c>
      <c r="B154" s="27">
        <v>16</v>
      </c>
      <c r="C154" s="27">
        <v>1</v>
      </c>
      <c r="D154" s="28">
        <f t="shared" si="24"/>
        <v>16</v>
      </c>
      <c r="E154" s="28">
        <f t="shared" si="25"/>
        <v>37.632427290462147</v>
      </c>
      <c r="F154" s="28">
        <f t="shared" si="26"/>
        <v>23.186666666666667</v>
      </c>
      <c r="G154" s="28">
        <f t="shared" si="27"/>
        <v>8.7409060428711882</v>
      </c>
      <c r="H154" s="28">
        <f t="shared" si="28"/>
        <v>-1.4924793897308348</v>
      </c>
      <c r="I154" s="28">
        <f t="shared" si="29"/>
        <v>3.119674929235714</v>
      </c>
      <c r="J154" s="28">
        <f t="shared" si="30"/>
        <v>68.252743918461903</v>
      </c>
      <c r="K154" s="28">
        <f t="shared" si="31"/>
        <v>23.186666666666667</v>
      </c>
      <c r="L154" s="28">
        <f t="shared" si="32"/>
        <v>0</v>
      </c>
      <c r="M154" s="2" t="str">
        <f t="shared" si="33"/>
        <v/>
      </c>
      <c r="N154" s="2" t="str">
        <f t="shared" si="34"/>
        <v/>
      </c>
      <c r="O154" s="2">
        <f t="shared" si="35"/>
        <v>1</v>
      </c>
    </row>
    <row r="155" spans="1:15">
      <c r="A155" s="27">
        <v>145</v>
      </c>
      <c r="B155" s="27">
        <v>28</v>
      </c>
      <c r="C155" s="27">
        <v>1</v>
      </c>
      <c r="D155" s="28">
        <f t="shared" si="24"/>
        <v>28</v>
      </c>
      <c r="E155" s="28">
        <f t="shared" si="25"/>
        <v>37.632427290462147</v>
      </c>
      <c r="F155" s="28">
        <f t="shared" si="26"/>
        <v>23.186666666666667</v>
      </c>
      <c r="G155" s="28">
        <f t="shared" si="27"/>
        <v>8.7409060428711882</v>
      </c>
      <c r="H155" s="28">
        <f t="shared" si="28"/>
        <v>0.99960122391990958</v>
      </c>
      <c r="I155" s="28">
        <f t="shared" si="29"/>
        <v>3.119674929235714</v>
      </c>
      <c r="J155" s="28">
        <f t="shared" si="30"/>
        <v>68.252743918461903</v>
      </c>
      <c r="K155" s="28">
        <f t="shared" si="31"/>
        <v>23.186666666666667</v>
      </c>
      <c r="L155" s="28">
        <f t="shared" si="32"/>
        <v>0</v>
      </c>
      <c r="M155" s="2" t="str">
        <f t="shared" si="33"/>
        <v/>
      </c>
      <c r="N155" s="2" t="str">
        <f t="shared" si="34"/>
        <v/>
      </c>
      <c r="O155" s="2">
        <f t="shared" si="35"/>
        <v>12</v>
      </c>
    </row>
    <row r="156" spans="1:15">
      <c r="A156" s="27">
        <v>146</v>
      </c>
      <c r="B156" s="27">
        <v>12</v>
      </c>
      <c r="C156" s="27">
        <v>1</v>
      </c>
      <c r="D156" s="28">
        <f t="shared" si="24"/>
        <v>12</v>
      </c>
      <c r="E156" s="28">
        <f t="shared" si="25"/>
        <v>37.632427290462147</v>
      </c>
      <c r="F156" s="28">
        <f t="shared" si="26"/>
        <v>23.186666666666667</v>
      </c>
      <c r="G156" s="28">
        <f t="shared" si="27"/>
        <v>8.7409060428711882</v>
      </c>
      <c r="H156" s="28">
        <f t="shared" si="28"/>
        <v>-2.3231729276144164</v>
      </c>
      <c r="I156" s="28">
        <f t="shared" si="29"/>
        <v>3.119674929235714</v>
      </c>
      <c r="J156" s="28">
        <f t="shared" si="30"/>
        <v>68.252743918461903</v>
      </c>
      <c r="K156" s="28">
        <f t="shared" si="31"/>
        <v>23.186666666666667</v>
      </c>
      <c r="L156" s="28">
        <f t="shared" si="32"/>
        <v>0</v>
      </c>
      <c r="M156" s="2" t="str">
        <f t="shared" si="33"/>
        <v/>
      </c>
      <c r="N156" s="2" t="str">
        <f t="shared" si="34"/>
        <v/>
      </c>
      <c r="O156" s="2">
        <f t="shared" si="35"/>
        <v>16</v>
      </c>
    </row>
    <row r="157" spans="1:15">
      <c r="A157" s="27">
        <v>147</v>
      </c>
      <c r="B157" s="27">
        <v>34</v>
      </c>
      <c r="C157" s="27">
        <v>1</v>
      </c>
      <c r="D157" s="28">
        <f t="shared" si="24"/>
        <v>34</v>
      </c>
      <c r="E157" s="28">
        <f t="shared" si="25"/>
        <v>37.632427290462147</v>
      </c>
      <c r="F157" s="28">
        <f t="shared" si="26"/>
        <v>23.186666666666667</v>
      </c>
      <c r="G157" s="28">
        <f t="shared" si="27"/>
        <v>8.7409060428711882</v>
      </c>
      <c r="H157" s="28">
        <f t="shared" si="28"/>
        <v>2.2456415307452819</v>
      </c>
      <c r="I157" s="28">
        <f t="shared" si="29"/>
        <v>3.119674929235714</v>
      </c>
      <c r="J157" s="28">
        <f t="shared" si="30"/>
        <v>68.252743918461903</v>
      </c>
      <c r="K157" s="28">
        <f t="shared" si="31"/>
        <v>23.186666666666667</v>
      </c>
      <c r="L157" s="28">
        <f t="shared" si="32"/>
        <v>0</v>
      </c>
      <c r="M157" s="2" t="str">
        <f t="shared" si="33"/>
        <v/>
      </c>
      <c r="N157" s="2" t="str">
        <f t="shared" si="34"/>
        <v/>
      </c>
      <c r="O157" s="2">
        <f t="shared" si="35"/>
        <v>22</v>
      </c>
    </row>
    <row r="158" spans="1:15">
      <c r="A158" s="27">
        <v>148</v>
      </c>
      <c r="B158" s="27">
        <v>32</v>
      </c>
      <c r="C158" s="27">
        <v>1</v>
      </c>
      <c r="D158" s="28">
        <f t="shared" si="24"/>
        <v>32</v>
      </c>
      <c r="E158" s="28">
        <f t="shared" si="25"/>
        <v>37.632427290462147</v>
      </c>
      <c r="F158" s="28">
        <f t="shared" si="26"/>
        <v>23.186666666666667</v>
      </c>
      <c r="G158" s="28">
        <f t="shared" si="27"/>
        <v>8.7409060428711882</v>
      </c>
      <c r="H158" s="28">
        <f t="shared" si="28"/>
        <v>1.830294761803491</v>
      </c>
      <c r="I158" s="28">
        <f t="shared" si="29"/>
        <v>3.119674929235714</v>
      </c>
      <c r="J158" s="28">
        <f t="shared" si="30"/>
        <v>68.252743918461903</v>
      </c>
      <c r="K158" s="28">
        <f t="shared" si="31"/>
        <v>23.186666666666667</v>
      </c>
      <c r="L158" s="28">
        <f t="shared" si="32"/>
        <v>0</v>
      </c>
      <c r="M158" s="2" t="str">
        <f t="shared" si="33"/>
        <v/>
      </c>
      <c r="N158" s="2" t="str">
        <f t="shared" si="34"/>
        <v/>
      </c>
      <c r="O158" s="2">
        <f t="shared" si="35"/>
        <v>2</v>
      </c>
    </row>
    <row r="159" spans="1:15">
      <c r="A159" s="27">
        <v>149</v>
      </c>
      <c r="B159" s="27">
        <v>62</v>
      </c>
      <c r="C159" s="27">
        <v>1</v>
      </c>
      <c r="D159" s="28">
        <f t="shared" si="24"/>
        <v>62</v>
      </c>
      <c r="E159" s="28">
        <f t="shared" si="25"/>
        <v>37.632427290462147</v>
      </c>
      <c r="F159" s="28">
        <f t="shared" si="26"/>
        <v>23.186666666666667</v>
      </c>
      <c r="G159" s="28">
        <f t="shared" si="27"/>
        <v>8.7409060428711882</v>
      </c>
      <c r="H159" s="28">
        <f t="shared" si="28"/>
        <v>8.0604962959303528</v>
      </c>
      <c r="I159" s="28">
        <f t="shared" si="29"/>
        <v>3.119674929235714</v>
      </c>
      <c r="J159" s="28">
        <f t="shared" si="30"/>
        <v>68.252743918461903</v>
      </c>
      <c r="K159" s="28">
        <f t="shared" si="31"/>
        <v>23.186666666666667</v>
      </c>
      <c r="L159" s="28">
        <f t="shared" si="32"/>
        <v>0</v>
      </c>
      <c r="M159" s="2" t="str">
        <f t="shared" si="33"/>
        <v>Y</v>
      </c>
      <c r="N159" s="2" t="str">
        <f t="shared" si="34"/>
        <v/>
      </c>
      <c r="O159" s="2">
        <f t="shared" si="35"/>
        <v>30</v>
      </c>
    </row>
    <row r="160" spans="1:15">
      <c r="A160" s="27">
        <v>150</v>
      </c>
      <c r="B160" s="27">
        <v>4</v>
      </c>
      <c r="C160" s="27">
        <v>1</v>
      </c>
      <c r="D160" s="28">
        <f t="shared" si="24"/>
        <v>4</v>
      </c>
      <c r="E160" s="28">
        <f t="shared" si="25"/>
        <v>37.632427290462147</v>
      </c>
      <c r="F160" s="28">
        <f t="shared" si="26"/>
        <v>23.186666666666667</v>
      </c>
      <c r="G160" s="28">
        <f t="shared" si="27"/>
        <v>8.7409060428711882</v>
      </c>
      <c r="H160" s="28">
        <f t="shared" si="28"/>
        <v>-3.9845600033815791</v>
      </c>
      <c r="I160" s="28">
        <f t="shared" si="29"/>
        <v>3.119674929235714</v>
      </c>
      <c r="J160" s="28">
        <f t="shared" si="30"/>
        <v>68.252743918461903</v>
      </c>
      <c r="K160" s="28">
        <f t="shared" si="31"/>
        <v>23.186666666666667</v>
      </c>
      <c r="L160" s="28">
        <f t="shared" si="32"/>
        <v>0</v>
      </c>
      <c r="M160" s="2" t="str">
        <f t="shared" si="33"/>
        <v>Y</v>
      </c>
      <c r="N160" s="2" t="str">
        <f t="shared" si="34"/>
        <v/>
      </c>
      <c r="O160" s="2">
        <f t="shared" si="35"/>
        <v>58</v>
      </c>
    </row>
    <row r="161" spans="1:15">
      <c r="A161" s="27">
        <v>151</v>
      </c>
      <c r="B161" s="27">
        <v>36</v>
      </c>
      <c r="C161" s="27">
        <v>1</v>
      </c>
      <c r="D161" s="28">
        <f t="shared" si="24"/>
        <v>36</v>
      </c>
      <c r="E161" s="28">
        <f t="shared" si="25"/>
        <v>37.632427290462147</v>
      </c>
      <c r="F161" s="28">
        <f t="shared" si="26"/>
        <v>23.186666666666667</v>
      </c>
      <c r="G161" s="28">
        <f t="shared" si="27"/>
        <v>8.7409060428711882</v>
      </c>
      <c r="H161" s="28">
        <f t="shared" si="28"/>
        <v>2.6609882996870726</v>
      </c>
      <c r="I161" s="28">
        <f t="shared" si="29"/>
        <v>3.119674929235714</v>
      </c>
      <c r="J161" s="28">
        <f t="shared" si="30"/>
        <v>68.252743918461903</v>
      </c>
      <c r="K161" s="28">
        <f t="shared" si="31"/>
        <v>23.186666666666667</v>
      </c>
      <c r="L161" s="28">
        <f t="shared" si="32"/>
        <v>0</v>
      </c>
      <c r="M161" s="2" t="str">
        <f t="shared" si="33"/>
        <v/>
      </c>
      <c r="N161" s="2" t="str">
        <f t="shared" si="34"/>
        <v/>
      </c>
      <c r="O161" s="2">
        <f t="shared" si="35"/>
        <v>32</v>
      </c>
    </row>
    <row r="162" spans="1:15">
      <c r="A162" s="27">
        <v>152</v>
      </c>
      <c r="B162" s="27">
        <v>25</v>
      </c>
      <c r="C162" s="27">
        <v>1</v>
      </c>
      <c r="D162" s="28">
        <f t="shared" si="24"/>
        <v>25</v>
      </c>
      <c r="E162" s="28">
        <f t="shared" si="25"/>
        <v>37.632427290462147</v>
      </c>
      <c r="F162" s="28">
        <f t="shared" si="26"/>
        <v>23.186666666666667</v>
      </c>
      <c r="G162" s="28">
        <f t="shared" si="27"/>
        <v>8.7409060428711882</v>
      </c>
      <c r="H162" s="28">
        <f t="shared" si="28"/>
        <v>0.37658107050722345</v>
      </c>
      <c r="I162" s="28">
        <f t="shared" si="29"/>
        <v>3.119674929235714</v>
      </c>
      <c r="J162" s="28">
        <f t="shared" si="30"/>
        <v>68.252743918461903</v>
      </c>
      <c r="K162" s="28">
        <f t="shared" si="31"/>
        <v>23.186666666666667</v>
      </c>
      <c r="L162" s="28">
        <f t="shared" si="32"/>
        <v>0</v>
      </c>
      <c r="M162" s="2" t="str">
        <f t="shared" si="33"/>
        <v/>
      </c>
      <c r="N162" s="2" t="str">
        <f t="shared" si="34"/>
        <v/>
      </c>
      <c r="O162" s="2">
        <f t="shared" si="35"/>
        <v>11</v>
      </c>
    </row>
    <row r="163" spans="1:15">
      <c r="A163" s="27">
        <v>153</v>
      </c>
      <c r="B163" s="27">
        <v>23</v>
      </c>
      <c r="C163" s="27">
        <v>1</v>
      </c>
      <c r="D163" s="28">
        <f t="shared" si="24"/>
        <v>23</v>
      </c>
      <c r="E163" s="28">
        <f t="shared" si="25"/>
        <v>37.632427290462147</v>
      </c>
      <c r="F163" s="28">
        <f t="shared" si="26"/>
        <v>23.186666666666667</v>
      </c>
      <c r="G163" s="28">
        <f t="shared" si="27"/>
        <v>8.7409060428711882</v>
      </c>
      <c r="H163" s="28">
        <f t="shared" si="28"/>
        <v>-3.8765698434567293E-2</v>
      </c>
      <c r="I163" s="28">
        <f t="shared" si="29"/>
        <v>3.119674929235714</v>
      </c>
      <c r="J163" s="28">
        <f t="shared" si="30"/>
        <v>68.252743918461903</v>
      </c>
      <c r="K163" s="28">
        <f t="shared" si="31"/>
        <v>23.186666666666667</v>
      </c>
      <c r="L163" s="28">
        <f t="shared" si="32"/>
        <v>0</v>
      </c>
      <c r="M163" s="2" t="str">
        <f t="shared" si="33"/>
        <v/>
      </c>
      <c r="N163" s="2" t="str">
        <f t="shared" si="34"/>
        <v/>
      </c>
      <c r="O163" s="2">
        <f t="shared" si="35"/>
        <v>2</v>
      </c>
    </row>
    <row r="164" spans="1:15">
      <c r="A164" s="27">
        <v>154</v>
      </c>
      <c r="B164" s="27">
        <v>19</v>
      </c>
      <c r="C164" s="27">
        <v>1</v>
      </c>
      <c r="D164" s="28">
        <f t="shared" si="24"/>
        <v>19</v>
      </c>
      <c r="E164" s="28">
        <f t="shared" si="25"/>
        <v>37.632427290462147</v>
      </c>
      <c r="F164" s="28">
        <f t="shared" si="26"/>
        <v>23.186666666666667</v>
      </c>
      <c r="G164" s="28">
        <f t="shared" si="27"/>
        <v>8.7409060428711882</v>
      </c>
      <c r="H164" s="28">
        <f t="shared" si="28"/>
        <v>-0.8694592363181487</v>
      </c>
      <c r="I164" s="28">
        <f t="shared" si="29"/>
        <v>3.119674929235714</v>
      </c>
      <c r="J164" s="28">
        <f t="shared" si="30"/>
        <v>68.252743918461903</v>
      </c>
      <c r="K164" s="28">
        <f t="shared" si="31"/>
        <v>23.186666666666667</v>
      </c>
      <c r="L164" s="28">
        <f t="shared" si="32"/>
        <v>0</v>
      </c>
      <c r="M164" s="2" t="str">
        <f t="shared" si="33"/>
        <v/>
      </c>
      <c r="N164" s="2" t="str">
        <f t="shared" si="34"/>
        <v/>
      </c>
      <c r="O164" s="2">
        <f t="shared" si="35"/>
        <v>4</v>
      </c>
    </row>
    <row r="165" spans="1:15">
      <c r="A165" s="27">
        <v>155</v>
      </c>
      <c r="B165" s="27">
        <v>8</v>
      </c>
      <c r="C165" s="27">
        <v>1</v>
      </c>
      <c r="D165" s="28">
        <f t="shared" si="24"/>
        <v>8</v>
      </c>
      <c r="E165" s="28">
        <f t="shared" si="25"/>
        <v>37.632427290462147</v>
      </c>
      <c r="F165" s="28">
        <f t="shared" si="26"/>
        <v>23.186666666666667</v>
      </c>
      <c r="G165" s="28">
        <f t="shared" si="27"/>
        <v>8.7409060428711882</v>
      </c>
      <c r="H165" s="28">
        <f t="shared" si="28"/>
        <v>-3.1538664654979978</v>
      </c>
      <c r="I165" s="28">
        <f t="shared" si="29"/>
        <v>3.119674929235714</v>
      </c>
      <c r="J165" s="28">
        <f t="shared" si="30"/>
        <v>68.252743918461903</v>
      </c>
      <c r="K165" s="28">
        <f t="shared" si="31"/>
        <v>23.186666666666667</v>
      </c>
      <c r="L165" s="28">
        <f t="shared" si="32"/>
        <v>0</v>
      </c>
      <c r="M165" s="2" t="str">
        <f t="shared" si="33"/>
        <v>Y</v>
      </c>
      <c r="N165" s="2" t="str">
        <f t="shared" si="34"/>
        <v/>
      </c>
      <c r="O165" s="2">
        <f t="shared" si="35"/>
        <v>11</v>
      </c>
    </row>
    <row r="166" spans="1:15">
      <c r="A166" s="27">
        <v>156</v>
      </c>
      <c r="B166" s="27">
        <v>10</v>
      </c>
      <c r="C166" s="27">
        <v>1</v>
      </c>
      <c r="D166" s="28">
        <f t="shared" si="24"/>
        <v>10</v>
      </c>
      <c r="E166" s="28">
        <f t="shared" si="25"/>
        <v>37.632427290462147</v>
      </c>
      <c r="F166" s="28">
        <f t="shared" si="26"/>
        <v>23.186666666666667</v>
      </c>
      <c r="G166" s="28">
        <f t="shared" si="27"/>
        <v>8.7409060428711882</v>
      </c>
      <c r="H166" s="28">
        <f t="shared" si="28"/>
        <v>-2.7385196965562071</v>
      </c>
      <c r="I166" s="28">
        <f t="shared" si="29"/>
        <v>3.119674929235714</v>
      </c>
      <c r="J166" s="28">
        <f t="shared" si="30"/>
        <v>68.252743918461903</v>
      </c>
      <c r="K166" s="28">
        <f t="shared" si="31"/>
        <v>23.186666666666667</v>
      </c>
      <c r="L166" s="28">
        <f t="shared" si="32"/>
        <v>0</v>
      </c>
      <c r="M166" s="2" t="str">
        <f t="shared" si="33"/>
        <v/>
      </c>
      <c r="N166" s="2" t="str">
        <f t="shared" si="34"/>
        <v/>
      </c>
      <c r="O166" s="2">
        <f t="shared" si="35"/>
        <v>2</v>
      </c>
    </row>
    <row r="167" spans="1:15">
      <c r="A167" s="27">
        <v>157</v>
      </c>
      <c r="B167" s="27">
        <v>12</v>
      </c>
      <c r="C167" s="27">
        <v>1</v>
      </c>
      <c r="D167" s="28">
        <f t="shared" si="24"/>
        <v>12</v>
      </c>
      <c r="E167" s="28">
        <f t="shared" si="25"/>
        <v>37.632427290462147</v>
      </c>
      <c r="F167" s="28">
        <f t="shared" si="26"/>
        <v>23.186666666666667</v>
      </c>
      <c r="G167" s="28">
        <f t="shared" si="27"/>
        <v>8.7409060428711882</v>
      </c>
      <c r="H167" s="28">
        <f t="shared" si="28"/>
        <v>-2.3231729276144164</v>
      </c>
      <c r="I167" s="28">
        <f t="shared" si="29"/>
        <v>3.119674929235714</v>
      </c>
      <c r="J167" s="28">
        <f t="shared" si="30"/>
        <v>68.252743918461903</v>
      </c>
      <c r="K167" s="28">
        <f t="shared" si="31"/>
        <v>23.186666666666667</v>
      </c>
      <c r="L167" s="28">
        <f t="shared" si="32"/>
        <v>0</v>
      </c>
      <c r="M167" s="2" t="str">
        <f t="shared" si="33"/>
        <v/>
      </c>
      <c r="N167" s="2" t="str">
        <f t="shared" si="34"/>
        <v/>
      </c>
      <c r="O167" s="2">
        <f t="shared" si="35"/>
        <v>2</v>
      </c>
    </row>
    <row r="168" spans="1:15">
      <c r="A168" s="27">
        <v>158</v>
      </c>
      <c r="B168" s="27">
        <v>15</v>
      </c>
      <c r="C168" s="27">
        <v>1</v>
      </c>
      <c r="D168" s="28">
        <f t="shared" si="24"/>
        <v>15</v>
      </c>
      <c r="E168" s="28">
        <f t="shared" si="25"/>
        <v>37.632427290462147</v>
      </c>
      <c r="F168" s="28">
        <f t="shared" si="26"/>
        <v>23.186666666666667</v>
      </c>
      <c r="G168" s="28">
        <f t="shared" si="27"/>
        <v>8.7409060428711882</v>
      </c>
      <c r="H168" s="28">
        <f t="shared" si="28"/>
        <v>-1.7001527742017302</v>
      </c>
      <c r="I168" s="28">
        <f t="shared" si="29"/>
        <v>3.119674929235714</v>
      </c>
      <c r="J168" s="28">
        <f t="shared" si="30"/>
        <v>68.252743918461903</v>
      </c>
      <c r="K168" s="28">
        <f t="shared" si="31"/>
        <v>23.186666666666667</v>
      </c>
      <c r="L168" s="28">
        <f t="shared" si="32"/>
        <v>0</v>
      </c>
      <c r="M168" s="2" t="str">
        <f t="shared" si="33"/>
        <v/>
      </c>
      <c r="N168" s="2" t="str">
        <f t="shared" si="34"/>
        <v/>
      </c>
      <c r="O168" s="2">
        <f t="shared" si="35"/>
        <v>3</v>
      </c>
    </row>
    <row r="169" spans="1:15">
      <c r="A169" s="27">
        <v>159</v>
      </c>
      <c r="B169" s="27">
        <v>11</v>
      </c>
      <c r="C169" s="27">
        <v>1</v>
      </c>
      <c r="D169" s="28">
        <f t="shared" si="24"/>
        <v>11</v>
      </c>
      <c r="E169" s="28">
        <f t="shared" si="25"/>
        <v>37.632427290462147</v>
      </c>
      <c r="F169" s="28">
        <f t="shared" si="26"/>
        <v>23.186666666666667</v>
      </c>
      <c r="G169" s="28">
        <f t="shared" si="27"/>
        <v>8.7409060428711882</v>
      </c>
      <c r="H169" s="28">
        <f t="shared" si="28"/>
        <v>-2.5308463120853117</v>
      </c>
      <c r="I169" s="28">
        <f t="shared" si="29"/>
        <v>3.119674929235714</v>
      </c>
      <c r="J169" s="28">
        <f t="shared" si="30"/>
        <v>68.252743918461903</v>
      </c>
      <c r="K169" s="28">
        <f t="shared" si="31"/>
        <v>23.186666666666667</v>
      </c>
      <c r="L169" s="28">
        <f t="shared" si="32"/>
        <v>0</v>
      </c>
      <c r="M169" s="2" t="str">
        <f t="shared" si="33"/>
        <v/>
      </c>
      <c r="N169" s="2" t="str">
        <f t="shared" si="34"/>
        <v/>
      </c>
      <c r="O169" s="2">
        <f t="shared" si="35"/>
        <v>4</v>
      </c>
    </row>
    <row r="170" spans="1:15">
      <c r="A170" s="27">
        <v>160</v>
      </c>
      <c r="B170" s="27">
        <v>3</v>
      </c>
      <c r="C170" s="27">
        <v>1</v>
      </c>
      <c r="D170" s="28">
        <f t="shared" si="24"/>
        <v>3</v>
      </c>
      <c r="E170" s="28">
        <f t="shared" si="25"/>
        <v>37.632427290462147</v>
      </c>
      <c r="F170" s="28">
        <f t="shared" si="26"/>
        <v>23.186666666666667</v>
      </c>
      <c r="G170" s="28">
        <f t="shared" si="27"/>
        <v>8.7409060428711882</v>
      </c>
      <c r="H170" s="28">
        <f t="shared" si="28"/>
        <v>-4.1922333878524745</v>
      </c>
      <c r="I170" s="28">
        <f t="shared" si="29"/>
        <v>3.119674929235714</v>
      </c>
      <c r="J170" s="28">
        <f t="shared" si="30"/>
        <v>68.252743918461903</v>
      </c>
      <c r="K170" s="28">
        <f t="shared" si="31"/>
        <v>23.186666666666667</v>
      </c>
      <c r="L170" s="28">
        <f t="shared" si="32"/>
        <v>0</v>
      </c>
      <c r="M170" s="2" t="str">
        <f t="shared" si="33"/>
        <v>Y</v>
      </c>
      <c r="N170" s="2" t="str">
        <f t="shared" si="34"/>
        <v/>
      </c>
      <c r="O170" s="2">
        <f t="shared" si="35"/>
        <v>8</v>
      </c>
    </row>
    <row r="171" spans="1:15">
      <c r="A171" s="27">
        <v>161</v>
      </c>
      <c r="B171" s="27">
        <v>13</v>
      </c>
      <c r="C171" s="27">
        <v>1</v>
      </c>
      <c r="D171" s="28">
        <f t="shared" si="24"/>
        <v>13</v>
      </c>
      <c r="E171" s="28">
        <f t="shared" si="25"/>
        <v>37.632427290462147</v>
      </c>
      <c r="F171" s="28">
        <f t="shared" si="26"/>
        <v>23.186666666666667</v>
      </c>
      <c r="G171" s="28">
        <f t="shared" si="27"/>
        <v>8.7409060428711882</v>
      </c>
      <c r="H171" s="28">
        <f t="shared" si="28"/>
        <v>-2.1154995431435211</v>
      </c>
      <c r="I171" s="28">
        <f t="shared" si="29"/>
        <v>3.119674929235714</v>
      </c>
      <c r="J171" s="28">
        <f t="shared" si="30"/>
        <v>68.252743918461903</v>
      </c>
      <c r="K171" s="28">
        <f t="shared" si="31"/>
        <v>23.186666666666667</v>
      </c>
      <c r="L171" s="28">
        <f t="shared" si="32"/>
        <v>0</v>
      </c>
      <c r="M171" s="2" t="str">
        <f t="shared" si="33"/>
        <v/>
      </c>
      <c r="N171" s="2" t="str">
        <f t="shared" si="34"/>
        <v/>
      </c>
      <c r="O171" s="2">
        <f t="shared" si="35"/>
        <v>10</v>
      </c>
    </row>
    <row r="172" spans="1:15">
      <c r="A172" s="27">
        <v>162</v>
      </c>
      <c r="B172" s="27">
        <v>13</v>
      </c>
      <c r="C172" s="27">
        <v>1</v>
      </c>
      <c r="D172" s="28">
        <f t="shared" si="24"/>
        <v>13</v>
      </c>
      <c r="E172" s="28">
        <f t="shared" si="25"/>
        <v>37.632427290462147</v>
      </c>
      <c r="F172" s="28">
        <f t="shared" si="26"/>
        <v>23.186666666666667</v>
      </c>
      <c r="G172" s="28">
        <f t="shared" si="27"/>
        <v>8.7409060428711882</v>
      </c>
      <c r="H172" s="28">
        <f t="shared" si="28"/>
        <v>-2.1154995431435211</v>
      </c>
      <c r="I172" s="28">
        <f t="shared" si="29"/>
        <v>3.119674929235714</v>
      </c>
      <c r="J172" s="28">
        <f t="shared" si="30"/>
        <v>68.252743918461903</v>
      </c>
      <c r="K172" s="28">
        <f t="shared" si="31"/>
        <v>23.186666666666667</v>
      </c>
      <c r="L172" s="28">
        <f t="shared" si="32"/>
        <v>0</v>
      </c>
      <c r="M172" s="2" t="str">
        <f t="shared" si="33"/>
        <v/>
      </c>
      <c r="N172" s="2" t="str">
        <f t="shared" si="34"/>
        <v/>
      </c>
      <c r="O172" s="2">
        <f t="shared" si="35"/>
        <v>0</v>
      </c>
    </row>
    <row r="173" spans="1:15">
      <c r="A173" s="27">
        <v>163</v>
      </c>
      <c r="B173" s="27">
        <v>21</v>
      </c>
      <c r="C173" s="27">
        <v>1</v>
      </c>
      <c r="D173" s="28">
        <f t="shared" si="24"/>
        <v>21</v>
      </c>
      <c r="E173" s="28">
        <f t="shared" si="25"/>
        <v>37.632427290462147</v>
      </c>
      <c r="F173" s="28">
        <f t="shared" si="26"/>
        <v>23.186666666666667</v>
      </c>
      <c r="G173" s="28">
        <f t="shared" si="27"/>
        <v>8.7409060428711882</v>
      </c>
      <c r="H173" s="28">
        <f t="shared" si="28"/>
        <v>-0.45411246737635802</v>
      </c>
      <c r="I173" s="28">
        <f t="shared" si="29"/>
        <v>3.119674929235714</v>
      </c>
      <c r="J173" s="28">
        <f t="shared" si="30"/>
        <v>68.252743918461903</v>
      </c>
      <c r="K173" s="28">
        <f t="shared" si="31"/>
        <v>23.186666666666667</v>
      </c>
      <c r="L173" s="28">
        <f t="shared" si="32"/>
        <v>0</v>
      </c>
      <c r="M173" s="2" t="str">
        <f t="shared" si="33"/>
        <v/>
      </c>
      <c r="N173" s="2" t="str">
        <f t="shared" si="34"/>
        <v/>
      </c>
      <c r="O173" s="2">
        <f t="shared" si="35"/>
        <v>8</v>
      </c>
    </row>
    <row r="174" spans="1:15">
      <c r="A174" s="27">
        <v>164</v>
      </c>
      <c r="B174" s="27">
        <v>18</v>
      </c>
      <c r="C174" s="27">
        <v>1</v>
      </c>
      <c r="D174" s="28">
        <f t="shared" si="24"/>
        <v>18</v>
      </c>
      <c r="E174" s="28">
        <f t="shared" si="25"/>
        <v>37.632427290462147</v>
      </c>
      <c r="F174" s="28">
        <f t="shared" si="26"/>
        <v>23.186666666666667</v>
      </c>
      <c r="G174" s="28">
        <f t="shared" si="27"/>
        <v>8.7409060428711882</v>
      </c>
      <c r="H174" s="28">
        <f t="shared" si="28"/>
        <v>-1.0771326207890441</v>
      </c>
      <c r="I174" s="28">
        <f t="shared" si="29"/>
        <v>3.119674929235714</v>
      </c>
      <c r="J174" s="28">
        <f t="shared" si="30"/>
        <v>68.252743918461903</v>
      </c>
      <c r="K174" s="28">
        <f t="shared" si="31"/>
        <v>23.186666666666667</v>
      </c>
      <c r="L174" s="28">
        <f t="shared" si="32"/>
        <v>0</v>
      </c>
      <c r="M174" s="2" t="str">
        <f t="shared" si="33"/>
        <v/>
      </c>
      <c r="N174" s="2" t="str">
        <f t="shared" si="34"/>
        <v/>
      </c>
      <c r="O174" s="2">
        <f t="shared" si="35"/>
        <v>3</v>
      </c>
    </row>
    <row r="175" spans="1:15">
      <c r="A175" s="27">
        <v>165</v>
      </c>
      <c r="B175" s="27">
        <v>11</v>
      </c>
      <c r="C175" s="27">
        <v>1</v>
      </c>
      <c r="D175" s="28">
        <f t="shared" si="24"/>
        <v>11</v>
      </c>
      <c r="E175" s="28">
        <f t="shared" si="25"/>
        <v>37.632427290462147</v>
      </c>
      <c r="F175" s="28">
        <f t="shared" si="26"/>
        <v>23.186666666666667</v>
      </c>
      <c r="G175" s="28">
        <f t="shared" si="27"/>
        <v>8.7409060428711882</v>
      </c>
      <c r="H175" s="28">
        <f t="shared" si="28"/>
        <v>-2.5308463120853117</v>
      </c>
      <c r="I175" s="28">
        <f t="shared" si="29"/>
        <v>3.119674929235714</v>
      </c>
      <c r="J175" s="28">
        <f t="shared" si="30"/>
        <v>68.252743918461903</v>
      </c>
      <c r="K175" s="28">
        <f t="shared" si="31"/>
        <v>23.186666666666667</v>
      </c>
      <c r="L175" s="28">
        <f t="shared" si="32"/>
        <v>0</v>
      </c>
      <c r="M175" s="2" t="str">
        <f t="shared" si="33"/>
        <v/>
      </c>
      <c r="N175" s="2" t="str">
        <f t="shared" si="34"/>
        <v/>
      </c>
      <c r="O175" s="2">
        <f t="shared" si="35"/>
        <v>7</v>
      </c>
    </row>
    <row r="176" spans="1:15">
      <c r="A176" s="27">
        <v>166</v>
      </c>
      <c r="B176" s="27">
        <v>19</v>
      </c>
      <c r="C176" s="27">
        <v>1</v>
      </c>
      <c r="D176" s="28">
        <f t="shared" si="24"/>
        <v>19</v>
      </c>
      <c r="E176" s="28">
        <f t="shared" si="25"/>
        <v>37.632427290462147</v>
      </c>
      <c r="F176" s="28">
        <f t="shared" si="26"/>
        <v>23.186666666666667</v>
      </c>
      <c r="G176" s="28">
        <f t="shared" si="27"/>
        <v>8.7409060428711882</v>
      </c>
      <c r="H176" s="28">
        <f t="shared" si="28"/>
        <v>-0.8694592363181487</v>
      </c>
      <c r="I176" s="28">
        <f t="shared" si="29"/>
        <v>3.119674929235714</v>
      </c>
      <c r="J176" s="28">
        <f t="shared" si="30"/>
        <v>68.252743918461903</v>
      </c>
      <c r="K176" s="28">
        <f t="shared" si="31"/>
        <v>23.186666666666667</v>
      </c>
      <c r="L176" s="28">
        <f t="shared" si="32"/>
        <v>0</v>
      </c>
      <c r="M176" s="2" t="str">
        <f t="shared" si="33"/>
        <v/>
      </c>
      <c r="N176" s="2" t="str">
        <f t="shared" si="34"/>
        <v/>
      </c>
      <c r="O176" s="2">
        <f t="shared" si="35"/>
        <v>8</v>
      </c>
    </row>
    <row r="177" spans="1:15">
      <c r="A177" s="27">
        <v>167</v>
      </c>
      <c r="B177" s="27">
        <v>17</v>
      </c>
      <c r="C177" s="27">
        <v>1</v>
      </c>
      <c r="D177" s="28">
        <f t="shared" si="24"/>
        <v>17</v>
      </c>
      <c r="E177" s="28">
        <f t="shared" si="25"/>
        <v>37.632427290462147</v>
      </c>
      <c r="F177" s="28">
        <f t="shared" si="26"/>
        <v>23.186666666666667</v>
      </c>
      <c r="G177" s="28">
        <f t="shared" si="27"/>
        <v>8.7409060428711882</v>
      </c>
      <c r="H177" s="28">
        <f t="shared" si="28"/>
        <v>-1.2848060052599395</v>
      </c>
      <c r="I177" s="28">
        <f t="shared" si="29"/>
        <v>3.119674929235714</v>
      </c>
      <c r="J177" s="28">
        <f t="shared" si="30"/>
        <v>68.252743918461903</v>
      </c>
      <c r="K177" s="28">
        <f t="shared" si="31"/>
        <v>23.186666666666667</v>
      </c>
      <c r="L177" s="28">
        <f t="shared" si="32"/>
        <v>0</v>
      </c>
      <c r="M177" s="2" t="str">
        <f t="shared" si="33"/>
        <v/>
      </c>
      <c r="N177" s="2" t="str">
        <f t="shared" si="34"/>
        <v/>
      </c>
      <c r="O177" s="2">
        <f t="shared" si="35"/>
        <v>2</v>
      </c>
    </row>
    <row r="178" spans="1:15">
      <c r="A178" s="27">
        <v>168</v>
      </c>
      <c r="B178" s="27">
        <v>20</v>
      </c>
      <c r="C178" s="27">
        <v>1</v>
      </c>
      <c r="D178" s="28">
        <f t="shared" si="24"/>
        <v>20</v>
      </c>
      <c r="E178" s="28">
        <f t="shared" si="25"/>
        <v>37.632427290462147</v>
      </c>
      <c r="F178" s="28">
        <f t="shared" si="26"/>
        <v>23.186666666666667</v>
      </c>
      <c r="G178" s="28">
        <f t="shared" si="27"/>
        <v>8.7409060428711882</v>
      </c>
      <c r="H178" s="28">
        <f t="shared" si="28"/>
        <v>-0.66178585184725336</v>
      </c>
      <c r="I178" s="28">
        <f t="shared" si="29"/>
        <v>3.119674929235714</v>
      </c>
      <c r="J178" s="28">
        <f t="shared" si="30"/>
        <v>68.252743918461903</v>
      </c>
      <c r="K178" s="28">
        <f t="shared" si="31"/>
        <v>23.186666666666667</v>
      </c>
      <c r="L178" s="28">
        <f t="shared" si="32"/>
        <v>0</v>
      </c>
      <c r="M178" s="2" t="str">
        <f t="shared" si="33"/>
        <v/>
      </c>
      <c r="N178" s="2" t="str">
        <f t="shared" si="34"/>
        <v/>
      </c>
      <c r="O178" s="2">
        <f t="shared" si="35"/>
        <v>3</v>
      </c>
    </row>
    <row r="179" spans="1:15">
      <c r="A179" s="27">
        <v>169</v>
      </c>
      <c r="B179" s="27">
        <v>17</v>
      </c>
      <c r="C179" s="27">
        <v>1</v>
      </c>
      <c r="D179" s="28">
        <f t="shared" si="24"/>
        <v>17</v>
      </c>
      <c r="E179" s="28">
        <f t="shared" si="25"/>
        <v>37.632427290462147</v>
      </c>
      <c r="F179" s="28">
        <f t="shared" si="26"/>
        <v>23.186666666666667</v>
      </c>
      <c r="G179" s="28">
        <f t="shared" si="27"/>
        <v>8.7409060428711882</v>
      </c>
      <c r="H179" s="28">
        <f t="shared" si="28"/>
        <v>-1.2848060052599395</v>
      </c>
      <c r="I179" s="28">
        <f t="shared" si="29"/>
        <v>3.119674929235714</v>
      </c>
      <c r="J179" s="28">
        <f t="shared" si="30"/>
        <v>68.252743918461903</v>
      </c>
      <c r="K179" s="28">
        <f t="shared" si="31"/>
        <v>23.186666666666667</v>
      </c>
      <c r="L179" s="28">
        <f t="shared" si="32"/>
        <v>0</v>
      </c>
      <c r="M179" s="2" t="str">
        <f t="shared" si="33"/>
        <v/>
      </c>
      <c r="N179" s="2" t="str">
        <f t="shared" si="34"/>
        <v/>
      </c>
      <c r="O179" s="2">
        <f t="shared" si="35"/>
        <v>3</v>
      </c>
    </row>
    <row r="180" spans="1:15">
      <c r="A180" s="27">
        <v>170</v>
      </c>
      <c r="B180" s="27">
        <v>15</v>
      </c>
      <c r="C180" s="27">
        <v>1</v>
      </c>
      <c r="D180" s="28">
        <f t="shared" si="24"/>
        <v>15</v>
      </c>
      <c r="E180" s="28">
        <f t="shared" si="25"/>
        <v>37.632427290462147</v>
      </c>
      <c r="F180" s="28">
        <f t="shared" si="26"/>
        <v>23.186666666666667</v>
      </c>
      <c r="G180" s="28">
        <f t="shared" si="27"/>
        <v>8.7409060428711882</v>
      </c>
      <c r="H180" s="28">
        <f t="shared" si="28"/>
        <v>-1.7001527742017302</v>
      </c>
      <c r="I180" s="28">
        <f t="shared" si="29"/>
        <v>3.119674929235714</v>
      </c>
      <c r="J180" s="28">
        <f t="shared" si="30"/>
        <v>68.252743918461903</v>
      </c>
      <c r="K180" s="28">
        <f t="shared" si="31"/>
        <v>23.186666666666667</v>
      </c>
      <c r="L180" s="28">
        <f t="shared" si="32"/>
        <v>0</v>
      </c>
      <c r="M180" s="2" t="str">
        <f t="shared" si="33"/>
        <v/>
      </c>
      <c r="N180" s="2" t="str">
        <f t="shared" si="34"/>
        <v/>
      </c>
      <c r="O180" s="2">
        <f t="shared" si="35"/>
        <v>2</v>
      </c>
    </row>
    <row r="181" spans="1:15">
      <c r="A181" s="27">
        <v>171</v>
      </c>
      <c r="B181" s="27">
        <v>11</v>
      </c>
      <c r="C181" s="27">
        <v>1</v>
      </c>
      <c r="D181" s="28">
        <f t="shared" si="24"/>
        <v>11</v>
      </c>
      <c r="E181" s="28">
        <f t="shared" si="25"/>
        <v>37.632427290462147</v>
      </c>
      <c r="F181" s="28">
        <f t="shared" si="26"/>
        <v>23.186666666666667</v>
      </c>
      <c r="G181" s="28">
        <f t="shared" si="27"/>
        <v>8.7409060428711882</v>
      </c>
      <c r="H181" s="28">
        <f t="shared" si="28"/>
        <v>-2.5308463120853117</v>
      </c>
      <c r="I181" s="28">
        <f t="shared" si="29"/>
        <v>3.119674929235714</v>
      </c>
      <c r="J181" s="28">
        <f t="shared" si="30"/>
        <v>68.252743918461903</v>
      </c>
      <c r="K181" s="28">
        <f t="shared" si="31"/>
        <v>23.186666666666667</v>
      </c>
      <c r="L181" s="28">
        <f t="shared" si="32"/>
        <v>0</v>
      </c>
      <c r="M181" s="2" t="str">
        <f t="shared" si="33"/>
        <v/>
      </c>
      <c r="N181" s="2" t="str">
        <f t="shared" si="34"/>
        <v/>
      </c>
      <c r="O181" s="2">
        <f t="shared" si="35"/>
        <v>4</v>
      </c>
    </row>
    <row r="182" spans="1:15">
      <c r="A182" s="27">
        <v>172</v>
      </c>
      <c r="B182" s="27">
        <v>15</v>
      </c>
      <c r="C182" s="27">
        <v>1</v>
      </c>
      <c r="D182" s="28">
        <f t="shared" si="24"/>
        <v>15</v>
      </c>
      <c r="E182" s="28">
        <f t="shared" si="25"/>
        <v>37.632427290462147</v>
      </c>
      <c r="F182" s="28">
        <f t="shared" si="26"/>
        <v>23.186666666666667</v>
      </c>
      <c r="G182" s="28">
        <f t="shared" si="27"/>
        <v>8.7409060428711882</v>
      </c>
      <c r="H182" s="28">
        <f t="shared" si="28"/>
        <v>-1.7001527742017302</v>
      </c>
      <c r="I182" s="28">
        <f t="shared" si="29"/>
        <v>3.119674929235714</v>
      </c>
      <c r="J182" s="28">
        <f t="shared" si="30"/>
        <v>68.252743918461903</v>
      </c>
      <c r="K182" s="28">
        <f t="shared" si="31"/>
        <v>23.186666666666667</v>
      </c>
      <c r="L182" s="28">
        <f t="shared" si="32"/>
        <v>0</v>
      </c>
      <c r="M182" s="2" t="str">
        <f t="shared" si="33"/>
        <v/>
      </c>
      <c r="N182" s="2" t="str">
        <f t="shared" si="34"/>
        <v/>
      </c>
      <c r="O182" s="2">
        <f t="shared" si="35"/>
        <v>4</v>
      </c>
    </row>
    <row r="183" spans="1:15">
      <c r="A183" s="27">
        <v>173</v>
      </c>
      <c r="B183" s="27">
        <v>8</v>
      </c>
      <c r="C183" s="27">
        <v>1</v>
      </c>
      <c r="D183" s="28">
        <f t="shared" si="24"/>
        <v>8</v>
      </c>
      <c r="E183" s="28">
        <f t="shared" si="25"/>
        <v>37.632427290462147</v>
      </c>
      <c r="F183" s="28">
        <f t="shared" si="26"/>
        <v>23.186666666666667</v>
      </c>
      <c r="G183" s="28">
        <f t="shared" si="27"/>
        <v>8.7409060428711882</v>
      </c>
      <c r="H183" s="28">
        <f t="shared" si="28"/>
        <v>-3.1538664654979978</v>
      </c>
      <c r="I183" s="28">
        <f t="shared" si="29"/>
        <v>3.119674929235714</v>
      </c>
      <c r="J183" s="28">
        <f t="shared" si="30"/>
        <v>68.252743918461903</v>
      </c>
      <c r="K183" s="28">
        <f t="shared" si="31"/>
        <v>23.186666666666667</v>
      </c>
      <c r="L183" s="28">
        <f t="shared" si="32"/>
        <v>0</v>
      </c>
      <c r="M183" s="2" t="str">
        <f t="shared" si="33"/>
        <v>Y</v>
      </c>
      <c r="N183" s="2" t="str">
        <f t="shared" si="34"/>
        <v/>
      </c>
      <c r="O183" s="2">
        <f t="shared" si="35"/>
        <v>7</v>
      </c>
    </row>
    <row r="184" spans="1:15">
      <c r="A184" s="27">
        <v>174</v>
      </c>
      <c r="B184" s="27">
        <v>14</v>
      </c>
      <c r="C184" s="27">
        <v>1</v>
      </c>
      <c r="D184" s="28">
        <f t="shared" si="24"/>
        <v>14</v>
      </c>
      <c r="E184" s="28">
        <f t="shared" si="25"/>
        <v>37.632427290462147</v>
      </c>
      <c r="F184" s="28">
        <f t="shared" si="26"/>
        <v>23.186666666666667</v>
      </c>
      <c r="G184" s="28">
        <f t="shared" si="27"/>
        <v>8.7409060428711882</v>
      </c>
      <c r="H184" s="28">
        <f t="shared" si="28"/>
        <v>-1.9078261586726255</v>
      </c>
      <c r="I184" s="28">
        <f t="shared" si="29"/>
        <v>3.119674929235714</v>
      </c>
      <c r="J184" s="28">
        <f t="shared" si="30"/>
        <v>68.252743918461903</v>
      </c>
      <c r="K184" s="28">
        <f t="shared" si="31"/>
        <v>23.186666666666667</v>
      </c>
      <c r="L184" s="28">
        <f t="shared" si="32"/>
        <v>0</v>
      </c>
      <c r="M184" s="2" t="str">
        <f t="shared" si="33"/>
        <v/>
      </c>
      <c r="N184" s="2" t="str">
        <f t="shared" si="34"/>
        <v/>
      </c>
      <c r="O184" s="2">
        <f t="shared" si="35"/>
        <v>6</v>
      </c>
    </row>
    <row r="185" spans="1:15">
      <c r="A185" s="27">
        <v>175</v>
      </c>
      <c r="B185" s="27">
        <v>12</v>
      </c>
      <c r="C185" s="27">
        <v>1</v>
      </c>
      <c r="D185" s="28">
        <f t="shared" si="24"/>
        <v>12</v>
      </c>
      <c r="E185" s="28">
        <f t="shared" si="25"/>
        <v>37.632427290462147</v>
      </c>
      <c r="F185" s="28">
        <f t="shared" si="26"/>
        <v>23.186666666666667</v>
      </c>
      <c r="G185" s="28">
        <f t="shared" si="27"/>
        <v>8.7409060428711882</v>
      </c>
      <c r="H185" s="28">
        <f t="shared" si="28"/>
        <v>-2.3231729276144164</v>
      </c>
      <c r="I185" s="28">
        <f t="shared" si="29"/>
        <v>3.119674929235714</v>
      </c>
      <c r="J185" s="28">
        <f t="shared" si="30"/>
        <v>68.252743918461903</v>
      </c>
      <c r="K185" s="28">
        <f t="shared" si="31"/>
        <v>23.186666666666667</v>
      </c>
      <c r="L185" s="28">
        <f t="shared" si="32"/>
        <v>0</v>
      </c>
      <c r="M185" s="2" t="str">
        <f t="shared" si="33"/>
        <v/>
      </c>
      <c r="N185" s="2" t="str">
        <f t="shared" si="34"/>
        <v/>
      </c>
      <c r="O185" s="2">
        <f t="shared" si="35"/>
        <v>2</v>
      </c>
    </row>
    <row r="186" spans="1:15">
      <c r="A186" s="27">
        <v>176</v>
      </c>
      <c r="B186" s="27">
        <v>33</v>
      </c>
      <c r="C186" s="27">
        <v>1</v>
      </c>
      <c r="D186" s="28">
        <f t="shared" si="24"/>
        <v>33</v>
      </c>
      <c r="E186" s="28">
        <f t="shared" si="25"/>
        <v>37.632427290462147</v>
      </c>
      <c r="F186" s="28">
        <f t="shared" si="26"/>
        <v>23.186666666666667</v>
      </c>
      <c r="G186" s="28">
        <f t="shared" si="27"/>
        <v>8.7409060428711882</v>
      </c>
      <c r="H186" s="28">
        <f t="shared" si="28"/>
        <v>2.0379681462743862</v>
      </c>
      <c r="I186" s="28">
        <f t="shared" si="29"/>
        <v>3.119674929235714</v>
      </c>
      <c r="J186" s="28">
        <f t="shared" si="30"/>
        <v>68.252743918461903</v>
      </c>
      <c r="K186" s="28">
        <f t="shared" si="31"/>
        <v>23.186666666666667</v>
      </c>
      <c r="L186" s="28">
        <f t="shared" si="32"/>
        <v>0</v>
      </c>
      <c r="M186" s="2" t="str">
        <f t="shared" si="33"/>
        <v/>
      </c>
      <c r="N186" s="2" t="str">
        <f t="shared" si="34"/>
        <v/>
      </c>
      <c r="O186" s="2">
        <f t="shared" si="35"/>
        <v>21</v>
      </c>
    </row>
    <row r="187" spans="1:15">
      <c r="A187" s="27">
        <v>177</v>
      </c>
      <c r="B187" s="27">
        <v>29</v>
      </c>
      <c r="C187" s="27">
        <v>1</v>
      </c>
      <c r="D187" s="28">
        <f t="shared" si="24"/>
        <v>29</v>
      </c>
      <c r="E187" s="28">
        <f t="shared" si="25"/>
        <v>37.632427290462147</v>
      </c>
      <c r="F187" s="28">
        <f t="shared" si="26"/>
        <v>23.186666666666667</v>
      </c>
      <c r="G187" s="28">
        <f t="shared" si="27"/>
        <v>8.7409060428711882</v>
      </c>
      <c r="H187" s="28">
        <f t="shared" si="28"/>
        <v>1.2072746083908048</v>
      </c>
      <c r="I187" s="28">
        <f t="shared" si="29"/>
        <v>3.119674929235714</v>
      </c>
      <c r="J187" s="28">
        <f t="shared" si="30"/>
        <v>68.252743918461903</v>
      </c>
      <c r="K187" s="28">
        <f t="shared" si="31"/>
        <v>23.186666666666667</v>
      </c>
      <c r="L187" s="28">
        <f t="shared" si="32"/>
        <v>0</v>
      </c>
      <c r="M187" s="2" t="str">
        <f t="shared" si="33"/>
        <v/>
      </c>
      <c r="N187" s="2" t="str">
        <f t="shared" si="34"/>
        <v/>
      </c>
      <c r="O187" s="2">
        <f t="shared" si="35"/>
        <v>4</v>
      </c>
    </row>
    <row r="188" spans="1:15">
      <c r="A188" s="27">
        <v>178</v>
      </c>
      <c r="B188" s="27">
        <v>35</v>
      </c>
      <c r="C188" s="27">
        <v>1</v>
      </c>
      <c r="D188" s="28">
        <f t="shared" si="24"/>
        <v>35</v>
      </c>
      <c r="E188" s="28">
        <f t="shared" si="25"/>
        <v>37.632427290462147</v>
      </c>
      <c r="F188" s="28">
        <f t="shared" si="26"/>
        <v>23.186666666666667</v>
      </c>
      <c r="G188" s="28">
        <f t="shared" si="27"/>
        <v>8.7409060428711882</v>
      </c>
      <c r="H188" s="28">
        <f t="shared" si="28"/>
        <v>2.4533149152161773</v>
      </c>
      <c r="I188" s="28">
        <f t="shared" si="29"/>
        <v>3.119674929235714</v>
      </c>
      <c r="J188" s="28">
        <f t="shared" si="30"/>
        <v>68.252743918461903</v>
      </c>
      <c r="K188" s="28">
        <f t="shared" si="31"/>
        <v>23.186666666666667</v>
      </c>
      <c r="L188" s="28">
        <f t="shared" si="32"/>
        <v>0</v>
      </c>
      <c r="M188" s="2" t="str">
        <f t="shared" si="33"/>
        <v/>
      </c>
      <c r="N188" s="2" t="str">
        <f t="shared" si="34"/>
        <v/>
      </c>
      <c r="O188" s="2">
        <f t="shared" si="35"/>
        <v>6</v>
      </c>
    </row>
    <row r="189" spans="1:15">
      <c r="A189" s="27">
        <v>179</v>
      </c>
      <c r="B189" s="27">
        <v>26</v>
      </c>
      <c r="C189" s="27">
        <v>1</v>
      </c>
      <c r="D189" s="28">
        <f t="shared" si="24"/>
        <v>26</v>
      </c>
      <c r="E189" s="28">
        <f t="shared" si="25"/>
        <v>37.632427290462147</v>
      </c>
      <c r="F189" s="28">
        <f t="shared" si="26"/>
        <v>23.186666666666667</v>
      </c>
      <c r="G189" s="28">
        <f t="shared" si="27"/>
        <v>8.7409060428711882</v>
      </c>
      <c r="H189" s="28">
        <f t="shared" si="28"/>
        <v>0.58425445497811879</v>
      </c>
      <c r="I189" s="28">
        <f t="shared" si="29"/>
        <v>3.119674929235714</v>
      </c>
      <c r="J189" s="28">
        <f t="shared" si="30"/>
        <v>68.252743918461903</v>
      </c>
      <c r="K189" s="28">
        <f t="shared" si="31"/>
        <v>23.186666666666667</v>
      </c>
      <c r="L189" s="28">
        <f t="shared" si="32"/>
        <v>0</v>
      </c>
      <c r="M189" s="2" t="str">
        <f t="shared" si="33"/>
        <v/>
      </c>
      <c r="N189" s="2" t="str">
        <f t="shared" si="34"/>
        <v/>
      </c>
      <c r="O189" s="2">
        <f t="shared" si="35"/>
        <v>9</v>
      </c>
    </row>
    <row r="190" spans="1:15">
      <c r="A190" s="27">
        <v>180</v>
      </c>
      <c r="B190" s="27">
        <v>14</v>
      </c>
      <c r="C190" s="27">
        <v>1</v>
      </c>
      <c r="D190" s="28">
        <f t="shared" si="24"/>
        <v>14</v>
      </c>
      <c r="E190" s="28">
        <f t="shared" si="25"/>
        <v>37.632427290462147</v>
      </c>
      <c r="F190" s="28">
        <f t="shared" si="26"/>
        <v>23.186666666666667</v>
      </c>
      <c r="G190" s="28">
        <f t="shared" si="27"/>
        <v>8.7409060428711882</v>
      </c>
      <c r="H190" s="28">
        <f t="shared" si="28"/>
        <v>-1.9078261586726255</v>
      </c>
      <c r="I190" s="28">
        <f t="shared" si="29"/>
        <v>3.119674929235714</v>
      </c>
      <c r="J190" s="28">
        <f t="shared" si="30"/>
        <v>68.252743918461903</v>
      </c>
      <c r="K190" s="28">
        <f t="shared" si="31"/>
        <v>23.186666666666667</v>
      </c>
      <c r="L190" s="28">
        <f t="shared" si="32"/>
        <v>0</v>
      </c>
      <c r="M190" s="2" t="str">
        <f t="shared" si="33"/>
        <v/>
      </c>
      <c r="N190" s="2" t="str">
        <f t="shared" si="34"/>
        <v/>
      </c>
      <c r="O190" s="2">
        <f t="shared" si="35"/>
        <v>12</v>
      </c>
    </row>
    <row r="191" spans="1:15">
      <c r="A191" s="27">
        <v>181</v>
      </c>
      <c r="B191" s="27">
        <v>10</v>
      </c>
      <c r="C191" s="27">
        <v>1</v>
      </c>
      <c r="D191" s="28">
        <f t="shared" si="24"/>
        <v>10</v>
      </c>
      <c r="E191" s="28">
        <f t="shared" si="25"/>
        <v>37.632427290462147</v>
      </c>
      <c r="F191" s="28">
        <f t="shared" si="26"/>
        <v>23.186666666666667</v>
      </c>
      <c r="G191" s="28">
        <f t="shared" si="27"/>
        <v>8.7409060428711882</v>
      </c>
      <c r="H191" s="28">
        <f t="shared" si="28"/>
        <v>-2.7385196965562071</v>
      </c>
      <c r="I191" s="28">
        <f t="shared" si="29"/>
        <v>3.119674929235714</v>
      </c>
      <c r="J191" s="28">
        <f t="shared" si="30"/>
        <v>68.252743918461903</v>
      </c>
      <c r="K191" s="28">
        <f t="shared" si="31"/>
        <v>23.186666666666667</v>
      </c>
      <c r="L191" s="28">
        <f t="shared" si="32"/>
        <v>0</v>
      </c>
      <c r="M191" s="2" t="str">
        <f t="shared" si="33"/>
        <v/>
      </c>
      <c r="N191" s="2" t="str">
        <f t="shared" si="34"/>
        <v/>
      </c>
      <c r="O191" s="2">
        <f t="shared" si="35"/>
        <v>4</v>
      </c>
    </row>
    <row r="192" spans="1:15">
      <c r="A192" s="27">
        <v>182</v>
      </c>
      <c r="B192" s="27">
        <v>23</v>
      </c>
      <c r="C192" s="27">
        <v>1</v>
      </c>
      <c r="D192" s="28">
        <f t="shared" si="24"/>
        <v>23</v>
      </c>
      <c r="E192" s="28">
        <f t="shared" si="25"/>
        <v>37.632427290462147</v>
      </c>
      <c r="F192" s="28">
        <f t="shared" si="26"/>
        <v>23.186666666666667</v>
      </c>
      <c r="G192" s="28">
        <f t="shared" si="27"/>
        <v>8.7409060428711882</v>
      </c>
      <c r="H192" s="28">
        <f t="shared" si="28"/>
        <v>-3.8765698434567293E-2</v>
      </c>
      <c r="I192" s="28">
        <f t="shared" si="29"/>
        <v>3.119674929235714</v>
      </c>
      <c r="J192" s="28">
        <f t="shared" si="30"/>
        <v>68.252743918461903</v>
      </c>
      <c r="K192" s="28">
        <f t="shared" si="31"/>
        <v>23.186666666666667</v>
      </c>
      <c r="L192" s="28">
        <f t="shared" si="32"/>
        <v>0</v>
      </c>
      <c r="M192" s="2" t="str">
        <f t="shared" si="33"/>
        <v/>
      </c>
      <c r="N192" s="2" t="str">
        <f t="shared" si="34"/>
        <v/>
      </c>
      <c r="O192" s="2">
        <f t="shared" si="35"/>
        <v>13</v>
      </c>
    </row>
    <row r="193" spans="1:15">
      <c r="A193" s="27">
        <v>183</v>
      </c>
      <c r="B193" s="27">
        <v>9</v>
      </c>
      <c r="C193" s="27">
        <v>1</v>
      </c>
      <c r="D193" s="28">
        <f t="shared" si="24"/>
        <v>9</v>
      </c>
      <c r="E193" s="28">
        <f t="shared" si="25"/>
        <v>37.632427290462147</v>
      </c>
      <c r="F193" s="28">
        <f t="shared" si="26"/>
        <v>23.186666666666667</v>
      </c>
      <c r="G193" s="28">
        <f t="shared" si="27"/>
        <v>8.7409060428711882</v>
      </c>
      <c r="H193" s="28">
        <f t="shared" si="28"/>
        <v>-2.9461930810271024</v>
      </c>
      <c r="I193" s="28">
        <f t="shared" si="29"/>
        <v>3.119674929235714</v>
      </c>
      <c r="J193" s="28">
        <f t="shared" si="30"/>
        <v>68.252743918461903</v>
      </c>
      <c r="K193" s="28">
        <f t="shared" si="31"/>
        <v>23.186666666666667</v>
      </c>
      <c r="L193" s="28">
        <f t="shared" si="32"/>
        <v>0</v>
      </c>
      <c r="M193" s="2" t="str">
        <f t="shared" si="33"/>
        <v/>
      </c>
      <c r="N193" s="2" t="str">
        <f t="shared" si="34"/>
        <v/>
      </c>
      <c r="O193" s="2">
        <f t="shared" si="35"/>
        <v>14</v>
      </c>
    </row>
    <row r="194" spans="1:15">
      <c r="A194" s="27">
        <v>184</v>
      </c>
      <c r="B194" s="27">
        <v>15</v>
      </c>
      <c r="C194" s="27">
        <v>1</v>
      </c>
      <c r="D194" s="28">
        <f t="shared" si="24"/>
        <v>15</v>
      </c>
      <c r="E194" s="28">
        <f t="shared" si="25"/>
        <v>37.632427290462147</v>
      </c>
      <c r="F194" s="28">
        <f t="shared" si="26"/>
        <v>23.186666666666667</v>
      </c>
      <c r="G194" s="28">
        <f t="shared" si="27"/>
        <v>8.7409060428711882</v>
      </c>
      <c r="H194" s="28">
        <f t="shared" si="28"/>
        <v>-1.7001527742017302</v>
      </c>
      <c r="I194" s="28">
        <f t="shared" si="29"/>
        <v>3.119674929235714</v>
      </c>
      <c r="J194" s="28">
        <f t="shared" si="30"/>
        <v>68.252743918461903</v>
      </c>
      <c r="K194" s="28">
        <f t="shared" si="31"/>
        <v>23.186666666666667</v>
      </c>
      <c r="L194" s="28">
        <f t="shared" si="32"/>
        <v>0</v>
      </c>
      <c r="M194" s="2" t="str">
        <f t="shared" si="33"/>
        <v/>
      </c>
      <c r="N194" s="2" t="str">
        <f t="shared" si="34"/>
        <v/>
      </c>
      <c r="O194" s="2">
        <f t="shared" si="35"/>
        <v>6</v>
      </c>
    </row>
    <row r="195" spans="1:15">
      <c r="A195" s="27">
        <v>185</v>
      </c>
      <c r="B195" s="27">
        <v>13</v>
      </c>
      <c r="C195" s="27">
        <v>1</v>
      </c>
      <c r="D195" s="28">
        <f t="shared" si="24"/>
        <v>13</v>
      </c>
      <c r="E195" s="28">
        <f t="shared" si="25"/>
        <v>37.632427290462147</v>
      </c>
      <c r="F195" s="28">
        <f t="shared" si="26"/>
        <v>23.186666666666667</v>
      </c>
      <c r="G195" s="28">
        <f t="shared" si="27"/>
        <v>8.7409060428711882</v>
      </c>
      <c r="H195" s="28">
        <f t="shared" si="28"/>
        <v>-2.1154995431435211</v>
      </c>
      <c r="I195" s="28">
        <f t="shared" si="29"/>
        <v>3.119674929235714</v>
      </c>
      <c r="J195" s="28">
        <f t="shared" si="30"/>
        <v>68.252743918461903</v>
      </c>
      <c r="K195" s="28">
        <f t="shared" si="31"/>
        <v>23.186666666666667</v>
      </c>
      <c r="L195" s="28">
        <f t="shared" si="32"/>
        <v>0</v>
      </c>
      <c r="M195" s="2" t="str">
        <f t="shared" si="33"/>
        <v/>
      </c>
      <c r="N195" s="2" t="str">
        <f t="shared" si="34"/>
        <v/>
      </c>
      <c r="O195" s="2">
        <f t="shared" si="35"/>
        <v>2</v>
      </c>
    </row>
    <row r="196" spans="1:15">
      <c r="A196" s="27">
        <v>186</v>
      </c>
      <c r="B196" s="27">
        <v>21</v>
      </c>
      <c r="C196" s="27">
        <v>1</v>
      </c>
      <c r="D196" s="28">
        <f t="shared" si="24"/>
        <v>21</v>
      </c>
      <c r="E196" s="28">
        <f t="shared" si="25"/>
        <v>37.632427290462147</v>
      </c>
      <c r="F196" s="28">
        <f t="shared" si="26"/>
        <v>23.186666666666667</v>
      </c>
      <c r="G196" s="28">
        <f t="shared" si="27"/>
        <v>8.7409060428711882</v>
      </c>
      <c r="H196" s="28">
        <f t="shared" si="28"/>
        <v>-0.45411246737635802</v>
      </c>
      <c r="I196" s="28">
        <f t="shared" si="29"/>
        <v>3.119674929235714</v>
      </c>
      <c r="J196" s="28">
        <f t="shared" si="30"/>
        <v>68.252743918461903</v>
      </c>
      <c r="K196" s="28">
        <f t="shared" si="31"/>
        <v>23.186666666666667</v>
      </c>
      <c r="L196" s="28">
        <f t="shared" si="32"/>
        <v>0</v>
      </c>
      <c r="M196" s="2" t="str">
        <f t="shared" si="33"/>
        <v/>
      </c>
      <c r="N196" s="2" t="str">
        <f t="shared" si="34"/>
        <v/>
      </c>
      <c r="O196" s="2">
        <f t="shared" si="35"/>
        <v>8</v>
      </c>
    </row>
    <row r="197" spans="1:15">
      <c r="A197" s="27">
        <v>187</v>
      </c>
      <c r="B197" s="27">
        <v>8</v>
      </c>
      <c r="C197" s="27">
        <v>1</v>
      </c>
      <c r="D197" s="28">
        <f t="shared" si="24"/>
        <v>8</v>
      </c>
      <c r="E197" s="28">
        <f t="shared" si="25"/>
        <v>37.632427290462147</v>
      </c>
      <c r="F197" s="28">
        <f t="shared" si="26"/>
        <v>23.186666666666667</v>
      </c>
      <c r="G197" s="28">
        <f t="shared" si="27"/>
        <v>8.7409060428711882</v>
      </c>
      <c r="H197" s="28">
        <f t="shared" si="28"/>
        <v>-3.1538664654979978</v>
      </c>
      <c r="I197" s="28">
        <f t="shared" si="29"/>
        <v>3.119674929235714</v>
      </c>
      <c r="J197" s="28">
        <f t="shared" si="30"/>
        <v>68.252743918461903</v>
      </c>
      <c r="K197" s="28">
        <f t="shared" si="31"/>
        <v>23.186666666666667</v>
      </c>
      <c r="L197" s="28">
        <f t="shared" si="32"/>
        <v>0</v>
      </c>
      <c r="M197" s="2" t="str">
        <f t="shared" si="33"/>
        <v>Y</v>
      </c>
      <c r="N197" s="2" t="str">
        <f t="shared" si="34"/>
        <v/>
      </c>
      <c r="O197" s="2">
        <f t="shared" si="35"/>
        <v>13</v>
      </c>
    </row>
    <row r="198" spans="1:15">
      <c r="A198" s="27">
        <v>188</v>
      </c>
      <c r="B198" s="27">
        <v>22</v>
      </c>
      <c r="C198" s="27">
        <v>1</v>
      </c>
      <c r="D198" s="28">
        <f t="shared" si="24"/>
        <v>22</v>
      </c>
      <c r="E198" s="28">
        <f t="shared" si="25"/>
        <v>37.632427290462147</v>
      </c>
      <c r="F198" s="28">
        <f t="shared" si="26"/>
        <v>23.186666666666667</v>
      </c>
      <c r="G198" s="28">
        <f t="shared" si="27"/>
        <v>8.7409060428711882</v>
      </c>
      <c r="H198" s="28">
        <f t="shared" si="28"/>
        <v>-0.24643908290546265</v>
      </c>
      <c r="I198" s="28">
        <f t="shared" si="29"/>
        <v>3.119674929235714</v>
      </c>
      <c r="J198" s="28">
        <f t="shared" si="30"/>
        <v>68.252743918461903</v>
      </c>
      <c r="K198" s="28">
        <f t="shared" si="31"/>
        <v>23.186666666666667</v>
      </c>
      <c r="L198" s="28">
        <f t="shared" si="32"/>
        <v>0</v>
      </c>
      <c r="M198" s="2" t="str">
        <f t="shared" si="33"/>
        <v/>
      </c>
      <c r="N198" s="2" t="str">
        <f t="shared" si="34"/>
        <v/>
      </c>
      <c r="O198" s="2">
        <f t="shared" si="35"/>
        <v>14</v>
      </c>
    </row>
    <row r="199" spans="1:15">
      <c r="A199" s="27">
        <v>189</v>
      </c>
      <c r="B199" s="27">
        <v>30</v>
      </c>
      <c r="C199" s="27">
        <v>1</v>
      </c>
      <c r="D199" s="28">
        <f t="shared" si="24"/>
        <v>30</v>
      </c>
      <c r="E199" s="28">
        <f t="shared" si="25"/>
        <v>37.632427290462147</v>
      </c>
      <c r="F199" s="28">
        <f t="shared" si="26"/>
        <v>23.186666666666667</v>
      </c>
      <c r="G199" s="28">
        <f t="shared" si="27"/>
        <v>8.7409060428711882</v>
      </c>
      <c r="H199" s="28">
        <f t="shared" si="28"/>
        <v>1.4149479928617004</v>
      </c>
      <c r="I199" s="28">
        <f t="shared" si="29"/>
        <v>3.119674929235714</v>
      </c>
      <c r="J199" s="28">
        <f t="shared" si="30"/>
        <v>68.252743918461903</v>
      </c>
      <c r="K199" s="28">
        <f t="shared" si="31"/>
        <v>23.186666666666667</v>
      </c>
      <c r="L199" s="28">
        <f t="shared" si="32"/>
        <v>0</v>
      </c>
      <c r="M199" s="2" t="str">
        <f t="shared" si="33"/>
        <v/>
      </c>
      <c r="N199" s="2" t="str">
        <f t="shared" si="34"/>
        <v/>
      </c>
      <c r="O199" s="2">
        <f t="shared" si="35"/>
        <v>8</v>
      </c>
    </row>
    <row r="200" spans="1:15">
      <c r="A200" s="27">
        <v>190</v>
      </c>
      <c r="B200" s="27">
        <v>23</v>
      </c>
      <c r="C200" s="27">
        <v>1</v>
      </c>
      <c r="D200" s="28">
        <f t="shared" si="24"/>
        <v>23</v>
      </c>
      <c r="E200" s="28">
        <f t="shared" si="25"/>
        <v>37.632427290462147</v>
      </c>
      <c r="F200" s="28">
        <f t="shared" si="26"/>
        <v>23.186666666666667</v>
      </c>
      <c r="G200" s="28">
        <f t="shared" si="27"/>
        <v>8.7409060428711882</v>
      </c>
      <c r="H200" s="28">
        <f t="shared" si="28"/>
        <v>-3.8765698434567293E-2</v>
      </c>
      <c r="I200" s="28">
        <f t="shared" si="29"/>
        <v>3.119674929235714</v>
      </c>
      <c r="J200" s="28">
        <f t="shared" si="30"/>
        <v>68.252743918461903</v>
      </c>
      <c r="K200" s="28">
        <f t="shared" si="31"/>
        <v>23.186666666666667</v>
      </c>
      <c r="L200" s="28">
        <f t="shared" si="32"/>
        <v>0</v>
      </c>
      <c r="M200" s="2" t="str">
        <f t="shared" si="33"/>
        <v/>
      </c>
      <c r="N200" s="2" t="str">
        <f t="shared" si="34"/>
        <v/>
      </c>
      <c r="O200" s="2">
        <f t="shared" si="35"/>
        <v>7</v>
      </c>
    </row>
    <row r="201" spans="1:15">
      <c r="A201" s="27">
        <v>191</v>
      </c>
      <c r="B201" s="27">
        <v>14</v>
      </c>
      <c r="C201" s="27">
        <v>1</v>
      </c>
      <c r="D201" s="28">
        <f t="shared" si="24"/>
        <v>14</v>
      </c>
      <c r="E201" s="28">
        <f t="shared" si="25"/>
        <v>37.632427290462147</v>
      </c>
      <c r="F201" s="28">
        <f t="shared" si="26"/>
        <v>23.186666666666667</v>
      </c>
      <c r="G201" s="28">
        <f t="shared" si="27"/>
        <v>8.7409060428711882</v>
      </c>
      <c r="H201" s="28">
        <f t="shared" si="28"/>
        <v>-1.9078261586726255</v>
      </c>
      <c r="I201" s="28">
        <f t="shared" si="29"/>
        <v>3.119674929235714</v>
      </c>
      <c r="J201" s="28">
        <f t="shared" si="30"/>
        <v>68.252743918461903</v>
      </c>
      <c r="K201" s="28">
        <f t="shared" si="31"/>
        <v>23.186666666666667</v>
      </c>
      <c r="L201" s="28">
        <f t="shared" si="32"/>
        <v>0</v>
      </c>
      <c r="M201" s="2" t="str">
        <f t="shared" si="33"/>
        <v/>
      </c>
      <c r="N201" s="2" t="str">
        <f t="shared" si="34"/>
        <v/>
      </c>
      <c r="O201" s="2">
        <f t="shared" si="35"/>
        <v>9</v>
      </c>
    </row>
    <row r="202" spans="1:15">
      <c r="A202" s="27">
        <v>192</v>
      </c>
      <c r="B202" s="27">
        <v>14</v>
      </c>
      <c r="C202" s="27">
        <v>1</v>
      </c>
      <c r="D202" s="28">
        <f t="shared" si="24"/>
        <v>14</v>
      </c>
      <c r="E202" s="28">
        <f t="shared" si="25"/>
        <v>37.632427290462147</v>
      </c>
      <c r="F202" s="28">
        <f t="shared" si="26"/>
        <v>23.186666666666667</v>
      </c>
      <c r="G202" s="28">
        <f t="shared" si="27"/>
        <v>8.7409060428711882</v>
      </c>
      <c r="H202" s="28">
        <f t="shared" si="28"/>
        <v>-1.9078261586726255</v>
      </c>
      <c r="I202" s="28">
        <f t="shared" si="29"/>
        <v>3.119674929235714</v>
      </c>
      <c r="J202" s="28">
        <f t="shared" si="30"/>
        <v>68.252743918461903</v>
      </c>
      <c r="K202" s="28">
        <f t="shared" si="31"/>
        <v>23.186666666666667</v>
      </c>
      <c r="L202" s="28">
        <f t="shared" si="32"/>
        <v>0</v>
      </c>
      <c r="M202" s="2" t="str">
        <f t="shared" si="33"/>
        <v/>
      </c>
      <c r="N202" s="2" t="str">
        <f t="shared" si="34"/>
        <v/>
      </c>
      <c r="O202" s="2">
        <f t="shared" si="35"/>
        <v>0</v>
      </c>
    </row>
    <row r="203" spans="1:15">
      <c r="A203" s="27">
        <v>193</v>
      </c>
      <c r="B203" s="27">
        <v>16</v>
      </c>
      <c r="C203" s="27">
        <v>1</v>
      </c>
      <c r="D203" s="28">
        <f t="shared" ref="D203:D266" si="36">IF(C203=0,"",B203/C203)</f>
        <v>16</v>
      </c>
      <c r="E203" s="28">
        <f t="shared" ref="E203:E266" si="37">IF(C203=0,"",$F$5+3*SQRT($F$5/C203))</f>
        <v>37.632427290462147</v>
      </c>
      <c r="F203" s="28">
        <f t="shared" ref="F203:F266" si="38">$F$5</f>
        <v>23.186666666666667</v>
      </c>
      <c r="G203" s="28">
        <f t="shared" ref="G203:G266" si="39">IF(C203=0,"",MAX(0,$F$5-3*SQRT($F$5/C203)))</f>
        <v>8.7409060428711882</v>
      </c>
      <c r="H203" s="28">
        <f t="shared" ref="H203:H266" si="40">IF(C203=0,"",(D203-$F$5)/SQRT($F$5/C203))</f>
        <v>-1.4924793897308348</v>
      </c>
      <c r="I203" s="28">
        <f t="shared" ref="I203:I266" si="41">$F$6</f>
        <v>3.119674929235714</v>
      </c>
      <c r="J203" s="28">
        <f t="shared" ref="J203:J266" si="42">IF(C203=0,"",$F$5+3*$F$6*SQRT($F$5/C203))</f>
        <v>68.252743918461903</v>
      </c>
      <c r="K203" s="28">
        <f t="shared" ref="K203:K266" si="43">$F$5</f>
        <v>23.186666666666667</v>
      </c>
      <c r="L203" s="28">
        <f t="shared" ref="L203:L266" si="44">IF(C203=0,"",MAX(0,$F$5-3*$F$6*SQRT($F$5/C203)))</f>
        <v>0</v>
      </c>
      <c r="M203" s="2" t="str">
        <f t="shared" ref="M203:M266" si="45">IF(OR(D203&gt;E203,D203&lt;G203),"Y","")</f>
        <v/>
      </c>
      <c r="N203" s="2" t="str">
        <f t="shared" ref="N203:N266" si="46">IF(OR(D203&gt;J203,D203&lt;L203),"Y","")</f>
        <v/>
      </c>
      <c r="O203" s="2">
        <f t="shared" si="35"/>
        <v>2</v>
      </c>
    </row>
    <row r="204" spans="1:15">
      <c r="A204" s="27">
        <v>194</v>
      </c>
      <c r="B204" s="27">
        <v>11</v>
      </c>
      <c r="C204" s="27">
        <v>1</v>
      </c>
      <c r="D204" s="28">
        <f t="shared" si="36"/>
        <v>11</v>
      </c>
      <c r="E204" s="28">
        <f t="shared" si="37"/>
        <v>37.632427290462147</v>
      </c>
      <c r="F204" s="28">
        <f t="shared" si="38"/>
        <v>23.186666666666667</v>
      </c>
      <c r="G204" s="28">
        <f t="shared" si="39"/>
        <v>8.7409060428711882</v>
      </c>
      <c r="H204" s="28">
        <f t="shared" si="40"/>
        <v>-2.5308463120853117</v>
      </c>
      <c r="I204" s="28">
        <f t="shared" si="41"/>
        <v>3.119674929235714</v>
      </c>
      <c r="J204" s="28">
        <f t="shared" si="42"/>
        <v>68.252743918461903</v>
      </c>
      <c r="K204" s="28">
        <f t="shared" si="43"/>
        <v>23.186666666666667</v>
      </c>
      <c r="L204" s="28">
        <f t="shared" si="44"/>
        <v>0</v>
      </c>
      <c r="M204" s="2" t="str">
        <f t="shared" si="45"/>
        <v/>
      </c>
      <c r="N204" s="2" t="str">
        <f t="shared" si="46"/>
        <v/>
      </c>
      <c r="O204" s="2">
        <f t="shared" ref="O204:O267" si="47">ABS(D204-D203)</f>
        <v>5</v>
      </c>
    </row>
    <row r="205" spans="1:15">
      <c r="A205" s="27">
        <v>195</v>
      </c>
      <c r="B205" s="27">
        <v>20</v>
      </c>
      <c r="C205" s="27">
        <v>1</v>
      </c>
      <c r="D205" s="28">
        <f t="shared" si="36"/>
        <v>20</v>
      </c>
      <c r="E205" s="28">
        <f t="shared" si="37"/>
        <v>37.632427290462147</v>
      </c>
      <c r="F205" s="28">
        <f t="shared" si="38"/>
        <v>23.186666666666667</v>
      </c>
      <c r="G205" s="28">
        <f t="shared" si="39"/>
        <v>8.7409060428711882</v>
      </c>
      <c r="H205" s="28">
        <f t="shared" si="40"/>
        <v>-0.66178585184725336</v>
      </c>
      <c r="I205" s="28">
        <f t="shared" si="41"/>
        <v>3.119674929235714</v>
      </c>
      <c r="J205" s="28">
        <f t="shared" si="42"/>
        <v>68.252743918461903</v>
      </c>
      <c r="K205" s="28">
        <f t="shared" si="43"/>
        <v>23.186666666666667</v>
      </c>
      <c r="L205" s="28">
        <f t="shared" si="44"/>
        <v>0</v>
      </c>
      <c r="M205" s="2" t="str">
        <f t="shared" si="45"/>
        <v/>
      </c>
      <c r="N205" s="2" t="str">
        <f t="shared" si="46"/>
        <v/>
      </c>
      <c r="O205" s="2">
        <f t="shared" si="47"/>
        <v>9</v>
      </c>
    </row>
    <row r="206" spans="1:15">
      <c r="A206" s="27">
        <v>196</v>
      </c>
      <c r="B206" s="27">
        <v>19</v>
      </c>
      <c r="C206" s="27">
        <v>1</v>
      </c>
      <c r="D206" s="28">
        <f t="shared" si="36"/>
        <v>19</v>
      </c>
      <c r="E206" s="28">
        <f t="shared" si="37"/>
        <v>37.632427290462147</v>
      </c>
      <c r="F206" s="28">
        <f t="shared" si="38"/>
        <v>23.186666666666667</v>
      </c>
      <c r="G206" s="28">
        <f t="shared" si="39"/>
        <v>8.7409060428711882</v>
      </c>
      <c r="H206" s="28">
        <f t="shared" si="40"/>
        <v>-0.8694592363181487</v>
      </c>
      <c r="I206" s="28">
        <f t="shared" si="41"/>
        <v>3.119674929235714</v>
      </c>
      <c r="J206" s="28">
        <f t="shared" si="42"/>
        <v>68.252743918461903</v>
      </c>
      <c r="K206" s="28">
        <f t="shared" si="43"/>
        <v>23.186666666666667</v>
      </c>
      <c r="L206" s="28">
        <f t="shared" si="44"/>
        <v>0</v>
      </c>
      <c r="M206" s="2" t="str">
        <f t="shared" si="45"/>
        <v/>
      </c>
      <c r="N206" s="2" t="str">
        <f t="shared" si="46"/>
        <v/>
      </c>
      <c r="O206" s="2">
        <f t="shared" si="47"/>
        <v>1</v>
      </c>
    </row>
    <row r="207" spans="1:15">
      <c r="A207" s="27">
        <v>197</v>
      </c>
      <c r="B207" s="27">
        <v>18</v>
      </c>
      <c r="C207" s="27">
        <v>1</v>
      </c>
      <c r="D207" s="28">
        <f t="shared" si="36"/>
        <v>18</v>
      </c>
      <c r="E207" s="28">
        <f t="shared" si="37"/>
        <v>37.632427290462147</v>
      </c>
      <c r="F207" s="28">
        <f t="shared" si="38"/>
        <v>23.186666666666667</v>
      </c>
      <c r="G207" s="28">
        <f t="shared" si="39"/>
        <v>8.7409060428711882</v>
      </c>
      <c r="H207" s="28">
        <f t="shared" si="40"/>
        <v>-1.0771326207890441</v>
      </c>
      <c r="I207" s="28">
        <f t="shared" si="41"/>
        <v>3.119674929235714</v>
      </c>
      <c r="J207" s="28">
        <f t="shared" si="42"/>
        <v>68.252743918461903</v>
      </c>
      <c r="K207" s="28">
        <f t="shared" si="43"/>
        <v>23.186666666666667</v>
      </c>
      <c r="L207" s="28">
        <f t="shared" si="44"/>
        <v>0</v>
      </c>
      <c r="M207" s="2" t="str">
        <f t="shared" si="45"/>
        <v/>
      </c>
      <c r="N207" s="2" t="str">
        <f t="shared" si="46"/>
        <v/>
      </c>
      <c r="O207" s="2">
        <f t="shared" si="47"/>
        <v>1</v>
      </c>
    </row>
    <row r="208" spans="1:15">
      <c r="A208" s="27">
        <v>198</v>
      </c>
      <c r="B208" s="27">
        <v>19</v>
      </c>
      <c r="C208" s="27">
        <v>1</v>
      </c>
      <c r="D208" s="28">
        <f t="shared" si="36"/>
        <v>19</v>
      </c>
      <c r="E208" s="28">
        <f t="shared" si="37"/>
        <v>37.632427290462147</v>
      </c>
      <c r="F208" s="28">
        <f t="shared" si="38"/>
        <v>23.186666666666667</v>
      </c>
      <c r="G208" s="28">
        <f t="shared" si="39"/>
        <v>8.7409060428711882</v>
      </c>
      <c r="H208" s="28">
        <f t="shared" si="40"/>
        <v>-0.8694592363181487</v>
      </c>
      <c r="I208" s="28">
        <f t="shared" si="41"/>
        <v>3.119674929235714</v>
      </c>
      <c r="J208" s="28">
        <f t="shared" si="42"/>
        <v>68.252743918461903</v>
      </c>
      <c r="K208" s="28">
        <f t="shared" si="43"/>
        <v>23.186666666666667</v>
      </c>
      <c r="L208" s="28">
        <f t="shared" si="44"/>
        <v>0</v>
      </c>
      <c r="M208" s="2" t="str">
        <f t="shared" si="45"/>
        <v/>
      </c>
      <c r="N208" s="2" t="str">
        <f t="shared" si="46"/>
        <v/>
      </c>
      <c r="O208" s="2">
        <f t="shared" si="47"/>
        <v>1</v>
      </c>
    </row>
    <row r="209" spans="1:15">
      <c r="A209" s="27">
        <v>199</v>
      </c>
      <c r="B209" s="27">
        <v>15</v>
      </c>
      <c r="C209" s="27">
        <v>1</v>
      </c>
      <c r="D209" s="28">
        <f t="shared" si="36"/>
        <v>15</v>
      </c>
      <c r="E209" s="28">
        <f t="shared" si="37"/>
        <v>37.632427290462147</v>
      </c>
      <c r="F209" s="28">
        <f t="shared" si="38"/>
        <v>23.186666666666667</v>
      </c>
      <c r="G209" s="28">
        <f t="shared" si="39"/>
        <v>8.7409060428711882</v>
      </c>
      <c r="H209" s="28">
        <f t="shared" si="40"/>
        <v>-1.7001527742017302</v>
      </c>
      <c r="I209" s="28">
        <f t="shared" si="41"/>
        <v>3.119674929235714</v>
      </c>
      <c r="J209" s="28">
        <f t="shared" si="42"/>
        <v>68.252743918461903</v>
      </c>
      <c r="K209" s="28">
        <f t="shared" si="43"/>
        <v>23.186666666666667</v>
      </c>
      <c r="L209" s="28">
        <f t="shared" si="44"/>
        <v>0</v>
      </c>
      <c r="M209" s="2" t="str">
        <f t="shared" si="45"/>
        <v/>
      </c>
      <c r="N209" s="2" t="str">
        <f t="shared" si="46"/>
        <v/>
      </c>
      <c r="O209" s="2">
        <f t="shared" si="47"/>
        <v>4</v>
      </c>
    </row>
    <row r="210" spans="1:15">
      <c r="A210" s="27">
        <v>200</v>
      </c>
      <c r="B210" s="27">
        <v>25</v>
      </c>
      <c r="C210" s="27">
        <v>1</v>
      </c>
      <c r="D210" s="28">
        <f t="shared" si="36"/>
        <v>25</v>
      </c>
      <c r="E210" s="28">
        <f t="shared" si="37"/>
        <v>37.632427290462147</v>
      </c>
      <c r="F210" s="28">
        <f t="shared" si="38"/>
        <v>23.186666666666667</v>
      </c>
      <c r="G210" s="28">
        <f t="shared" si="39"/>
        <v>8.7409060428711882</v>
      </c>
      <c r="H210" s="28">
        <f t="shared" si="40"/>
        <v>0.37658107050722345</v>
      </c>
      <c r="I210" s="28">
        <f t="shared" si="41"/>
        <v>3.119674929235714</v>
      </c>
      <c r="J210" s="28">
        <f t="shared" si="42"/>
        <v>68.252743918461903</v>
      </c>
      <c r="K210" s="28">
        <f t="shared" si="43"/>
        <v>23.186666666666667</v>
      </c>
      <c r="L210" s="28">
        <f t="shared" si="44"/>
        <v>0</v>
      </c>
      <c r="M210" s="2" t="str">
        <f t="shared" si="45"/>
        <v/>
      </c>
      <c r="N210" s="2" t="str">
        <f t="shared" si="46"/>
        <v/>
      </c>
      <c r="O210" s="2">
        <f t="shared" si="47"/>
        <v>10</v>
      </c>
    </row>
    <row r="211" spans="1:15">
      <c r="A211" s="27">
        <v>201</v>
      </c>
      <c r="B211" s="27">
        <v>18</v>
      </c>
      <c r="C211" s="27">
        <v>1</v>
      </c>
      <c r="D211" s="28">
        <f t="shared" si="36"/>
        <v>18</v>
      </c>
      <c r="E211" s="28">
        <f t="shared" si="37"/>
        <v>37.632427290462147</v>
      </c>
      <c r="F211" s="28">
        <f t="shared" si="38"/>
        <v>23.186666666666667</v>
      </c>
      <c r="G211" s="28">
        <f t="shared" si="39"/>
        <v>8.7409060428711882</v>
      </c>
      <c r="H211" s="28">
        <f t="shared" si="40"/>
        <v>-1.0771326207890441</v>
      </c>
      <c r="I211" s="28">
        <f t="shared" si="41"/>
        <v>3.119674929235714</v>
      </c>
      <c r="J211" s="28">
        <f t="shared" si="42"/>
        <v>68.252743918461903</v>
      </c>
      <c r="K211" s="28">
        <f t="shared" si="43"/>
        <v>23.186666666666667</v>
      </c>
      <c r="L211" s="28">
        <f t="shared" si="44"/>
        <v>0</v>
      </c>
      <c r="M211" s="2" t="str">
        <f t="shared" si="45"/>
        <v/>
      </c>
      <c r="N211" s="2" t="str">
        <f t="shared" si="46"/>
        <v/>
      </c>
      <c r="O211" s="2">
        <f t="shared" si="47"/>
        <v>7</v>
      </c>
    </row>
    <row r="212" spans="1:15">
      <c r="A212" s="27">
        <v>202</v>
      </c>
      <c r="B212" s="27">
        <v>30</v>
      </c>
      <c r="C212" s="27">
        <v>1</v>
      </c>
      <c r="D212" s="28">
        <f t="shared" si="36"/>
        <v>30</v>
      </c>
      <c r="E212" s="28">
        <f t="shared" si="37"/>
        <v>37.632427290462147</v>
      </c>
      <c r="F212" s="28">
        <f t="shared" si="38"/>
        <v>23.186666666666667</v>
      </c>
      <c r="G212" s="28">
        <f t="shared" si="39"/>
        <v>8.7409060428711882</v>
      </c>
      <c r="H212" s="28">
        <f t="shared" si="40"/>
        <v>1.4149479928617004</v>
      </c>
      <c r="I212" s="28">
        <f t="shared" si="41"/>
        <v>3.119674929235714</v>
      </c>
      <c r="J212" s="28">
        <f t="shared" si="42"/>
        <v>68.252743918461903</v>
      </c>
      <c r="K212" s="28">
        <f t="shared" si="43"/>
        <v>23.186666666666667</v>
      </c>
      <c r="L212" s="28">
        <f t="shared" si="44"/>
        <v>0</v>
      </c>
      <c r="M212" s="2" t="str">
        <f t="shared" si="45"/>
        <v/>
      </c>
      <c r="N212" s="2" t="str">
        <f t="shared" si="46"/>
        <v/>
      </c>
      <c r="O212" s="2">
        <f t="shared" si="47"/>
        <v>12</v>
      </c>
    </row>
    <row r="213" spans="1:15">
      <c r="A213" s="27">
        <v>203</v>
      </c>
      <c r="B213" s="27">
        <v>15</v>
      </c>
      <c r="C213" s="27">
        <v>1</v>
      </c>
      <c r="D213" s="28">
        <f t="shared" si="36"/>
        <v>15</v>
      </c>
      <c r="E213" s="28">
        <f t="shared" si="37"/>
        <v>37.632427290462147</v>
      </c>
      <c r="F213" s="28">
        <f t="shared" si="38"/>
        <v>23.186666666666667</v>
      </c>
      <c r="G213" s="28">
        <f t="shared" si="39"/>
        <v>8.7409060428711882</v>
      </c>
      <c r="H213" s="28">
        <f t="shared" si="40"/>
        <v>-1.7001527742017302</v>
      </c>
      <c r="I213" s="28">
        <f t="shared" si="41"/>
        <v>3.119674929235714</v>
      </c>
      <c r="J213" s="28">
        <f t="shared" si="42"/>
        <v>68.252743918461903</v>
      </c>
      <c r="K213" s="28">
        <f t="shared" si="43"/>
        <v>23.186666666666667</v>
      </c>
      <c r="L213" s="28">
        <f t="shared" si="44"/>
        <v>0</v>
      </c>
      <c r="M213" s="2" t="str">
        <f t="shared" si="45"/>
        <v/>
      </c>
      <c r="N213" s="2" t="str">
        <f t="shared" si="46"/>
        <v/>
      </c>
      <c r="O213" s="2">
        <f t="shared" si="47"/>
        <v>15</v>
      </c>
    </row>
    <row r="214" spans="1:15">
      <c r="A214" s="27">
        <v>204</v>
      </c>
      <c r="B214" s="27">
        <v>28</v>
      </c>
      <c r="C214" s="27">
        <v>1</v>
      </c>
      <c r="D214" s="28">
        <f t="shared" si="36"/>
        <v>28</v>
      </c>
      <c r="E214" s="28">
        <f t="shared" si="37"/>
        <v>37.632427290462147</v>
      </c>
      <c r="F214" s="28">
        <f t="shared" si="38"/>
        <v>23.186666666666667</v>
      </c>
      <c r="G214" s="28">
        <f t="shared" si="39"/>
        <v>8.7409060428711882</v>
      </c>
      <c r="H214" s="28">
        <f t="shared" si="40"/>
        <v>0.99960122391990958</v>
      </c>
      <c r="I214" s="28">
        <f t="shared" si="41"/>
        <v>3.119674929235714</v>
      </c>
      <c r="J214" s="28">
        <f t="shared" si="42"/>
        <v>68.252743918461903</v>
      </c>
      <c r="K214" s="28">
        <f t="shared" si="43"/>
        <v>23.186666666666667</v>
      </c>
      <c r="L214" s="28">
        <f t="shared" si="44"/>
        <v>0</v>
      </c>
      <c r="M214" s="2" t="str">
        <f t="shared" si="45"/>
        <v/>
      </c>
      <c r="N214" s="2" t="str">
        <f t="shared" si="46"/>
        <v/>
      </c>
      <c r="O214" s="2">
        <f t="shared" si="47"/>
        <v>13</v>
      </c>
    </row>
    <row r="215" spans="1:15">
      <c r="A215" s="27">
        <v>205</v>
      </c>
      <c r="B215" s="27">
        <v>25</v>
      </c>
      <c r="C215" s="27">
        <v>1</v>
      </c>
      <c r="D215" s="28">
        <f t="shared" si="36"/>
        <v>25</v>
      </c>
      <c r="E215" s="28">
        <f t="shared" si="37"/>
        <v>37.632427290462147</v>
      </c>
      <c r="F215" s="28">
        <f t="shared" si="38"/>
        <v>23.186666666666667</v>
      </c>
      <c r="G215" s="28">
        <f t="shared" si="39"/>
        <v>8.7409060428711882</v>
      </c>
      <c r="H215" s="28">
        <f t="shared" si="40"/>
        <v>0.37658107050722345</v>
      </c>
      <c r="I215" s="28">
        <f t="shared" si="41"/>
        <v>3.119674929235714</v>
      </c>
      <c r="J215" s="28">
        <f t="shared" si="42"/>
        <v>68.252743918461903</v>
      </c>
      <c r="K215" s="28">
        <f t="shared" si="43"/>
        <v>23.186666666666667</v>
      </c>
      <c r="L215" s="28">
        <f t="shared" si="44"/>
        <v>0</v>
      </c>
      <c r="M215" s="2" t="str">
        <f t="shared" si="45"/>
        <v/>
      </c>
      <c r="N215" s="2" t="str">
        <f t="shared" si="46"/>
        <v/>
      </c>
      <c r="O215" s="2">
        <f t="shared" si="47"/>
        <v>3</v>
      </c>
    </row>
    <row r="216" spans="1:15">
      <c r="A216" s="27">
        <v>206</v>
      </c>
      <c r="B216" s="27">
        <v>15</v>
      </c>
      <c r="C216" s="27">
        <v>1</v>
      </c>
      <c r="D216" s="28">
        <f t="shared" si="36"/>
        <v>15</v>
      </c>
      <c r="E216" s="28">
        <f t="shared" si="37"/>
        <v>37.632427290462147</v>
      </c>
      <c r="F216" s="28">
        <f t="shared" si="38"/>
        <v>23.186666666666667</v>
      </c>
      <c r="G216" s="28">
        <f t="shared" si="39"/>
        <v>8.7409060428711882</v>
      </c>
      <c r="H216" s="28">
        <f t="shared" si="40"/>
        <v>-1.7001527742017302</v>
      </c>
      <c r="I216" s="28">
        <f t="shared" si="41"/>
        <v>3.119674929235714</v>
      </c>
      <c r="J216" s="28">
        <f t="shared" si="42"/>
        <v>68.252743918461903</v>
      </c>
      <c r="K216" s="28">
        <f t="shared" si="43"/>
        <v>23.186666666666667</v>
      </c>
      <c r="L216" s="28">
        <f t="shared" si="44"/>
        <v>0</v>
      </c>
      <c r="M216" s="2" t="str">
        <f t="shared" si="45"/>
        <v/>
      </c>
      <c r="N216" s="2" t="str">
        <f t="shared" si="46"/>
        <v/>
      </c>
      <c r="O216" s="2">
        <f t="shared" si="47"/>
        <v>10</v>
      </c>
    </row>
    <row r="217" spans="1:15">
      <c r="A217" s="27">
        <v>207</v>
      </c>
      <c r="B217" s="27">
        <v>26</v>
      </c>
      <c r="C217" s="27">
        <v>1</v>
      </c>
      <c r="D217" s="28">
        <f t="shared" si="36"/>
        <v>26</v>
      </c>
      <c r="E217" s="28">
        <f t="shared" si="37"/>
        <v>37.632427290462147</v>
      </c>
      <c r="F217" s="28">
        <f t="shared" si="38"/>
        <v>23.186666666666667</v>
      </c>
      <c r="G217" s="28">
        <f t="shared" si="39"/>
        <v>8.7409060428711882</v>
      </c>
      <c r="H217" s="28">
        <f t="shared" si="40"/>
        <v>0.58425445497811879</v>
      </c>
      <c r="I217" s="28">
        <f t="shared" si="41"/>
        <v>3.119674929235714</v>
      </c>
      <c r="J217" s="28">
        <f t="shared" si="42"/>
        <v>68.252743918461903</v>
      </c>
      <c r="K217" s="28">
        <f t="shared" si="43"/>
        <v>23.186666666666667</v>
      </c>
      <c r="L217" s="28">
        <f t="shared" si="44"/>
        <v>0</v>
      </c>
      <c r="M217" s="2" t="str">
        <f t="shared" si="45"/>
        <v/>
      </c>
      <c r="N217" s="2" t="str">
        <f t="shared" si="46"/>
        <v/>
      </c>
      <c r="O217" s="2">
        <f t="shared" si="47"/>
        <v>11</v>
      </c>
    </row>
    <row r="218" spans="1:15">
      <c r="A218" s="27">
        <v>208</v>
      </c>
      <c r="B218" s="27">
        <v>45</v>
      </c>
      <c r="C218" s="27">
        <v>1</v>
      </c>
      <c r="D218" s="28">
        <f t="shared" si="36"/>
        <v>45</v>
      </c>
      <c r="E218" s="28">
        <f t="shared" si="37"/>
        <v>37.632427290462147</v>
      </c>
      <c r="F218" s="28">
        <f t="shared" si="38"/>
        <v>23.186666666666667</v>
      </c>
      <c r="G218" s="28">
        <f t="shared" si="39"/>
        <v>8.7409060428711882</v>
      </c>
      <c r="H218" s="28">
        <f t="shared" si="40"/>
        <v>4.5300487599251307</v>
      </c>
      <c r="I218" s="28">
        <f t="shared" si="41"/>
        <v>3.119674929235714</v>
      </c>
      <c r="J218" s="28">
        <f t="shared" si="42"/>
        <v>68.252743918461903</v>
      </c>
      <c r="K218" s="28">
        <f t="shared" si="43"/>
        <v>23.186666666666667</v>
      </c>
      <c r="L218" s="28">
        <f t="shared" si="44"/>
        <v>0</v>
      </c>
      <c r="M218" s="2" t="str">
        <f t="shared" si="45"/>
        <v>Y</v>
      </c>
      <c r="N218" s="2" t="str">
        <f t="shared" si="46"/>
        <v/>
      </c>
      <c r="O218" s="2">
        <f t="shared" si="47"/>
        <v>19</v>
      </c>
    </row>
    <row r="219" spans="1:15">
      <c r="A219" s="27">
        <v>209</v>
      </c>
      <c r="B219" s="27">
        <v>16</v>
      </c>
      <c r="C219" s="27">
        <v>1</v>
      </c>
      <c r="D219" s="28">
        <f t="shared" si="36"/>
        <v>16</v>
      </c>
      <c r="E219" s="28">
        <f t="shared" si="37"/>
        <v>37.632427290462147</v>
      </c>
      <c r="F219" s="28">
        <f t="shared" si="38"/>
        <v>23.186666666666667</v>
      </c>
      <c r="G219" s="28">
        <f t="shared" si="39"/>
        <v>8.7409060428711882</v>
      </c>
      <c r="H219" s="28">
        <f t="shared" si="40"/>
        <v>-1.4924793897308348</v>
      </c>
      <c r="I219" s="28">
        <f t="shared" si="41"/>
        <v>3.119674929235714</v>
      </c>
      <c r="J219" s="28">
        <f t="shared" si="42"/>
        <v>68.252743918461903</v>
      </c>
      <c r="K219" s="28">
        <f t="shared" si="43"/>
        <v>23.186666666666667</v>
      </c>
      <c r="L219" s="28">
        <f t="shared" si="44"/>
        <v>0</v>
      </c>
      <c r="M219" s="2" t="str">
        <f t="shared" si="45"/>
        <v/>
      </c>
      <c r="N219" s="2" t="str">
        <f t="shared" si="46"/>
        <v/>
      </c>
      <c r="O219" s="2">
        <f t="shared" si="47"/>
        <v>29</v>
      </c>
    </row>
    <row r="220" spans="1:15">
      <c r="A220" s="27">
        <v>210</v>
      </c>
      <c r="B220" s="27">
        <v>19</v>
      </c>
      <c r="C220" s="27">
        <v>1</v>
      </c>
      <c r="D220" s="28">
        <f t="shared" si="36"/>
        <v>19</v>
      </c>
      <c r="E220" s="28">
        <f t="shared" si="37"/>
        <v>37.632427290462147</v>
      </c>
      <c r="F220" s="28">
        <f t="shared" si="38"/>
        <v>23.186666666666667</v>
      </c>
      <c r="G220" s="28">
        <f t="shared" si="39"/>
        <v>8.7409060428711882</v>
      </c>
      <c r="H220" s="28">
        <f t="shared" si="40"/>
        <v>-0.8694592363181487</v>
      </c>
      <c r="I220" s="28">
        <f t="shared" si="41"/>
        <v>3.119674929235714</v>
      </c>
      <c r="J220" s="28">
        <f t="shared" si="42"/>
        <v>68.252743918461903</v>
      </c>
      <c r="K220" s="28">
        <f t="shared" si="43"/>
        <v>23.186666666666667</v>
      </c>
      <c r="L220" s="28">
        <f t="shared" si="44"/>
        <v>0</v>
      </c>
      <c r="M220" s="2" t="str">
        <f t="shared" si="45"/>
        <v/>
      </c>
      <c r="N220" s="2" t="str">
        <f t="shared" si="46"/>
        <v/>
      </c>
      <c r="O220" s="2">
        <f t="shared" si="47"/>
        <v>3</v>
      </c>
    </row>
    <row r="221" spans="1:15">
      <c r="A221" s="27">
        <v>211</v>
      </c>
      <c r="B221" s="27">
        <v>22</v>
      </c>
      <c r="C221" s="27">
        <v>1</v>
      </c>
      <c r="D221" s="28">
        <f t="shared" si="36"/>
        <v>22</v>
      </c>
      <c r="E221" s="28">
        <f t="shared" si="37"/>
        <v>37.632427290462147</v>
      </c>
      <c r="F221" s="28">
        <f t="shared" si="38"/>
        <v>23.186666666666667</v>
      </c>
      <c r="G221" s="28">
        <f t="shared" si="39"/>
        <v>8.7409060428711882</v>
      </c>
      <c r="H221" s="28">
        <f t="shared" si="40"/>
        <v>-0.24643908290546265</v>
      </c>
      <c r="I221" s="28">
        <f t="shared" si="41"/>
        <v>3.119674929235714</v>
      </c>
      <c r="J221" s="28">
        <f t="shared" si="42"/>
        <v>68.252743918461903</v>
      </c>
      <c r="K221" s="28">
        <f t="shared" si="43"/>
        <v>23.186666666666667</v>
      </c>
      <c r="L221" s="28">
        <f t="shared" si="44"/>
        <v>0</v>
      </c>
      <c r="M221" s="2" t="str">
        <f t="shared" si="45"/>
        <v/>
      </c>
      <c r="N221" s="2" t="str">
        <f t="shared" si="46"/>
        <v/>
      </c>
      <c r="O221" s="2">
        <f t="shared" si="47"/>
        <v>3</v>
      </c>
    </row>
    <row r="222" spans="1:15">
      <c r="A222" s="27">
        <v>212</v>
      </c>
      <c r="B222" s="27">
        <v>14</v>
      </c>
      <c r="C222" s="27">
        <v>1</v>
      </c>
      <c r="D222" s="28">
        <f t="shared" si="36"/>
        <v>14</v>
      </c>
      <c r="E222" s="28">
        <f t="shared" si="37"/>
        <v>37.632427290462147</v>
      </c>
      <c r="F222" s="28">
        <f t="shared" si="38"/>
        <v>23.186666666666667</v>
      </c>
      <c r="G222" s="28">
        <f t="shared" si="39"/>
        <v>8.7409060428711882</v>
      </c>
      <c r="H222" s="28">
        <f t="shared" si="40"/>
        <v>-1.9078261586726255</v>
      </c>
      <c r="I222" s="28">
        <f t="shared" si="41"/>
        <v>3.119674929235714</v>
      </c>
      <c r="J222" s="28">
        <f t="shared" si="42"/>
        <v>68.252743918461903</v>
      </c>
      <c r="K222" s="28">
        <f t="shared" si="43"/>
        <v>23.186666666666667</v>
      </c>
      <c r="L222" s="28">
        <f t="shared" si="44"/>
        <v>0</v>
      </c>
      <c r="M222" s="2" t="str">
        <f t="shared" si="45"/>
        <v/>
      </c>
      <c r="N222" s="2" t="str">
        <f t="shared" si="46"/>
        <v/>
      </c>
      <c r="O222" s="2">
        <f t="shared" si="47"/>
        <v>8</v>
      </c>
    </row>
    <row r="223" spans="1:15">
      <c r="A223" s="27">
        <v>213</v>
      </c>
      <c r="B223" s="27">
        <v>27</v>
      </c>
      <c r="C223" s="27">
        <v>1</v>
      </c>
      <c r="D223" s="28">
        <f t="shared" si="36"/>
        <v>27</v>
      </c>
      <c r="E223" s="28">
        <f t="shared" si="37"/>
        <v>37.632427290462147</v>
      </c>
      <c r="F223" s="28">
        <f t="shared" si="38"/>
        <v>23.186666666666667</v>
      </c>
      <c r="G223" s="28">
        <f t="shared" si="39"/>
        <v>8.7409060428711882</v>
      </c>
      <c r="H223" s="28">
        <f t="shared" si="40"/>
        <v>0.79192783944901413</v>
      </c>
      <c r="I223" s="28">
        <f t="shared" si="41"/>
        <v>3.119674929235714</v>
      </c>
      <c r="J223" s="28">
        <f t="shared" si="42"/>
        <v>68.252743918461903</v>
      </c>
      <c r="K223" s="28">
        <f t="shared" si="43"/>
        <v>23.186666666666667</v>
      </c>
      <c r="L223" s="28">
        <f t="shared" si="44"/>
        <v>0</v>
      </c>
      <c r="M223" s="2" t="str">
        <f t="shared" si="45"/>
        <v/>
      </c>
      <c r="N223" s="2" t="str">
        <f t="shared" si="46"/>
        <v/>
      </c>
      <c r="O223" s="2">
        <f t="shared" si="47"/>
        <v>13</v>
      </c>
    </row>
    <row r="224" spans="1:15">
      <c r="A224" s="27">
        <v>214</v>
      </c>
      <c r="B224" s="27">
        <v>32</v>
      </c>
      <c r="C224" s="27">
        <v>1</v>
      </c>
      <c r="D224" s="28">
        <f t="shared" si="36"/>
        <v>32</v>
      </c>
      <c r="E224" s="28">
        <f t="shared" si="37"/>
        <v>37.632427290462147</v>
      </c>
      <c r="F224" s="28">
        <f t="shared" si="38"/>
        <v>23.186666666666667</v>
      </c>
      <c r="G224" s="28">
        <f t="shared" si="39"/>
        <v>8.7409060428711882</v>
      </c>
      <c r="H224" s="28">
        <f t="shared" si="40"/>
        <v>1.830294761803491</v>
      </c>
      <c r="I224" s="28">
        <f t="shared" si="41"/>
        <v>3.119674929235714</v>
      </c>
      <c r="J224" s="28">
        <f t="shared" si="42"/>
        <v>68.252743918461903</v>
      </c>
      <c r="K224" s="28">
        <f t="shared" si="43"/>
        <v>23.186666666666667</v>
      </c>
      <c r="L224" s="28">
        <f t="shared" si="44"/>
        <v>0</v>
      </c>
      <c r="M224" s="2" t="str">
        <f t="shared" si="45"/>
        <v/>
      </c>
      <c r="N224" s="2" t="str">
        <f t="shared" si="46"/>
        <v/>
      </c>
      <c r="O224" s="2">
        <f t="shared" si="47"/>
        <v>5</v>
      </c>
    </row>
    <row r="225" spans="1:15">
      <c r="A225" s="27">
        <v>215</v>
      </c>
      <c r="B225" s="27">
        <v>22</v>
      </c>
      <c r="C225" s="27">
        <v>1</v>
      </c>
      <c r="D225" s="28">
        <f t="shared" si="36"/>
        <v>22</v>
      </c>
      <c r="E225" s="28">
        <f t="shared" si="37"/>
        <v>37.632427290462147</v>
      </c>
      <c r="F225" s="28">
        <f t="shared" si="38"/>
        <v>23.186666666666667</v>
      </c>
      <c r="G225" s="28">
        <f t="shared" si="39"/>
        <v>8.7409060428711882</v>
      </c>
      <c r="H225" s="28">
        <f t="shared" si="40"/>
        <v>-0.24643908290546265</v>
      </c>
      <c r="I225" s="28">
        <f t="shared" si="41"/>
        <v>3.119674929235714</v>
      </c>
      <c r="J225" s="28">
        <f t="shared" si="42"/>
        <v>68.252743918461903</v>
      </c>
      <c r="K225" s="28">
        <f t="shared" si="43"/>
        <v>23.186666666666667</v>
      </c>
      <c r="L225" s="28">
        <f t="shared" si="44"/>
        <v>0</v>
      </c>
      <c r="M225" s="2" t="str">
        <f t="shared" si="45"/>
        <v/>
      </c>
      <c r="N225" s="2" t="str">
        <f t="shared" si="46"/>
        <v/>
      </c>
      <c r="O225" s="2">
        <f t="shared" si="47"/>
        <v>10</v>
      </c>
    </row>
    <row r="226" spans="1:15">
      <c r="A226" s="27">
        <v>216</v>
      </c>
      <c r="B226" s="27">
        <v>20</v>
      </c>
      <c r="C226" s="27">
        <v>1</v>
      </c>
      <c r="D226" s="28">
        <f t="shared" si="36"/>
        <v>20</v>
      </c>
      <c r="E226" s="28">
        <f t="shared" si="37"/>
        <v>37.632427290462147</v>
      </c>
      <c r="F226" s="28">
        <f t="shared" si="38"/>
        <v>23.186666666666667</v>
      </c>
      <c r="G226" s="28">
        <f t="shared" si="39"/>
        <v>8.7409060428711882</v>
      </c>
      <c r="H226" s="28">
        <f t="shared" si="40"/>
        <v>-0.66178585184725336</v>
      </c>
      <c r="I226" s="28">
        <f t="shared" si="41"/>
        <v>3.119674929235714</v>
      </c>
      <c r="J226" s="28">
        <f t="shared" si="42"/>
        <v>68.252743918461903</v>
      </c>
      <c r="K226" s="28">
        <f t="shared" si="43"/>
        <v>23.186666666666667</v>
      </c>
      <c r="L226" s="28">
        <f t="shared" si="44"/>
        <v>0</v>
      </c>
      <c r="M226" s="2" t="str">
        <f t="shared" si="45"/>
        <v/>
      </c>
      <c r="N226" s="2" t="str">
        <f t="shared" si="46"/>
        <v/>
      </c>
      <c r="O226" s="2">
        <f t="shared" si="47"/>
        <v>2</v>
      </c>
    </row>
    <row r="227" spans="1:15">
      <c r="A227" s="27">
        <v>217</v>
      </c>
      <c r="B227" s="27">
        <v>15</v>
      </c>
      <c r="C227" s="27">
        <v>1</v>
      </c>
      <c r="D227" s="28">
        <f t="shared" si="36"/>
        <v>15</v>
      </c>
      <c r="E227" s="28">
        <f t="shared" si="37"/>
        <v>37.632427290462147</v>
      </c>
      <c r="F227" s="28">
        <f t="shared" si="38"/>
        <v>23.186666666666667</v>
      </c>
      <c r="G227" s="28">
        <f t="shared" si="39"/>
        <v>8.7409060428711882</v>
      </c>
      <c r="H227" s="28">
        <f t="shared" si="40"/>
        <v>-1.7001527742017302</v>
      </c>
      <c r="I227" s="28">
        <f t="shared" si="41"/>
        <v>3.119674929235714</v>
      </c>
      <c r="J227" s="28">
        <f t="shared" si="42"/>
        <v>68.252743918461903</v>
      </c>
      <c r="K227" s="28">
        <f t="shared" si="43"/>
        <v>23.186666666666667</v>
      </c>
      <c r="L227" s="28">
        <f t="shared" si="44"/>
        <v>0</v>
      </c>
      <c r="M227" s="2" t="str">
        <f t="shared" si="45"/>
        <v/>
      </c>
      <c r="N227" s="2" t="str">
        <f t="shared" si="46"/>
        <v/>
      </c>
      <c r="O227" s="2">
        <f t="shared" si="47"/>
        <v>5</v>
      </c>
    </row>
    <row r="228" spans="1:15">
      <c r="A228" s="27">
        <v>218</v>
      </c>
      <c r="B228" s="27">
        <v>20</v>
      </c>
      <c r="C228" s="27">
        <v>1</v>
      </c>
      <c r="D228" s="28">
        <f t="shared" si="36"/>
        <v>20</v>
      </c>
      <c r="E228" s="28">
        <f t="shared" si="37"/>
        <v>37.632427290462147</v>
      </c>
      <c r="F228" s="28">
        <f t="shared" si="38"/>
        <v>23.186666666666667</v>
      </c>
      <c r="G228" s="28">
        <f t="shared" si="39"/>
        <v>8.7409060428711882</v>
      </c>
      <c r="H228" s="28">
        <f t="shared" si="40"/>
        <v>-0.66178585184725336</v>
      </c>
      <c r="I228" s="28">
        <f t="shared" si="41"/>
        <v>3.119674929235714</v>
      </c>
      <c r="J228" s="28">
        <f t="shared" si="42"/>
        <v>68.252743918461903</v>
      </c>
      <c r="K228" s="28">
        <f t="shared" si="43"/>
        <v>23.186666666666667</v>
      </c>
      <c r="L228" s="28">
        <f t="shared" si="44"/>
        <v>0</v>
      </c>
      <c r="M228" s="2" t="str">
        <f t="shared" si="45"/>
        <v/>
      </c>
      <c r="N228" s="2" t="str">
        <f t="shared" si="46"/>
        <v/>
      </c>
      <c r="O228" s="2">
        <f t="shared" si="47"/>
        <v>5</v>
      </c>
    </row>
    <row r="229" spans="1:15">
      <c r="A229" s="27">
        <v>219</v>
      </c>
      <c r="B229" s="27">
        <v>19</v>
      </c>
      <c r="C229" s="27">
        <v>1</v>
      </c>
      <c r="D229" s="28">
        <f t="shared" si="36"/>
        <v>19</v>
      </c>
      <c r="E229" s="28">
        <f t="shared" si="37"/>
        <v>37.632427290462147</v>
      </c>
      <c r="F229" s="28">
        <f t="shared" si="38"/>
        <v>23.186666666666667</v>
      </c>
      <c r="G229" s="28">
        <f t="shared" si="39"/>
        <v>8.7409060428711882</v>
      </c>
      <c r="H229" s="28">
        <f t="shared" si="40"/>
        <v>-0.8694592363181487</v>
      </c>
      <c r="I229" s="28">
        <f t="shared" si="41"/>
        <v>3.119674929235714</v>
      </c>
      <c r="J229" s="28">
        <f t="shared" si="42"/>
        <v>68.252743918461903</v>
      </c>
      <c r="K229" s="28">
        <f t="shared" si="43"/>
        <v>23.186666666666667</v>
      </c>
      <c r="L229" s="28">
        <f t="shared" si="44"/>
        <v>0</v>
      </c>
      <c r="M229" s="2" t="str">
        <f t="shared" si="45"/>
        <v/>
      </c>
      <c r="N229" s="2" t="str">
        <f t="shared" si="46"/>
        <v/>
      </c>
      <c r="O229" s="2">
        <f t="shared" si="47"/>
        <v>1</v>
      </c>
    </row>
    <row r="230" spans="1:15">
      <c r="A230" s="27">
        <v>220</v>
      </c>
      <c r="B230" s="27">
        <v>20</v>
      </c>
      <c r="C230" s="27">
        <v>1</v>
      </c>
      <c r="D230" s="28">
        <f t="shared" si="36"/>
        <v>20</v>
      </c>
      <c r="E230" s="28">
        <f t="shared" si="37"/>
        <v>37.632427290462147</v>
      </c>
      <c r="F230" s="28">
        <f t="shared" si="38"/>
        <v>23.186666666666667</v>
      </c>
      <c r="G230" s="28">
        <f t="shared" si="39"/>
        <v>8.7409060428711882</v>
      </c>
      <c r="H230" s="28">
        <f t="shared" si="40"/>
        <v>-0.66178585184725336</v>
      </c>
      <c r="I230" s="28">
        <f t="shared" si="41"/>
        <v>3.119674929235714</v>
      </c>
      <c r="J230" s="28">
        <f t="shared" si="42"/>
        <v>68.252743918461903</v>
      </c>
      <c r="K230" s="28">
        <f t="shared" si="43"/>
        <v>23.186666666666667</v>
      </c>
      <c r="L230" s="28">
        <f t="shared" si="44"/>
        <v>0</v>
      </c>
      <c r="M230" s="2" t="str">
        <f t="shared" si="45"/>
        <v/>
      </c>
      <c r="N230" s="2" t="str">
        <f t="shared" si="46"/>
        <v/>
      </c>
      <c r="O230" s="2">
        <f t="shared" si="47"/>
        <v>1</v>
      </c>
    </row>
    <row r="231" spans="1:15">
      <c r="A231" s="27">
        <v>221</v>
      </c>
      <c r="B231" s="27">
        <v>19</v>
      </c>
      <c r="C231" s="27">
        <v>1</v>
      </c>
      <c r="D231" s="28">
        <f t="shared" si="36"/>
        <v>19</v>
      </c>
      <c r="E231" s="28">
        <f t="shared" si="37"/>
        <v>37.632427290462147</v>
      </c>
      <c r="F231" s="28">
        <f t="shared" si="38"/>
        <v>23.186666666666667</v>
      </c>
      <c r="G231" s="28">
        <f t="shared" si="39"/>
        <v>8.7409060428711882</v>
      </c>
      <c r="H231" s="28">
        <f t="shared" si="40"/>
        <v>-0.8694592363181487</v>
      </c>
      <c r="I231" s="28">
        <f t="shared" si="41"/>
        <v>3.119674929235714</v>
      </c>
      <c r="J231" s="28">
        <f t="shared" si="42"/>
        <v>68.252743918461903</v>
      </c>
      <c r="K231" s="28">
        <f t="shared" si="43"/>
        <v>23.186666666666667</v>
      </c>
      <c r="L231" s="28">
        <f t="shared" si="44"/>
        <v>0</v>
      </c>
      <c r="M231" s="2" t="str">
        <f t="shared" si="45"/>
        <v/>
      </c>
      <c r="N231" s="2" t="str">
        <f t="shared" si="46"/>
        <v/>
      </c>
      <c r="O231" s="2">
        <f t="shared" si="47"/>
        <v>1</v>
      </c>
    </row>
    <row r="232" spans="1:15">
      <c r="A232" s="27">
        <v>222</v>
      </c>
      <c r="B232" s="27">
        <v>15</v>
      </c>
      <c r="C232" s="27">
        <v>1</v>
      </c>
      <c r="D232" s="28">
        <f t="shared" si="36"/>
        <v>15</v>
      </c>
      <c r="E232" s="28">
        <f t="shared" si="37"/>
        <v>37.632427290462147</v>
      </c>
      <c r="F232" s="28">
        <f t="shared" si="38"/>
        <v>23.186666666666667</v>
      </c>
      <c r="G232" s="28">
        <f t="shared" si="39"/>
        <v>8.7409060428711882</v>
      </c>
      <c r="H232" s="28">
        <f t="shared" si="40"/>
        <v>-1.7001527742017302</v>
      </c>
      <c r="I232" s="28">
        <f t="shared" si="41"/>
        <v>3.119674929235714</v>
      </c>
      <c r="J232" s="28">
        <f t="shared" si="42"/>
        <v>68.252743918461903</v>
      </c>
      <c r="K232" s="28">
        <f t="shared" si="43"/>
        <v>23.186666666666667</v>
      </c>
      <c r="L232" s="28">
        <f t="shared" si="44"/>
        <v>0</v>
      </c>
      <c r="M232" s="2" t="str">
        <f t="shared" si="45"/>
        <v/>
      </c>
      <c r="N232" s="2" t="str">
        <f t="shared" si="46"/>
        <v/>
      </c>
      <c r="O232" s="2">
        <f t="shared" si="47"/>
        <v>4</v>
      </c>
    </row>
    <row r="233" spans="1:15">
      <c r="A233" s="27">
        <v>223</v>
      </c>
      <c r="B233" s="27">
        <v>7</v>
      </c>
      <c r="C233" s="27">
        <v>1</v>
      </c>
      <c r="D233" s="28">
        <f t="shared" si="36"/>
        <v>7</v>
      </c>
      <c r="E233" s="28">
        <f t="shared" si="37"/>
        <v>37.632427290462147</v>
      </c>
      <c r="F233" s="28">
        <f t="shared" si="38"/>
        <v>23.186666666666667</v>
      </c>
      <c r="G233" s="28">
        <f t="shared" si="39"/>
        <v>8.7409060428711882</v>
      </c>
      <c r="H233" s="28">
        <f t="shared" si="40"/>
        <v>-3.3615398499688931</v>
      </c>
      <c r="I233" s="28">
        <f t="shared" si="41"/>
        <v>3.119674929235714</v>
      </c>
      <c r="J233" s="28">
        <f t="shared" si="42"/>
        <v>68.252743918461903</v>
      </c>
      <c r="K233" s="28">
        <f t="shared" si="43"/>
        <v>23.186666666666667</v>
      </c>
      <c r="L233" s="28">
        <f t="shared" si="44"/>
        <v>0</v>
      </c>
      <c r="M233" s="2" t="str">
        <f t="shared" si="45"/>
        <v>Y</v>
      </c>
      <c r="N233" s="2" t="str">
        <f t="shared" si="46"/>
        <v/>
      </c>
      <c r="O233" s="2">
        <f t="shared" si="47"/>
        <v>8</v>
      </c>
    </row>
    <row r="234" spans="1:15">
      <c r="A234" s="27">
        <v>224</v>
      </c>
      <c r="B234" s="27">
        <v>18</v>
      </c>
      <c r="C234" s="27">
        <v>1</v>
      </c>
      <c r="D234" s="28">
        <f t="shared" si="36"/>
        <v>18</v>
      </c>
      <c r="E234" s="28">
        <f t="shared" si="37"/>
        <v>37.632427290462147</v>
      </c>
      <c r="F234" s="28">
        <f t="shared" si="38"/>
        <v>23.186666666666667</v>
      </c>
      <c r="G234" s="28">
        <f t="shared" si="39"/>
        <v>8.7409060428711882</v>
      </c>
      <c r="H234" s="28">
        <f t="shared" si="40"/>
        <v>-1.0771326207890441</v>
      </c>
      <c r="I234" s="28">
        <f t="shared" si="41"/>
        <v>3.119674929235714</v>
      </c>
      <c r="J234" s="28">
        <f t="shared" si="42"/>
        <v>68.252743918461903</v>
      </c>
      <c r="K234" s="28">
        <f t="shared" si="43"/>
        <v>23.186666666666667</v>
      </c>
      <c r="L234" s="28">
        <f t="shared" si="44"/>
        <v>0</v>
      </c>
      <c r="M234" s="2" t="str">
        <f t="shared" si="45"/>
        <v/>
      </c>
      <c r="N234" s="2" t="str">
        <f t="shared" si="46"/>
        <v/>
      </c>
      <c r="O234" s="2">
        <f t="shared" si="47"/>
        <v>11</v>
      </c>
    </row>
    <row r="235" spans="1:15">
      <c r="A235" s="27">
        <v>225</v>
      </c>
      <c r="B235" s="27">
        <v>31</v>
      </c>
      <c r="C235" s="27">
        <v>1</v>
      </c>
      <c r="D235" s="28">
        <f t="shared" si="36"/>
        <v>31</v>
      </c>
      <c r="E235" s="28">
        <f t="shared" si="37"/>
        <v>37.632427290462147</v>
      </c>
      <c r="F235" s="28">
        <f t="shared" si="38"/>
        <v>23.186666666666667</v>
      </c>
      <c r="G235" s="28">
        <f t="shared" si="39"/>
        <v>8.7409060428711882</v>
      </c>
      <c r="H235" s="28">
        <f t="shared" si="40"/>
        <v>1.6226213773325957</v>
      </c>
      <c r="I235" s="28">
        <f t="shared" si="41"/>
        <v>3.119674929235714</v>
      </c>
      <c r="J235" s="28">
        <f t="shared" si="42"/>
        <v>68.252743918461903</v>
      </c>
      <c r="K235" s="28">
        <f t="shared" si="43"/>
        <v>23.186666666666667</v>
      </c>
      <c r="L235" s="28">
        <f t="shared" si="44"/>
        <v>0</v>
      </c>
      <c r="M235" s="2" t="str">
        <f t="shared" si="45"/>
        <v/>
      </c>
      <c r="N235" s="2" t="str">
        <f t="shared" si="46"/>
        <v/>
      </c>
      <c r="O235" s="2">
        <f t="shared" si="47"/>
        <v>13</v>
      </c>
    </row>
    <row r="236" spans="1:15">
      <c r="A236" s="27">
        <v>226</v>
      </c>
      <c r="B236" s="27">
        <v>25</v>
      </c>
      <c r="C236" s="27">
        <v>1</v>
      </c>
      <c r="D236" s="28">
        <f t="shared" si="36"/>
        <v>25</v>
      </c>
      <c r="E236" s="28">
        <f t="shared" si="37"/>
        <v>37.632427290462147</v>
      </c>
      <c r="F236" s="28">
        <f t="shared" si="38"/>
        <v>23.186666666666667</v>
      </c>
      <c r="G236" s="28">
        <f t="shared" si="39"/>
        <v>8.7409060428711882</v>
      </c>
      <c r="H236" s="28">
        <f t="shared" si="40"/>
        <v>0.37658107050722345</v>
      </c>
      <c r="I236" s="28">
        <f t="shared" si="41"/>
        <v>3.119674929235714</v>
      </c>
      <c r="J236" s="28">
        <f t="shared" si="42"/>
        <v>68.252743918461903</v>
      </c>
      <c r="K236" s="28">
        <f t="shared" si="43"/>
        <v>23.186666666666667</v>
      </c>
      <c r="L236" s="28">
        <f t="shared" si="44"/>
        <v>0</v>
      </c>
      <c r="M236" s="2" t="str">
        <f t="shared" si="45"/>
        <v/>
      </c>
      <c r="N236" s="2" t="str">
        <f t="shared" si="46"/>
        <v/>
      </c>
      <c r="O236" s="2">
        <f t="shared" si="47"/>
        <v>6</v>
      </c>
    </row>
    <row r="237" spans="1:15">
      <c r="A237" s="27">
        <v>227</v>
      </c>
      <c r="B237" s="27">
        <v>24</v>
      </c>
      <c r="C237" s="27">
        <v>1</v>
      </c>
      <c r="D237" s="28">
        <f t="shared" si="36"/>
        <v>24</v>
      </c>
      <c r="E237" s="28">
        <f t="shared" si="37"/>
        <v>37.632427290462147</v>
      </c>
      <c r="F237" s="28">
        <f t="shared" si="38"/>
        <v>23.186666666666667</v>
      </c>
      <c r="G237" s="28">
        <f t="shared" si="39"/>
        <v>8.7409060428711882</v>
      </c>
      <c r="H237" s="28">
        <f t="shared" si="40"/>
        <v>0.16890768603632808</v>
      </c>
      <c r="I237" s="28">
        <f t="shared" si="41"/>
        <v>3.119674929235714</v>
      </c>
      <c r="J237" s="28">
        <f t="shared" si="42"/>
        <v>68.252743918461903</v>
      </c>
      <c r="K237" s="28">
        <f t="shared" si="43"/>
        <v>23.186666666666667</v>
      </c>
      <c r="L237" s="28">
        <f t="shared" si="44"/>
        <v>0</v>
      </c>
      <c r="M237" s="2" t="str">
        <f t="shared" si="45"/>
        <v/>
      </c>
      <c r="N237" s="2" t="str">
        <f t="shared" si="46"/>
        <v/>
      </c>
      <c r="O237" s="2">
        <f t="shared" si="47"/>
        <v>1</v>
      </c>
    </row>
    <row r="238" spans="1:15">
      <c r="A238" s="27">
        <v>228</v>
      </c>
      <c r="B238" s="27">
        <v>16</v>
      </c>
      <c r="C238" s="27">
        <v>1</v>
      </c>
      <c r="D238" s="28">
        <f t="shared" si="36"/>
        <v>16</v>
      </c>
      <c r="E238" s="28">
        <f t="shared" si="37"/>
        <v>37.632427290462147</v>
      </c>
      <c r="F238" s="28">
        <f t="shared" si="38"/>
        <v>23.186666666666667</v>
      </c>
      <c r="G238" s="28">
        <f t="shared" si="39"/>
        <v>8.7409060428711882</v>
      </c>
      <c r="H238" s="28">
        <f t="shared" si="40"/>
        <v>-1.4924793897308348</v>
      </c>
      <c r="I238" s="28">
        <f t="shared" si="41"/>
        <v>3.119674929235714</v>
      </c>
      <c r="J238" s="28">
        <f t="shared" si="42"/>
        <v>68.252743918461903</v>
      </c>
      <c r="K238" s="28">
        <f t="shared" si="43"/>
        <v>23.186666666666667</v>
      </c>
      <c r="L238" s="28">
        <f t="shared" si="44"/>
        <v>0</v>
      </c>
      <c r="M238" s="2" t="str">
        <f t="shared" si="45"/>
        <v/>
      </c>
      <c r="N238" s="2" t="str">
        <f t="shared" si="46"/>
        <v/>
      </c>
      <c r="O238" s="2">
        <f t="shared" si="47"/>
        <v>8</v>
      </c>
    </row>
    <row r="239" spans="1:15">
      <c r="A239" s="27">
        <v>229</v>
      </c>
      <c r="B239" s="27">
        <v>37</v>
      </c>
      <c r="C239" s="27">
        <v>1</v>
      </c>
      <c r="D239" s="28">
        <f t="shared" si="36"/>
        <v>37</v>
      </c>
      <c r="E239" s="28">
        <f t="shared" si="37"/>
        <v>37.632427290462147</v>
      </c>
      <c r="F239" s="28">
        <f t="shared" si="38"/>
        <v>23.186666666666667</v>
      </c>
      <c r="G239" s="28">
        <f t="shared" si="39"/>
        <v>8.7409060428711882</v>
      </c>
      <c r="H239" s="28">
        <f t="shared" si="40"/>
        <v>2.868661684157968</v>
      </c>
      <c r="I239" s="28">
        <f t="shared" si="41"/>
        <v>3.119674929235714</v>
      </c>
      <c r="J239" s="28">
        <f t="shared" si="42"/>
        <v>68.252743918461903</v>
      </c>
      <c r="K239" s="28">
        <f t="shared" si="43"/>
        <v>23.186666666666667</v>
      </c>
      <c r="L239" s="28">
        <f t="shared" si="44"/>
        <v>0</v>
      </c>
      <c r="M239" s="2" t="str">
        <f t="shared" si="45"/>
        <v/>
      </c>
      <c r="N239" s="2" t="str">
        <f t="shared" si="46"/>
        <v/>
      </c>
      <c r="O239" s="2">
        <f t="shared" si="47"/>
        <v>21</v>
      </c>
    </row>
    <row r="240" spans="1:15">
      <c r="A240" s="27">
        <v>230</v>
      </c>
      <c r="B240" s="27">
        <v>23</v>
      </c>
      <c r="C240" s="27">
        <v>1</v>
      </c>
      <c r="D240" s="28">
        <f t="shared" si="36"/>
        <v>23</v>
      </c>
      <c r="E240" s="28">
        <f t="shared" si="37"/>
        <v>37.632427290462147</v>
      </c>
      <c r="F240" s="28">
        <f t="shared" si="38"/>
        <v>23.186666666666667</v>
      </c>
      <c r="G240" s="28">
        <f t="shared" si="39"/>
        <v>8.7409060428711882</v>
      </c>
      <c r="H240" s="28">
        <f t="shared" si="40"/>
        <v>-3.8765698434567293E-2</v>
      </c>
      <c r="I240" s="28">
        <f t="shared" si="41"/>
        <v>3.119674929235714</v>
      </c>
      <c r="J240" s="28">
        <f t="shared" si="42"/>
        <v>68.252743918461903</v>
      </c>
      <c r="K240" s="28">
        <f t="shared" si="43"/>
        <v>23.186666666666667</v>
      </c>
      <c r="L240" s="28">
        <f t="shared" si="44"/>
        <v>0</v>
      </c>
      <c r="M240" s="2" t="str">
        <f t="shared" si="45"/>
        <v/>
      </c>
      <c r="N240" s="2" t="str">
        <f t="shared" si="46"/>
        <v/>
      </c>
      <c r="O240" s="2">
        <f t="shared" si="47"/>
        <v>14</v>
      </c>
    </row>
    <row r="241" spans="1:15">
      <c r="A241" s="27">
        <v>231</v>
      </c>
      <c r="B241" s="27">
        <v>58</v>
      </c>
      <c r="C241" s="27">
        <v>1</v>
      </c>
      <c r="D241" s="28">
        <f t="shared" si="36"/>
        <v>58</v>
      </c>
      <c r="E241" s="28">
        <f t="shared" si="37"/>
        <v>37.632427290462147</v>
      </c>
      <c r="F241" s="28">
        <f t="shared" si="38"/>
        <v>23.186666666666667</v>
      </c>
      <c r="G241" s="28">
        <f t="shared" si="39"/>
        <v>8.7409060428711882</v>
      </c>
      <c r="H241" s="28">
        <f t="shared" si="40"/>
        <v>7.2298027580467705</v>
      </c>
      <c r="I241" s="28">
        <f t="shared" si="41"/>
        <v>3.119674929235714</v>
      </c>
      <c r="J241" s="28">
        <f t="shared" si="42"/>
        <v>68.252743918461903</v>
      </c>
      <c r="K241" s="28">
        <f t="shared" si="43"/>
        <v>23.186666666666667</v>
      </c>
      <c r="L241" s="28">
        <f t="shared" si="44"/>
        <v>0</v>
      </c>
      <c r="M241" s="2" t="str">
        <f t="shared" si="45"/>
        <v>Y</v>
      </c>
      <c r="N241" s="2" t="str">
        <f t="shared" si="46"/>
        <v/>
      </c>
      <c r="O241" s="2">
        <f t="shared" si="47"/>
        <v>35</v>
      </c>
    </row>
    <row r="242" spans="1:15">
      <c r="A242" s="27">
        <v>232</v>
      </c>
      <c r="B242" s="27">
        <v>14</v>
      </c>
      <c r="C242" s="27">
        <v>1</v>
      </c>
      <c r="D242" s="28">
        <f t="shared" si="36"/>
        <v>14</v>
      </c>
      <c r="E242" s="28">
        <f t="shared" si="37"/>
        <v>37.632427290462147</v>
      </c>
      <c r="F242" s="28">
        <f t="shared" si="38"/>
        <v>23.186666666666667</v>
      </c>
      <c r="G242" s="28">
        <f t="shared" si="39"/>
        <v>8.7409060428711882</v>
      </c>
      <c r="H242" s="28">
        <f t="shared" si="40"/>
        <v>-1.9078261586726255</v>
      </c>
      <c r="I242" s="28">
        <f t="shared" si="41"/>
        <v>3.119674929235714</v>
      </c>
      <c r="J242" s="28">
        <f t="shared" si="42"/>
        <v>68.252743918461903</v>
      </c>
      <c r="K242" s="28">
        <f t="shared" si="43"/>
        <v>23.186666666666667</v>
      </c>
      <c r="L242" s="28">
        <f t="shared" si="44"/>
        <v>0</v>
      </c>
      <c r="M242" s="2" t="str">
        <f t="shared" si="45"/>
        <v/>
      </c>
      <c r="N242" s="2" t="str">
        <f t="shared" si="46"/>
        <v/>
      </c>
      <c r="O242" s="2">
        <f t="shared" si="47"/>
        <v>44</v>
      </c>
    </row>
    <row r="243" spans="1:15">
      <c r="A243" s="27">
        <v>233</v>
      </c>
      <c r="B243" s="27">
        <v>20</v>
      </c>
      <c r="C243" s="27">
        <v>1</v>
      </c>
      <c r="D243" s="28">
        <f t="shared" si="36"/>
        <v>20</v>
      </c>
      <c r="E243" s="28">
        <f t="shared" si="37"/>
        <v>37.632427290462147</v>
      </c>
      <c r="F243" s="28">
        <f t="shared" si="38"/>
        <v>23.186666666666667</v>
      </c>
      <c r="G243" s="28">
        <f t="shared" si="39"/>
        <v>8.7409060428711882</v>
      </c>
      <c r="H243" s="28">
        <f t="shared" si="40"/>
        <v>-0.66178585184725336</v>
      </c>
      <c r="I243" s="28">
        <f t="shared" si="41"/>
        <v>3.119674929235714</v>
      </c>
      <c r="J243" s="28">
        <f t="shared" si="42"/>
        <v>68.252743918461903</v>
      </c>
      <c r="K243" s="28">
        <f t="shared" si="43"/>
        <v>23.186666666666667</v>
      </c>
      <c r="L243" s="28">
        <f t="shared" si="44"/>
        <v>0</v>
      </c>
      <c r="M243" s="2" t="str">
        <f t="shared" si="45"/>
        <v/>
      </c>
      <c r="N243" s="2" t="str">
        <f t="shared" si="46"/>
        <v/>
      </c>
      <c r="O243" s="2">
        <f t="shared" si="47"/>
        <v>6</v>
      </c>
    </row>
    <row r="244" spans="1:15">
      <c r="A244" s="27">
        <v>234</v>
      </c>
      <c r="B244" s="27">
        <v>11</v>
      </c>
      <c r="C244" s="27">
        <v>1</v>
      </c>
      <c r="D244" s="28">
        <f t="shared" si="36"/>
        <v>11</v>
      </c>
      <c r="E244" s="28">
        <f t="shared" si="37"/>
        <v>37.632427290462147</v>
      </c>
      <c r="F244" s="28">
        <f t="shared" si="38"/>
        <v>23.186666666666667</v>
      </c>
      <c r="G244" s="28">
        <f t="shared" si="39"/>
        <v>8.7409060428711882</v>
      </c>
      <c r="H244" s="28">
        <f t="shared" si="40"/>
        <v>-2.5308463120853117</v>
      </c>
      <c r="I244" s="28">
        <f t="shared" si="41"/>
        <v>3.119674929235714</v>
      </c>
      <c r="J244" s="28">
        <f t="shared" si="42"/>
        <v>68.252743918461903</v>
      </c>
      <c r="K244" s="28">
        <f t="shared" si="43"/>
        <v>23.186666666666667</v>
      </c>
      <c r="L244" s="28">
        <f t="shared" si="44"/>
        <v>0</v>
      </c>
      <c r="M244" s="2" t="str">
        <f t="shared" si="45"/>
        <v/>
      </c>
      <c r="N244" s="2" t="str">
        <f t="shared" si="46"/>
        <v/>
      </c>
      <c r="O244" s="2">
        <f t="shared" si="47"/>
        <v>9</v>
      </c>
    </row>
    <row r="245" spans="1:15">
      <c r="A245" s="27">
        <v>235</v>
      </c>
      <c r="B245" s="27">
        <v>14</v>
      </c>
      <c r="C245" s="27">
        <v>1</v>
      </c>
      <c r="D245" s="28">
        <f t="shared" si="36"/>
        <v>14</v>
      </c>
      <c r="E245" s="28">
        <f t="shared" si="37"/>
        <v>37.632427290462147</v>
      </c>
      <c r="F245" s="28">
        <f t="shared" si="38"/>
        <v>23.186666666666667</v>
      </c>
      <c r="G245" s="28">
        <f t="shared" si="39"/>
        <v>8.7409060428711882</v>
      </c>
      <c r="H245" s="28">
        <f t="shared" si="40"/>
        <v>-1.9078261586726255</v>
      </c>
      <c r="I245" s="28">
        <f t="shared" si="41"/>
        <v>3.119674929235714</v>
      </c>
      <c r="J245" s="28">
        <f t="shared" si="42"/>
        <v>68.252743918461903</v>
      </c>
      <c r="K245" s="28">
        <f t="shared" si="43"/>
        <v>23.186666666666667</v>
      </c>
      <c r="L245" s="28">
        <f t="shared" si="44"/>
        <v>0</v>
      </c>
      <c r="M245" s="2" t="str">
        <f t="shared" si="45"/>
        <v/>
      </c>
      <c r="N245" s="2" t="str">
        <f t="shared" si="46"/>
        <v/>
      </c>
      <c r="O245" s="2">
        <f t="shared" si="47"/>
        <v>3</v>
      </c>
    </row>
    <row r="246" spans="1:15">
      <c r="A246" s="27">
        <v>236</v>
      </c>
      <c r="B246" s="27">
        <v>19</v>
      </c>
      <c r="C246" s="27">
        <v>1</v>
      </c>
      <c r="D246" s="28">
        <f t="shared" si="36"/>
        <v>19</v>
      </c>
      <c r="E246" s="28">
        <f t="shared" si="37"/>
        <v>37.632427290462147</v>
      </c>
      <c r="F246" s="28">
        <f t="shared" si="38"/>
        <v>23.186666666666667</v>
      </c>
      <c r="G246" s="28">
        <f t="shared" si="39"/>
        <v>8.7409060428711882</v>
      </c>
      <c r="H246" s="28">
        <f t="shared" si="40"/>
        <v>-0.8694592363181487</v>
      </c>
      <c r="I246" s="28">
        <f t="shared" si="41"/>
        <v>3.119674929235714</v>
      </c>
      <c r="J246" s="28">
        <f t="shared" si="42"/>
        <v>68.252743918461903</v>
      </c>
      <c r="K246" s="28">
        <f t="shared" si="43"/>
        <v>23.186666666666667</v>
      </c>
      <c r="L246" s="28">
        <f t="shared" si="44"/>
        <v>0</v>
      </c>
      <c r="M246" s="2" t="str">
        <f t="shared" si="45"/>
        <v/>
      </c>
      <c r="N246" s="2" t="str">
        <f t="shared" si="46"/>
        <v/>
      </c>
      <c r="O246" s="2">
        <f t="shared" si="47"/>
        <v>5</v>
      </c>
    </row>
    <row r="247" spans="1:15">
      <c r="A247" s="27">
        <v>237</v>
      </c>
      <c r="B247" s="27">
        <v>24</v>
      </c>
      <c r="C247" s="27">
        <v>1</v>
      </c>
      <c r="D247" s="28">
        <f t="shared" si="36"/>
        <v>24</v>
      </c>
      <c r="E247" s="28">
        <f t="shared" si="37"/>
        <v>37.632427290462147</v>
      </c>
      <c r="F247" s="28">
        <f t="shared" si="38"/>
        <v>23.186666666666667</v>
      </c>
      <c r="G247" s="28">
        <f t="shared" si="39"/>
        <v>8.7409060428711882</v>
      </c>
      <c r="H247" s="28">
        <f t="shared" si="40"/>
        <v>0.16890768603632808</v>
      </c>
      <c r="I247" s="28">
        <f t="shared" si="41"/>
        <v>3.119674929235714</v>
      </c>
      <c r="J247" s="28">
        <f t="shared" si="42"/>
        <v>68.252743918461903</v>
      </c>
      <c r="K247" s="28">
        <f t="shared" si="43"/>
        <v>23.186666666666667</v>
      </c>
      <c r="L247" s="28">
        <f t="shared" si="44"/>
        <v>0</v>
      </c>
      <c r="M247" s="2" t="str">
        <f t="shared" si="45"/>
        <v/>
      </c>
      <c r="N247" s="2" t="str">
        <f t="shared" si="46"/>
        <v/>
      </c>
      <c r="O247" s="2">
        <f t="shared" si="47"/>
        <v>5</v>
      </c>
    </row>
    <row r="248" spans="1:15">
      <c r="A248" s="27">
        <v>238</v>
      </c>
      <c r="B248" s="27">
        <v>23</v>
      </c>
      <c r="C248" s="27">
        <v>1</v>
      </c>
      <c r="D248" s="28">
        <f t="shared" si="36"/>
        <v>23</v>
      </c>
      <c r="E248" s="28">
        <f t="shared" si="37"/>
        <v>37.632427290462147</v>
      </c>
      <c r="F248" s="28">
        <f t="shared" si="38"/>
        <v>23.186666666666667</v>
      </c>
      <c r="G248" s="28">
        <f t="shared" si="39"/>
        <v>8.7409060428711882</v>
      </c>
      <c r="H248" s="28">
        <f t="shared" si="40"/>
        <v>-3.8765698434567293E-2</v>
      </c>
      <c r="I248" s="28">
        <f t="shared" si="41"/>
        <v>3.119674929235714</v>
      </c>
      <c r="J248" s="28">
        <f t="shared" si="42"/>
        <v>68.252743918461903</v>
      </c>
      <c r="K248" s="28">
        <f t="shared" si="43"/>
        <v>23.186666666666667</v>
      </c>
      <c r="L248" s="28">
        <f t="shared" si="44"/>
        <v>0</v>
      </c>
      <c r="M248" s="2" t="str">
        <f t="shared" si="45"/>
        <v/>
      </c>
      <c r="N248" s="2" t="str">
        <f t="shared" si="46"/>
        <v/>
      </c>
      <c r="O248" s="2">
        <f t="shared" si="47"/>
        <v>1</v>
      </c>
    </row>
    <row r="249" spans="1:15">
      <c r="A249" s="27">
        <v>239</v>
      </c>
      <c r="B249" s="27">
        <v>27</v>
      </c>
      <c r="C249" s="27">
        <v>1</v>
      </c>
      <c r="D249" s="28">
        <f t="shared" si="36"/>
        <v>27</v>
      </c>
      <c r="E249" s="28">
        <f t="shared" si="37"/>
        <v>37.632427290462147</v>
      </c>
      <c r="F249" s="28">
        <f t="shared" si="38"/>
        <v>23.186666666666667</v>
      </c>
      <c r="G249" s="28">
        <f t="shared" si="39"/>
        <v>8.7409060428711882</v>
      </c>
      <c r="H249" s="28">
        <f t="shared" si="40"/>
        <v>0.79192783944901413</v>
      </c>
      <c r="I249" s="28">
        <f t="shared" si="41"/>
        <v>3.119674929235714</v>
      </c>
      <c r="J249" s="28">
        <f t="shared" si="42"/>
        <v>68.252743918461903</v>
      </c>
      <c r="K249" s="28">
        <f t="shared" si="43"/>
        <v>23.186666666666667</v>
      </c>
      <c r="L249" s="28">
        <f t="shared" si="44"/>
        <v>0</v>
      </c>
      <c r="M249" s="2" t="str">
        <f t="shared" si="45"/>
        <v/>
      </c>
      <c r="N249" s="2" t="str">
        <f t="shared" si="46"/>
        <v/>
      </c>
      <c r="O249" s="2">
        <f t="shared" si="47"/>
        <v>4</v>
      </c>
    </row>
    <row r="250" spans="1:15">
      <c r="A250" s="27">
        <v>240</v>
      </c>
      <c r="B250" s="27">
        <v>18</v>
      </c>
      <c r="C250" s="27">
        <v>1</v>
      </c>
      <c r="D250" s="28">
        <f t="shared" si="36"/>
        <v>18</v>
      </c>
      <c r="E250" s="28">
        <f t="shared" si="37"/>
        <v>37.632427290462147</v>
      </c>
      <c r="F250" s="28">
        <f t="shared" si="38"/>
        <v>23.186666666666667</v>
      </c>
      <c r="G250" s="28">
        <f t="shared" si="39"/>
        <v>8.7409060428711882</v>
      </c>
      <c r="H250" s="28">
        <f t="shared" si="40"/>
        <v>-1.0771326207890441</v>
      </c>
      <c r="I250" s="28">
        <f t="shared" si="41"/>
        <v>3.119674929235714</v>
      </c>
      <c r="J250" s="28">
        <f t="shared" si="42"/>
        <v>68.252743918461903</v>
      </c>
      <c r="K250" s="28">
        <f t="shared" si="43"/>
        <v>23.186666666666667</v>
      </c>
      <c r="L250" s="28">
        <f t="shared" si="44"/>
        <v>0</v>
      </c>
      <c r="M250" s="2" t="str">
        <f t="shared" si="45"/>
        <v/>
      </c>
      <c r="N250" s="2" t="str">
        <f t="shared" si="46"/>
        <v/>
      </c>
      <c r="O250" s="2">
        <f t="shared" si="47"/>
        <v>9</v>
      </c>
    </row>
    <row r="251" spans="1:15">
      <c r="A251" s="27">
        <v>241</v>
      </c>
      <c r="B251" s="27">
        <v>30</v>
      </c>
      <c r="C251" s="27">
        <v>1</v>
      </c>
      <c r="D251" s="28">
        <f t="shared" si="36"/>
        <v>30</v>
      </c>
      <c r="E251" s="28">
        <f t="shared" si="37"/>
        <v>37.632427290462147</v>
      </c>
      <c r="F251" s="28">
        <f t="shared" si="38"/>
        <v>23.186666666666667</v>
      </c>
      <c r="G251" s="28">
        <f t="shared" si="39"/>
        <v>8.7409060428711882</v>
      </c>
      <c r="H251" s="28">
        <f t="shared" si="40"/>
        <v>1.4149479928617004</v>
      </c>
      <c r="I251" s="28">
        <f t="shared" si="41"/>
        <v>3.119674929235714</v>
      </c>
      <c r="J251" s="28">
        <f t="shared" si="42"/>
        <v>68.252743918461903</v>
      </c>
      <c r="K251" s="28">
        <f t="shared" si="43"/>
        <v>23.186666666666667</v>
      </c>
      <c r="L251" s="28">
        <f t="shared" si="44"/>
        <v>0</v>
      </c>
      <c r="M251" s="2" t="str">
        <f t="shared" si="45"/>
        <v/>
      </c>
      <c r="N251" s="2" t="str">
        <f t="shared" si="46"/>
        <v/>
      </c>
      <c r="O251" s="2">
        <f t="shared" si="47"/>
        <v>12</v>
      </c>
    </row>
    <row r="252" spans="1:15">
      <c r="A252" s="27">
        <v>242</v>
      </c>
      <c r="B252" s="27">
        <v>20</v>
      </c>
      <c r="C252" s="27">
        <v>1</v>
      </c>
      <c r="D252" s="28">
        <f t="shared" si="36"/>
        <v>20</v>
      </c>
      <c r="E252" s="28">
        <f t="shared" si="37"/>
        <v>37.632427290462147</v>
      </c>
      <c r="F252" s="28">
        <f t="shared" si="38"/>
        <v>23.186666666666667</v>
      </c>
      <c r="G252" s="28">
        <f t="shared" si="39"/>
        <v>8.7409060428711882</v>
      </c>
      <c r="H252" s="28">
        <f t="shared" si="40"/>
        <v>-0.66178585184725336</v>
      </c>
      <c r="I252" s="28">
        <f t="shared" si="41"/>
        <v>3.119674929235714</v>
      </c>
      <c r="J252" s="28">
        <f t="shared" si="42"/>
        <v>68.252743918461903</v>
      </c>
      <c r="K252" s="28">
        <f t="shared" si="43"/>
        <v>23.186666666666667</v>
      </c>
      <c r="L252" s="28">
        <f t="shared" si="44"/>
        <v>0</v>
      </c>
      <c r="M252" s="2" t="str">
        <f t="shared" si="45"/>
        <v/>
      </c>
      <c r="N252" s="2" t="str">
        <f t="shared" si="46"/>
        <v/>
      </c>
      <c r="O252" s="2">
        <f t="shared" si="47"/>
        <v>10</v>
      </c>
    </row>
    <row r="253" spans="1:15">
      <c r="A253" s="27">
        <v>243</v>
      </c>
      <c r="B253" s="27">
        <v>16</v>
      </c>
      <c r="C253" s="27">
        <v>1</v>
      </c>
      <c r="D253" s="28">
        <f t="shared" si="36"/>
        <v>16</v>
      </c>
      <c r="E253" s="28">
        <f t="shared" si="37"/>
        <v>37.632427290462147</v>
      </c>
      <c r="F253" s="28">
        <f t="shared" si="38"/>
        <v>23.186666666666667</v>
      </c>
      <c r="G253" s="28">
        <f t="shared" si="39"/>
        <v>8.7409060428711882</v>
      </c>
      <c r="H253" s="28">
        <f t="shared" si="40"/>
        <v>-1.4924793897308348</v>
      </c>
      <c r="I253" s="28">
        <f t="shared" si="41"/>
        <v>3.119674929235714</v>
      </c>
      <c r="J253" s="28">
        <f t="shared" si="42"/>
        <v>68.252743918461903</v>
      </c>
      <c r="K253" s="28">
        <f t="shared" si="43"/>
        <v>23.186666666666667</v>
      </c>
      <c r="L253" s="28">
        <f t="shared" si="44"/>
        <v>0</v>
      </c>
      <c r="M253" s="2" t="str">
        <f t="shared" si="45"/>
        <v/>
      </c>
      <c r="N253" s="2" t="str">
        <f t="shared" si="46"/>
        <v/>
      </c>
      <c r="O253" s="2">
        <f t="shared" si="47"/>
        <v>4</v>
      </c>
    </row>
    <row r="254" spans="1:15">
      <c r="A254" s="27">
        <v>244</v>
      </c>
      <c r="B254" s="27">
        <v>56</v>
      </c>
      <c r="C254" s="27">
        <v>1</v>
      </c>
      <c r="D254" s="28">
        <f t="shared" si="36"/>
        <v>56</v>
      </c>
      <c r="E254" s="28">
        <f t="shared" si="37"/>
        <v>37.632427290462147</v>
      </c>
      <c r="F254" s="28">
        <f t="shared" si="38"/>
        <v>23.186666666666667</v>
      </c>
      <c r="G254" s="28">
        <f t="shared" si="39"/>
        <v>8.7409060428711882</v>
      </c>
      <c r="H254" s="28">
        <f t="shared" si="40"/>
        <v>6.8144559891049798</v>
      </c>
      <c r="I254" s="28">
        <f t="shared" si="41"/>
        <v>3.119674929235714</v>
      </c>
      <c r="J254" s="28">
        <f t="shared" si="42"/>
        <v>68.252743918461903</v>
      </c>
      <c r="K254" s="28">
        <f t="shared" si="43"/>
        <v>23.186666666666667</v>
      </c>
      <c r="L254" s="28">
        <f t="shared" si="44"/>
        <v>0</v>
      </c>
      <c r="M254" s="2" t="str">
        <f t="shared" si="45"/>
        <v>Y</v>
      </c>
      <c r="N254" s="2" t="str">
        <f t="shared" si="46"/>
        <v/>
      </c>
      <c r="O254" s="2">
        <f t="shared" si="47"/>
        <v>40</v>
      </c>
    </row>
    <row r="255" spans="1:15">
      <c r="A255" s="27">
        <v>245</v>
      </c>
      <c r="B255" s="27">
        <v>48</v>
      </c>
      <c r="C255" s="27">
        <v>1</v>
      </c>
      <c r="D255" s="28">
        <f t="shared" si="36"/>
        <v>48</v>
      </c>
      <c r="E255" s="28">
        <f t="shared" si="37"/>
        <v>37.632427290462147</v>
      </c>
      <c r="F255" s="28">
        <f t="shared" si="38"/>
        <v>23.186666666666667</v>
      </c>
      <c r="G255" s="28">
        <f t="shared" si="39"/>
        <v>8.7409060428711882</v>
      </c>
      <c r="H255" s="28">
        <f t="shared" si="40"/>
        <v>5.1530689133378171</v>
      </c>
      <c r="I255" s="28">
        <f t="shared" si="41"/>
        <v>3.119674929235714</v>
      </c>
      <c r="J255" s="28">
        <f t="shared" si="42"/>
        <v>68.252743918461903</v>
      </c>
      <c r="K255" s="28">
        <f t="shared" si="43"/>
        <v>23.186666666666667</v>
      </c>
      <c r="L255" s="28">
        <f t="shared" si="44"/>
        <v>0</v>
      </c>
      <c r="M255" s="2" t="str">
        <f t="shared" si="45"/>
        <v>Y</v>
      </c>
      <c r="N255" s="2" t="str">
        <f t="shared" si="46"/>
        <v/>
      </c>
      <c r="O255" s="2">
        <f t="shared" si="47"/>
        <v>8</v>
      </c>
    </row>
    <row r="256" spans="1:15">
      <c r="A256" s="27">
        <v>246</v>
      </c>
      <c r="B256" s="27">
        <v>33</v>
      </c>
      <c r="C256" s="27">
        <v>1</v>
      </c>
      <c r="D256" s="28">
        <f t="shared" si="36"/>
        <v>33</v>
      </c>
      <c r="E256" s="28">
        <f t="shared" si="37"/>
        <v>37.632427290462147</v>
      </c>
      <c r="F256" s="28">
        <f t="shared" si="38"/>
        <v>23.186666666666667</v>
      </c>
      <c r="G256" s="28">
        <f t="shared" si="39"/>
        <v>8.7409060428711882</v>
      </c>
      <c r="H256" s="28">
        <f t="shared" si="40"/>
        <v>2.0379681462743862</v>
      </c>
      <c r="I256" s="28">
        <f t="shared" si="41"/>
        <v>3.119674929235714</v>
      </c>
      <c r="J256" s="28">
        <f t="shared" si="42"/>
        <v>68.252743918461903</v>
      </c>
      <c r="K256" s="28">
        <f t="shared" si="43"/>
        <v>23.186666666666667</v>
      </c>
      <c r="L256" s="28">
        <f t="shared" si="44"/>
        <v>0</v>
      </c>
      <c r="M256" s="2" t="str">
        <f t="shared" si="45"/>
        <v/>
      </c>
      <c r="N256" s="2" t="str">
        <f t="shared" si="46"/>
        <v/>
      </c>
      <c r="O256" s="2">
        <f t="shared" si="47"/>
        <v>15</v>
      </c>
    </row>
    <row r="257" spans="1:15">
      <c r="A257" s="27">
        <v>247</v>
      </c>
      <c r="B257" s="27">
        <v>63</v>
      </c>
      <c r="C257" s="27">
        <v>1</v>
      </c>
      <c r="D257" s="28">
        <f t="shared" si="36"/>
        <v>63</v>
      </c>
      <c r="E257" s="28">
        <f t="shared" si="37"/>
        <v>37.632427290462147</v>
      </c>
      <c r="F257" s="28">
        <f t="shared" si="38"/>
        <v>23.186666666666667</v>
      </c>
      <c r="G257" s="28">
        <f t="shared" si="39"/>
        <v>8.7409060428711882</v>
      </c>
      <c r="H257" s="28">
        <f t="shared" si="40"/>
        <v>8.2681696804012468</v>
      </c>
      <c r="I257" s="28">
        <f t="shared" si="41"/>
        <v>3.119674929235714</v>
      </c>
      <c r="J257" s="28">
        <f t="shared" si="42"/>
        <v>68.252743918461903</v>
      </c>
      <c r="K257" s="28">
        <f t="shared" si="43"/>
        <v>23.186666666666667</v>
      </c>
      <c r="L257" s="28">
        <f t="shared" si="44"/>
        <v>0</v>
      </c>
      <c r="M257" s="2" t="str">
        <f t="shared" si="45"/>
        <v>Y</v>
      </c>
      <c r="N257" s="2" t="str">
        <f t="shared" si="46"/>
        <v/>
      </c>
      <c r="O257" s="2">
        <f t="shared" si="47"/>
        <v>30</v>
      </c>
    </row>
    <row r="258" spans="1:15">
      <c r="A258" s="27">
        <v>248</v>
      </c>
      <c r="B258" s="27">
        <v>54</v>
      </c>
      <c r="C258" s="27">
        <v>1</v>
      </c>
      <c r="D258" s="28">
        <f t="shared" si="36"/>
        <v>54</v>
      </c>
      <c r="E258" s="28">
        <f t="shared" si="37"/>
        <v>37.632427290462147</v>
      </c>
      <c r="F258" s="28">
        <f t="shared" si="38"/>
        <v>23.186666666666667</v>
      </c>
      <c r="G258" s="28">
        <f t="shared" si="39"/>
        <v>8.7409060428711882</v>
      </c>
      <c r="H258" s="28">
        <f t="shared" si="40"/>
        <v>6.3991092201631892</v>
      </c>
      <c r="I258" s="28">
        <f t="shared" si="41"/>
        <v>3.119674929235714</v>
      </c>
      <c r="J258" s="28">
        <f t="shared" si="42"/>
        <v>68.252743918461903</v>
      </c>
      <c r="K258" s="28">
        <f t="shared" si="43"/>
        <v>23.186666666666667</v>
      </c>
      <c r="L258" s="28">
        <f t="shared" si="44"/>
        <v>0</v>
      </c>
      <c r="M258" s="2" t="str">
        <f t="shared" si="45"/>
        <v>Y</v>
      </c>
      <c r="N258" s="2" t="str">
        <f t="shared" si="46"/>
        <v/>
      </c>
      <c r="O258" s="2">
        <f t="shared" si="47"/>
        <v>9</v>
      </c>
    </row>
    <row r="259" spans="1:15">
      <c r="A259" s="27">
        <v>249</v>
      </c>
      <c r="B259" s="27">
        <v>44</v>
      </c>
      <c r="C259" s="27">
        <v>1</v>
      </c>
      <c r="D259" s="28">
        <f t="shared" si="36"/>
        <v>44</v>
      </c>
      <c r="E259" s="28">
        <f t="shared" si="37"/>
        <v>37.632427290462147</v>
      </c>
      <c r="F259" s="28">
        <f t="shared" si="38"/>
        <v>23.186666666666667</v>
      </c>
      <c r="G259" s="28">
        <f t="shared" si="39"/>
        <v>8.7409060428711882</v>
      </c>
      <c r="H259" s="28">
        <f t="shared" si="40"/>
        <v>4.3223753754542358</v>
      </c>
      <c r="I259" s="28">
        <f t="shared" si="41"/>
        <v>3.119674929235714</v>
      </c>
      <c r="J259" s="28">
        <f t="shared" si="42"/>
        <v>68.252743918461903</v>
      </c>
      <c r="K259" s="28">
        <f t="shared" si="43"/>
        <v>23.186666666666667</v>
      </c>
      <c r="L259" s="28">
        <f t="shared" si="44"/>
        <v>0</v>
      </c>
      <c r="M259" s="2" t="str">
        <f t="shared" si="45"/>
        <v>Y</v>
      </c>
      <c r="N259" s="2" t="str">
        <f t="shared" si="46"/>
        <v/>
      </c>
      <c r="O259" s="2">
        <f t="shared" si="47"/>
        <v>10</v>
      </c>
    </row>
    <row r="260" spans="1:15">
      <c r="A260" s="27">
        <v>250</v>
      </c>
      <c r="B260" s="27">
        <v>25</v>
      </c>
      <c r="C260" s="27">
        <v>1</v>
      </c>
      <c r="D260" s="28">
        <f t="shared" si="36"/>
        <v>25</v>
      </c>
      <c r="E260" s="28">
        <f t="shared" si="37"/>
        <v>37.632427290462147</v>
      </c>
      <c r="F260" s="28">
        <f t="shared" si="38"/>
        <v>23.186666666666667</v>
      </c>
      <c r="G260" s="28">
        <f t="shared" si="39"/>
        <v>8.7409060428711882</v>
      </c>
      <c r="H260" s="28">
        <f t="shared" si="40"/>
        <v>0.37658107050722345</v>
      </c>
      <c r="I260" s="28">
        <f t="shared" si="41"/>
        <v>3.119674929235714</v>
      </c>
      <c r="J260" s="28">
        <f t="shared" si="42"/>
        <v>68.252743918461903</v>
      </c>
      <c r="K260" s="28">
        <f t="shared" si="43"/>
        <v>23.186666666666667</v>
      </c>
      <c r="L260" s="28">
        <f t="shared" si="44"/>
        <v>0</v>
      </c>
      <c r="M260" s="2" t="str">
        <f t="shared" si="45"/>
        <v/>
      </c>
      <c r="N260" s="2" t="str">
        <f t="shared" si="46"/>
        <v/>
      </c>
      <c r="O260" s="2">
        <f t="shared" si="47"/>
        <v>19</v>
      </c>
    </row>
    <row r="261" spans="1:15">
      <c r="A261" s="27">
        <v>251</v>
      </c>
      <c r="B261" s="27">
        <v>11</v>
      </c>
      <c r="C261" s="27">
        <v>1</v>
      </c>
      <c r="D261" s="28">
        <f t="shared" si="36"/>
        <v>11</v>
      </c>
      <c r="E261" s="28">
        <f t="shared" si="37"/>
        <v>37.632427290462147</v>
      </c>
      <c r="F261" s="28">
        <f t="shared" si="38"/>
        <v>23.186666666666667</v>
      </c>
      <c r="G261" s="28">
        <f t="shared" si="39"/>
        <v>8.7409060428711882</v>
      </c>
      <c r="H261" s="28">
        <f t="shared" si="40"/>
        <v>-2.5308463120853117</v>
      </c>
      <c r="I261" s="28">
        <f t="shared" si="41"/>
        <v>3.119674929235714</v>
      </c>
      <c r="J261" s="28">
        <f t="shared" si="42"/>
        <v>68.252743918461903</v>
      </c>
      <c r="K261" s="28">
        <f t="shared" si="43"/>
        <v>23.186666666666667</v>
      </c>
      <c r="L261" s="28">
        <f t="shared" si="44"/>
        <v>0</v>
      </c>
      <c r="M261" s="2" t="str">
        <f t="shared" si="45"/>
        <v/>
      </c>
      <c r="N261" s="2" t="str">
        <f t="shared" si="46"/>
        <v/>
      </c>
      <c r="O261" s="2">
        <f t="shared" si="47"/>
        <v>14</v>
      </c>
    </row>
    <row r="262" spans="1:15">
      <c r="A262" s="27">
        <v>252</v>
      </c>
      <c r="B262" s="27">
        <v>25</v>
      </c>
      <c r="C262" s="27">
        <v>1</v>
      </c>
      <c r="D262" s="28">
        <f t="shared" si="36"/>
        <v>25</v>
      </c>
      <c r="E262" s="28">
        <f t="shared" si="37"/>
        <v>37.632427290462147</v>
      </c>
      <c r="F262" s="28">
        <f t="shared" si="38"/>
        <v>23.186666666666667</v>
      </c>
      <c r="G262" s="28">
        <f t="shared" si="39"/>
        <v>8.7409060428711882</v>
      </c>
      <c r="H262" s="28">
        <f t="shared" si="40"/>
        <v>0.37658107050722345</v>
      </c>
      <c r="I262" s="28">
        <f t="shared" si="41"/>
        <v>3.119674929235714</v>
      </c>
      <c r="J262" s="28">
        <f t="shared" si="42"/>
        <v>68.252743918461903</v>
      </c>
      <c r="K262" s="28">
        <f t="shared" si="43"/>
        <v>23.186666666666667</v>
      </c>
      <c r="L262" s="28">
        <f t="shared" si="44"/>
        <v>0</v>
      </c>
      <c r="M262" s="2" t="str">
        <f t="shared" si="45"/>
        <v/>
      </c>
      <c r="N262" s="2" t="str">
        <f t="shared" si="46"/>
        <v/>
      </c>
      <c r="O262" s="2">
        <f t="shared" si="47"/>
        <v>14</v>
      </c>
    </row>
    <row r="263" spans="1:15">
      <c r="A263" s="27">
        <v>253</v>
      </c>
      <c r="B263" s="27">
        <v>13</v>
      </c>
      <c r="C263" s="27">
        <v>1</v>
      </c>
      <c r="D263" s="28">
        <f t="shared" si="36"/>
        <v>13</v>
      </c>
      <c r="E263" s="28">
        <f t="shared" si="37"/>
        <v>37.632427290462147</v>
      </c>
      <c r="F263" s="28">
        <f t="shared" si="38"/>
        <v>23.186666666666667</v>
      </c>
      <c r="G263" s="28">
        <f t="shared" si="39"/>
        <v>8.7409060428711882</v>
      </c>
      <c r="H263" s="28">
        <f t="shared" si="40"/>
        <v>-2.1154995431435211</v>
      </c>
      <c r="I263" s="28">
        <f t="shared" si="41"/>
        <v>3.119674929235714</v>
      </c>
      <c r="J263" s="28">
        <f t="shared" si="42"/>
        <v>68.252743918461903</v>
      </c>
      <c r="K263" s="28">
        <f t="shared" si="43"/>
        <v>23.186666666666667</v>
      </c>
      <c r="L263" s="28">
        <f t="shared" si="44"/>
        <v>0</v>
      </c>
      <c r="M263" s="2" t="str">
        <f t="shared" si="45"/>
        <v/>
      </c>
      <c r="N263" s="2" t="str">
        <f t="shared" si="46"/>
        <v/>
      </c>
      <c r="O263" s="2">
        <f t="shared" si="47"/>
        <v>12</v>
      </c>
    </row>
    <row r="264" spans="1:15">
      <c r="A264" s="27">
        <v>254</v>
      </c>
      <c r="B264" s="27">
        <v>10</v>
      </c>
      <c r="C264" s="27">
        <v>1</v>
      </c>
      <c r="D264" s="28">
        <f t="shared" si="36"/>
        <v>10</v>
      </c>
      <c r="E264" s="28">
        <f t="shared" si="37"/>
        <v>37.632427290462147</v>
      </c>
      <c r="F264" s="28">
        <f t="shared" si="38"/>
        <v>23.186666666666667</v>
      </c>
      <c r="G264" s="28">
        <f t="shared" si="39"/>
        <v>8.7409060428711882</v>
      </c>
      <c r="H264" s="28">
        <f t="shared" si="40"/>
        <v>-2.7385196965562071</v>
      </c>
      <c r="I264" s="28">
        <f t="shared" si="41"/>
        <v>3.119674929235714</v>
      </c>
      <c r="J264" s="28">
        <f t="shared" si="42"/>
        <v>68.252743918461903</v>
      </c>
      <c r="K264" s="28">
        <f t="shared" si="43"/>
        <v>23.186666666666667</v>
      </c>
      <c r="L264" s="28">
        <f t="shared" si="44"/>
        <v>0</v>
      </c>
      <c r="M264" s="2" t="str">
        <f t="shared" si="45"/>
        <v/>
      </c>
      <c r="N264" s="2" t="str">
        <f t="shared" si="46"/>
        <v/>
      </c>
      <c r="O264" s="2">
        <f t="shared" si="47"/>
        <v>3</v>
      </c>
    </row>
    <row r="265" spans="1:15">
      <c r="A265" s="27">
        <v>255</v>
      </c>
      <c r="B265" s="27">
        <v>20</v>
      </c>
      <c r="C265" s="27">
        <v>1</v>
      </c>
      <c r="D265" s="28">
        <f t="shared" si="36"/>
        <v>20</v>
      </c>
      <c r="E265" s="28">
        <f t="shared" si="37"/>
        <v>37.632427290462147</v>
      </c>
      <c r="F265" s="28">
        <f t="shared" si="38"/>
        <v>23.186666666666667</v>
      </c>
      <c r="G265" s="28">
        <f t="shared" si="39"/>
        <v>8.7409060428711882</v>
      </c>
      <c r="H265" s="28">
        <f t="shared" si="40"/>
        <v>-0.66178585184725336</v>
      </c>
      <c r="I265" s="28">
        <f t="shared" si="41"/>
        <v>3.119674929235714</v>
      </c>
      <c r="J265" s="28">
        <f t="shared" si="42"/>
        <v>68.252743918461903</v>
      </c>
      <c r="K265" s="28">
        <f t="shared" si="43"/>
        <v>23.186666666666667</v>
      </c>
      <c r="L265" s="28">
        <f t="shared" si="44"/>
        <v>0</v>
      </c>
      <c r="M265" s="2" t="str">
        <f t="shared" si="45"/>
        <v/>
      </c>
      <c r="N265" s="2" t="str">
        <f t="shared" si="46"/>
        <v/>
      </c>
      <c r="O265" s="2">
        <f t="shared" si="47"/>
        <v>10</v>
      </c>
    </row>
    <row r="266" spans="1:15">
      <c r="A266" s="27">
        <v>256</v>
      </c>
      <c r="B266" s="27">
        <v>14</v>
      </c>
      <c r="C266" s="27">
        <v>1</v>
      </c>
      <c r="D266" s="28">
        <f t="shared" si="36"/>
        <v>14</v>
      </c>
      <c r="E266" s="28">
        <f t="shared" si="37"/>
        <v>37.632427290462147</v>
      </c>
      <c r="F266" s="28">
        <f t="shared" si="38"/>
        <v>23.186666666666667</v>
      </c>
      <c r="G266" s="28">
        <f t="shared" si="39"/>
        <v>8.7409060428711882</v>
      </c>
      <c r="H266" s="28">
        <f t="shared" si="40"/>
        <v>-1.9078261586726255</v>
      </c>
      <c r="I266" s="28">
        <f t="shared" si="41"/>
        <v>3.119674929235714</v>
      </c>
      <c r="J266" s="28">
        <f t="shared" si="42"/>
        <v>68.252743918461903</v>
      </c>
      <c r="K266" s="28">
        <f t="shared" si="43"/>
        <v>23.186666666666667</v>
      </c>
      <c r="L266" s="28">
        <f t="shared" si="44"/>
        <v>0</v>
      </c>
      <c r="M266" s="2" t="str">
        <f t="shared" si="45"/>
        <v/>
      </c>
      <c r="N266" s="2" t="str">
        <f t="shared" si="46"/>
        <v/>
      </c>
      <c r="O266" s="2">
        <f t="shared" si="47"/>
        <v>6</v>
      </c>
    </row>
    <row r="267" spans="1:15">
      <c r="A267" s="27">
        <v>257</v>
      </c>
      <c r="B267" s="27">
        <v>14</v>
      </c>
      <c r="C267" s="27">
        <v>1</v>
      </c>
      <c r="D267" s="28">
        <f t="shared" ref="D267:D330" si="48">IF(C267=0,"",B267/C267)</f>
        <v>14</v>
      </c>
      <c r="E267" s="28">
        <f t="shared" ref="E267:E330" si="49">IF(C267=0,"",$F$5+3*SQRT($F$5/C267))</f>
        <v>37.632427290462147</v>
      </c>
      <c r="F267" s="28">
        <f t="shared" ref="F267:F330" si="50">$F$5</f>
        <v>23.186666666666667</v>
      </c>
      <c r="G267" s="28">
        <f t="shared" ref="G267:G330" si="51">IF(C267=0,"",MAX(0,$F$5-3*SQRT($F$5/C267)))</f>
        <v>8.7409060428711882</v>
      </c>
      <c r="H267" s="28">
        <f t="shared" ref="H267:H330" si="52">IF(C267=0,"",(D267-$F$5)/SQRT($F$5/C267))</f>
        <v>-1.9078261586726255</v>
      </c>
      <c r="I267" s="28">
        <f t="shared" ref="I267:I330" si="53">$F$6</f>
        <v>3.119674929235714</v>
      </c>
      <c r="J267" s="28">
        <f t="shared" ref="J267:J330" si="54">IF(C267=0,"",$F$5+3*$F$6*SQRT($F$5/C267))</f>
        <v>68.252743918461903</v>
      </c>
      <c r="K267" s="28">
        <f t="shared" ref="K267:K330" si="55">$F$5</f>
        <v>23.186666666666667</v>
      </c>
      <c r="L267" s="28">
        <f t="shared" ref="L267:L330" si="56">IF(C267=0,"",MAX(0,$F$5-3*$F$6*SQRT($F$5/C267)))</f>
        <v>0</v>
      </c>
      <c r="M267" s="2" t="str">
        <f t="shared" ref="M267:M330" si="57">IF(OR(D267&gt;E267,D267&lt;G267),"Y","")</f>
        <v/>
      </c>
      <c r="N267" s="2" t="str">
        <f t="shared" ref="N267:N330" si="58">IF(OR(D267&gt;J267,D267&lt;L267),"Y","")</f>
        <v/>
      </c>
      <c r="O267" s="2">
        <f t="shared" si="47"/>
        <v>0</v>
      </c>
    </row>
    <row r="268" spans="1:15">
      <c r="A268" s="27">
        <v>258</v>
      </c>
      <c r="B268" s="27">
        <v>14</v>
      </c>
      <c r="C268" s="27">
        <v>1</v>
      </c>
      <c r="D268" s="28">
        <f t="shared" si="48"/>
        <v>14</v>
      </c>
      <c r="E268" s="28">
        <f t="shared" si="49"/>
        <v>37.632427290462147</v>
      </c>
      <c r="F268" s="28">
        <f t="shared" si="50"/>
        <v>23.186666666666667</v>
      </c>
      <c r="G268" s="28">
        <f t="shared" si="51"/>
        <v>8.7409060428711882</v>
      </c>
      <c r="H268" s="28">
        <f t="shared" si="52"/>
        <v>-1.9078261586726255</v>
      </c>
      <c r="I268" s="28">
        <f t="shared" si="53"/>
        <v>3.119674929235714</v>
      </c>
      <c r="J268" s="28">
        <f t="shared" si="54"/>
        <v>68.252743918461903</v>
      </c>
      <c r="K268" s="28">
        <f t="shared" si="55"/>
        <v>23.186666666666667</v>
      </c>
      <c r="L268" s="28">
        <f t="shared" si="56"/>
        <v>0</v>
      </c>
      <c r="M268" s="2" t="str">
        <f t="shared" si="57"/>
        <v/>
      </c>
      <c r="N268" s="2" t="str">
        <f t="shared" si="58"/>
        <v/>
      </c>
      <c r="O268" s="2">
        <f t="shared" ref="O268:O331" si="59">ABS(D268-D267)</f>
        <v>0</v>
      </c>
    </row>
    <row r="269" spans="1:15">
      <c r="A269" s="27">
        <v>259</v>
      </c>
      <c r="B269" s="27">
        <v>44</v>
      </c>
      <c r="C269" s="27">
        <v>1</v>
      </c>
      <c r="D269" s="28">
        <f t="shared" si="48"/>
        <v>44</v>
      </c>
      <c r="E269" s="28">
        <f t="shared" si="49"/>
        <v>37.632427290462147</v>
      </c>
      <c r="F269" s="28">
        <f t="shared" si="50"/>
        <v>23.186666666666667</v>
      </c>
      <c r="G269" s="28">
        <f t="shared" si="51"/>
        <v>8.7409060428711882</v>
      </c>
      <c r="H269" s="28">
        <f t="shared" si="52"/>
        <v>4.3223753754542358</v>
      </c>
      <c r="I269" s="28">
        <f t="shared" si="53"/>
        <v>3.119674929235714</v>
      </c>
      <c r="J269" s="28">
        <f t="shared" si="54"/>
        <v>68.252743918461903</v>
      </c>
      <c r="K269" s="28">
        <f t="shared" si="55"/>
        <v>23.186666666666667</v>
      </c>
      <c r="L269" s="28">
        <f t="shared" si="56"/>
        <v>0</v>
      </c>
      <c r="M269" s="2" t="str">
        <f t="shared" si="57"/>
        <v>Y</v>
      </c>
      <c r="N269" s="2" t="str">
        <f t="shared" si="58"/>
        <v/>
      </c>
      <c r="O269" s="2">
        <f t="shared" si="59"/>
        <v>30</v>
      </c>
    </row>
    <row r="270" spans="1:15">
      <c r="A270" s="27">
        <v>260</v>
      </c>
      <c r="B270" s="27">
        <v>37</v>
      </c>
      <c r="C270" s="27">
        <v>1</v>
      </c>
      <c r="D270" s="28">
        <f t="shared" si="48"/>
        <v>37</v>
      </c>
      <c r="E270" s="28">
        <f t="shared" si="49"/>
        <v>37.632427290462147</v>
      </c>
      <c r="F270" s="28">
        <f t="shared" si="50"/>
        <v>23.186666666666667</v>
      </c>
      <c r="G270" s="28">
        <f t="shared" si="51"/>
        <v>8.7409060428711882</v>
      </c>
      <c r="H270" s="28">
        <f t="shared" si="52"/>
        <v>2.868661684157968</v>
      </c>
      <c r="I270" s="28">
        <f t="shared" si="53"/>
        <v>3.119674929235714</v>
      </c>
      <c r="J270" s="28">
        <f t="shared" si="54"/>
        <v>68.252743918461903</v>
      </c>
      <c r="K270" s="28">
        <f t="shared" si="55"/>
        <v>23.186666666666667</v>
      </c>
      <c r="L270" s="28">
        <f t="shared" si="56"/>
        <v>0</v>
      </c>
      <c r="M270" s="2" t="str">
        <f t="shared" si="57"/>
        <v/>
      </c>
      <c r="N270" s="2" t="str">
        <f t="shared" si="58"/>
        <v/>
      </c>
      <c r="O270" s="2">
        <f t="shared" si="59"/>
        <v>7</v>
      </c>
    </row>
    <row r="271" spans="1:15">
      <c r="A271" s="27">
        <v>261</v>
      </c>
      <c r="B271" s="27">
        <v>17</v>
      </c>
      <c r="C271" s="27">
        <v>1</v>
      </c>
      <c r="D271" s="28">
        <f t="shared" si="48"/>
        <v>17</v>
      </c>
      <c r="E271" s="28">
        <f t="shared" si="49"/>
        <v>37.632427290462147</v>
      </c>
      <c r="F271" s="28">
        <f t="shared" si="50"/>
        <v>23.186666666666667</v>
      </c>
      <c r="G271" s="28">
        <f t="shared" si="51"/>
        <v>8.7409060428711882</v>
      </c>
      <c r="H271" s="28">
        <f t="shared" si="52"/>
        <v>-1.2848060052599395</v>
      </c>
      <c r="I271" s="28">
        <f t="shared" si="53"/>
        <v>3.119674929235714</v>
      </c>
      <c r="J271" s="28">
        <f t="shared" si="54"/>
        <v>68.252743918461903</v>
      </c>
      <c r="K271" s="28">
        <f t="shared" si="55"/>
        <v>23.186666666666667</v>
      </c>
      <c r="L271" s="28">
        <f t="shared" si="56"/>
        <v>0</v>
      </c>
      <c r="M271" s="2" t="str">
        <f t="shared" si="57"/>
        <v/>
      </c>
      <c r="N271" s="2" t="str">
        <f t="shared" si="58"/>
        <v/>
      </c>
      <c r="O271" s="2">
        <f t="shared" si="59"/>
        <v>20</v>
      </c>
    </row>
    <row r="272" spans="1:15">
      <c r="A272" s="27">
        <v>262</v>
      </c>
      <c r="B272" s="27">
        <v>44</v>
      </c>
      <c r="C272" s="27">
        <v>1</v>
      </c>
      <c r="D272" s="28">
        <f t="shared" si="48"/>
        <v>44</v>
      </c>
      <c r="E272" s="28">
        <f t="shared" si="49"/>
        <v>37.632427290462147</v>
      </c>
      <c r="F272" s="28">
        <f t="shared" si="50"/>
        <v>23.186666666666667</v>
      </c>
      <c r="G272" s="28">
        <f t="shared" si="51"/>
        <v>8.7409060428711882</v>
      </c>
      <c r="H272" s="28">
        <f t="shared" si="52"/>
        <v>4.3223753754542358</v>
      </c>
      <c r="I272" s="28">
        <f t="shared" si="53"/>
        <v>3.119674929235714</v>
      </c>
      <c r="J272" s="28">
        <f t="shared" si="54"/>
        <v>68.252743918461903</v>
      </c>
      <c r="K272" s="28">
        <f t="shared" si="55"/>
        <v>23.186666666666667</v>
      </c>
      <c r="L272" s="28">
        <f t="shared" si="56"/>
        <v>0</v>
      </c>
      <c r="M272" s="2" t="str">
        <f t="shared" si="57"/>
        <v>Y</v>
      </c>
      <c r="N272" s="2" t="str">
        <f t="shared" si="58"/>
        <v/>
      </c>
      <c r="O272" s="2">
        <f t="shared" si="59"/>
        <v>27</v>
      </c>
    </row>
    <row r="273" spans="1:15">
      <c r="A273" s="27">
        <v>263</v>
      </c>
      <c r="B273" s="27">
        <v>27</v>
      </c>
      <c r="C273" s="27">
        <v>1</v>
      </c>
      <c r="D273" s="28">
        <f t="shared" si="48"/>
        <v>27</v>
      </c>
      <c r="E273" s="28">
        <f t="shared" si="49"/>
        <v>37.632427290462147</v>
      </c>
      <c r="F273" s="28">
        <f t="shared" si="50"/>
        <v>23.186666666666667</v>
      </c>
      <c r="G273" s="28">
        <f t="shared" si="51"/>
        <v>8.7409060428711882</v>
      </c>
      <c r="H273" s="28">
        <f t="shared" si="52"/>
        <v>0.79192783944901413</v>
      </c>
      <c r="I273" s="28">
        <f t="shared" si="53"/>
        <v>3.119674929235714</v>
      </c>
      <c r="J273" s="28">
        <f t="shared" si="54"/>
        <v>68.252743918461903</v>
      </c>
      <c r="K273" s="28">
        <f t="shared" si="55"/>
        <v>23.186666666666667</v>
      </c>
      <c r="L273" s="28">
        <f t="shared" si="56"/>
        <v>0</v>
      </c>
      <c r="M273" s="2" t="str">
        <f t="shared" si="57"/>
        <v/>
      </c>
      <c r="N273" s="2" t="str">
        <f t="shared" si="58"/>
        <v/>
      </c>
      <c r="O273" s="2">
        <f t="shared" si="59"/>
        <v>17</v>
      </c>
    </row>
    <row r="274" spans="1:15">
      <c r="A274" s="27">
        <v>264</v>
      </c>
      <c r="B274" s="27">
        <v>40</v>
      </c>
      <c r="C274" s="27">
        <v>1</v>
      </c>
      <c r="D274" s="28">
        <f t="shared" si="48"/>
        <v>40</v>
      </c>
      <c r="E274" s="28">
        <f t="shared" si="49"/>
        <v>37.632427290462147</v>
      </c>
      <c r="F274" s="28">
        <f t="shared" si="50"/>
        <v>23.186666666666667</v>
      </c>
      <c r="G274" s="28">
        <f t="shared" si="51"/>
        <v>8.7409060428711882</v>
      </c>
      <c r="H274" s="28">
        <f t="shared" si="52"/>
        <v>3.491681837570654</v>
      </c>
      <c r="I274" s="28">
        <f t="shared" si="53"/>
        <v>3.119674929235714</v>
      </c>
      <c r="J274" s="28">
        <f t="shared" si="54"/>
        <v>68.252743918461903</v>
      </c>
      <c r="K274" s="28">
        <f t="shared" si="55"/>
        <v>23.186666666666667</v>
      </c>
      <c r="L274" s="28">
        <f t="shared" si="56"/>
        <v>0</v>
      </c>
      <c r="M274" s="2" t="str">
        <f t="shared" si="57"/>
        <v>Y</v>
      </c>
      <c r="N274" s="2" t="str">
        <f t="shared" si="58"/>
        <v/>
      </c>
      <c r="O274" s="2">
        <f t="shared" si="59"/>
        <v>13</v>
      </c>
    </row>
    <row r="275" spans="1:15">
      <c r="A275" s="27">
        <v>265</v>
      </c>
      <c r="B275" s="27">
        <v>28</v>
      </c>
      <c r="C275" s="27">
        <v>1</v>
      </c>
      <c r="D275" s="28">
        <f t="shared" si="48"/>
        <v>28</v>
      </c>
      <c r="E275" s="28">
        <f t="shared" si="49"/>
        <v>37.632427290462147</v>
      </c>
      <c r="F275" s="28">
        <f t="shared" si="50"/>
        <v>23.186666666666667</v>
      </c>
      <c r="G275" s="28">
        <f t="shared" si="51"/>
        <v>8.7409060428711882</v>
      </c>
      <c r="H275" s="28">
        <f t="shared" si="52"/>
        <v>0.99960122391990958</v>
      </c>
      <c r="I275" s="28">
        <f t="shared" si="53"/>
        <v>3.119674929235714</v>
      </c>
      <c r="J275" s="28">
        <f t="shared" si="54"/>
        <v>68.252743918461903</v>
      </c>
      <c r="K275" s="28">
        <f t="shared" si="55"/>
        <v>23.186666666666667</v>
      </c>
      <c r="L275" s="28">
        <f t="shared" si="56"/>
        <v>0</v>
      </c>
      <c r="M275" s="2" t="str">
        <f t="shared" si="57"/>
        <v/>
      </c>
      <c r="N275" s="2" t="str">
        <f t="shared" si="58"/>
        <v/>
      </c>
      <c r="O275" s="2">
        <f t="shared" si="59"/>
        <v>12</v>
      </c>
    </row>
    <row r="276" spans="1:15">
      <c r="A276" s="27">
        <v>266</v>
      </c>
      <c r="B276" s="27">
        <v>20</v>
      </c>
      <c r="C276" s="27">
        <v>1</v>
      </c>
      <c r="D276" s="28">
        <f t="shared" si="48"/>
        <v>20</v>
      </c>
      <c r="E276" s="28">
        <f t="shared" si="49"/>
        <v>37.632427290462147</v>
      </c>
      <c r="F276" s="28">
        <f t="shared" si="50"/>
        <v>23.186666666666667</v>
      </c>
      <c r="G276" s="28">
        <f t="shared" si="51"/>
        <v>8.7409060428711882</v>
      </c>
      <c r="H276" s="28">
        <f t="shared" si="52"/>
        <v>-0.66178585184725336</v>
      </c>
      <c r="I276" s="28">
        <f t="shared" si="53"/>
        <v>3.119674929235714</v>
      </c>
      <c r="J276" s="28">
        <f t="shared" si="54"/>
        <v>68.252743918461903</v>
      </c>
      <c r="K276" s="28">
        <f t="shared" si="55"/>
        <v>23.186666666666667</v>
      </c>
      <c r="L276" s="28">
        <f t="shared" si="56"/>
        <v>0</v>
      </c>
      <c r="M276" s="2" t="str">
        <f t="shared" si="57"/>
        <v/>
      </c>
      <c r="N276" s="2" t="str">
        <f t="shared" si="58"/>
        <v/>
      </c>
      <c r="O276" s="2">
        <f t="shared" si="59"/>
        <v>8</v>
      </c>
    </row>
    <row r="277" spans="1:15">
      <c r="A277" s="27">
        <v>267</v>
      </c>
      <c r="B277" s="27">
        <v>16</v>
      </c>
      <c r="C277" s="27">
        <v>1</v>
      </c>
      <c r="D277" s="28">
        <f t="shared" si="48"/>
        <v>16</v>
      </c>
      <c r="E277" s="28">
        <f t="shared" si="49"/>
        <v>37.632427290462147</v>
      </c>
      <c r="F277" s="28">
        <f t="shared" si="50"/>
        <v>23.186666666666667</v>
      </c>
      <c r="G277" s="28">
        <f t="shared" si="51"/>
        <v>8.7409060428711882</v>
      </c>
      <c r="H277" s="28">
        <f t="shared" si="52"/>
        <v>-1.4924793897308348</v>
      </c>
      <c r="I277" s="28">
        <f t="shared" si="53"/>
        <v>3.119674929235714</v>
      </c>
      <c r="J277" s="28">
        <f t="shared" si="54"/>
        <v>68.252743918461903</v>
      </c>
      <c r="K277" s="28">
        <f t="shared" si="55"/>
        <v>23.186666666666667</v>
      </c>
      <c r="L277" s="28">
        <f t="shared" si="56"/>
        <v>0</v>
      </c>
      <c r="M277" s="2" t="str">
        <f t="shared" si="57"/>
        <v/>
      </c>
      <c r="N277" s="2" t="str">
        <f t="shared" si="58"/>
        <v/>
      </c>
      <c r="O277" s="2">
        <f t="shared" si="59"/>
        <v>4</v>
      </c>
    </row>
    <row r="278" spans="1:15">
      <c r="A278" s="27">
        <v>268</v>
      </c>
      <c r="B278" s="27">
        <v>21</v>
      </c>
      <c r="C278" s="27">
        <v>1</v>
      </c>
      <c r="D278" s="28">
        <f t="shared" si="48"/>
        <v>21</v>
      </c>
      <c r="E278" s="28">
        <f t="shared" si="49"/>
        <v>37.632427290462147</v>
      </c>
      <c r="F278" s="28">
        <f t="shared" si="50"/>
        <v>23.186666666666667</v>
      </c>
      <c r="G278" s="28">
        <f t="shared" si="51"/>
        <v>8.7409060428711882</v>
      </c>
      <c r="H278" s="28">
        <f t="shared" si="52"/>
        <v>-0.45411246737635802</v>
      </c>
      <c r="I278" s="28">
        <f t="shared" si="53"/>
        <v>3.119674929235714</v>
      </c>
      <c r="J278" s="28">
        <f t="shared" si="54"/>
        <v>68.252743918461903</v>
      </c>
      <c r="K278" s="28">
        <f t="shared" si="55"/>
        <v>23.186666666666667</v>
      </c>
      <c r="L278" s="28">
        <f t="shared" si="56"/>
        <v>0</v>
      </c>
      <c r="M278" s="2" t="str">
        <f t="shared" si="57"/>
        <v/>
      </c>
      <c r="N278" s="2" t="str">
        <f t="shared" si="58"/>
        <v/>
      </c>
      <c r="O278" s="2">
        <f t="shared" si="59"/>
        <v>5</v>
      </c>
    </row>
    <row r="279" spans="1:15">
      <c r="A279" s="27">
        <v>269</v>
      </c>
      <c r="B279" s="27">
        <v>22</v>
      </c>
      <c r="C279" s="27">
        <v>1</v>
      </c>
      <c r="D279" s="28">
        <f t="shared" si="48"/>
        <v>22</v>
      </c>
      <c r="E279" s="28">
        <f t="shared" si="49"/>
        <v>37.632427290462147</v>
      </c>
      <c r="F279" s="28">
        <f t="shared" si="50"/>
        <v>23.186666666666667</v>
      </c>
      <c r="G279" s="28">
        <f t="shared" si="51"/>
        <v>8.7409060428711882</v>
      </c>
      <c r="H279" s="28">
        <f t="shared" si="52"/>
        <v>-0.24643908290546265</v>
      </c>
      <c r="I279" s="28">
        <f t="shared" si="53"/>
        <v>3.119674929235714</v>
      </c>
      <c r="J279" s="28">
        <f t="shared" si="54"/>
        <v>68.252743918461903</v>
      </c>
      <c r="K279" s="28">
        <f t="shared" si="55"/>
        <v>23.186666666666667</v>
      </c>
      <c r="L279" s="28">
        <f t="shared" si="56"/>
        <v>0</v>
      </c>
      <c r="M279" s="2" t="str">
        <f t="shared" si="57"/>
        <v/>
      </c>
      <c r="N279" s="2" t="str">
        <f t="shared" si="58"/>
        <v/>
      </c>
      <c r="O279" s="2">
        <f t="shared" si="59"/>
        <v>1</v>
      </c>
    </row>
    <row r="280" spans="1:15">
      <c r="A280" s="27">
        <v>270</v>
      </c>
      <c r="B280" s="27">
        <v>26</v>
      </c>
      <c r="C280" s="27">
        <v>1</v>
      </c>
      <c r="D280" s="28">
        <f t="shared" si="48"/>
        <v>26</v>
      </c>
      <c r="E280" s="28">
        <f t="shared" si="49"/>
        <v>37.632427290462147</v>
      </c>
      <c r="F280" s="28">
        <f t="shared" si="50"/>
        <v>23.186666666666667</v>
      </c>
      <c r="G280" s="28">
        <f t="shared" si="51"/>
        <v>8.7409060428711882</v>
      </c>
      <c r="H280" s="28">
        <f t="shared" si="52"/>
        <v>0.58425445497811879</v>
      </c>
      <c r="I280" s="28">
        <f t="shared" si="53"/>
        <v>3.119674929235714</v>
      </c>
      <c r="J280" s="28">
        <f t="shared" si="54"/>
        <v>68.252743918461903</v>
      </c>
      <c r="K280" s="28">
        <f t="shared" si="55"/>
        <v>23.186666666666667</v>
      </c>
      <c r="L280" s="28">
        <f t="shared" si="56"/>
        <v>0</v>
      </c>
      <c r="M280" s="2" t="str">
        <f t="shared" si="57"/>
        <v/>
      </c>
      <c r="N280" s="2" t="str">
        <f t="shared" si="58"/>
        <v/>
      </c>
      <c r="O280" s="2">
        <f t="shared" si="59"/>
        <v>4</v>
      </c>
    </row>
    <row r="281" spans="1:15">
      <c r="A281" s="27">
        <v>271</v>
      </c>
      <c r="B281" s="27">
        <v>28</v>
      </c>
      <c r="C281" s="27">
        <v>1</v>
      </c>
      <c r="D281" s="28">
        <f t="shared" si="48"/>
        <v>28</v>
      </c>
      <c r="E281" s="28">
        <f t="shared" si="49"/>
        <v>37.632427290462147</v>
      </c>
      <c r="F281" s="28">
        <f t="shared" si="50"/>
        <v>23.186666666666667</v>
      </c>
      <c r="G281" s="28">
        <f t="shared" si="51"/>
        <v>8.7409060428711882</v>
      </c>
      <c r="H281" s="28">
        <f t="shared" si="52"/>
        <v>0.99960122391990958</v>
      </c>
      <c r="I281" s="28">
        <f t="shared" si="53"/>
        <v>3.119674929235714</v>
      </c>
      <c r="J281" s="28">
        <f t="shared" si="54"/>
        <v>68.252743918461903</v>
      </c>
      <c r="K281" s="28">
        <f t="shared" si="55"/>
        <v>23.186666666666667</v>
      </c>
      <c r="L281" s="28">
        <f t="shared" si="56"/>
        <v>0</v>
      </c>
      <c r="M281" s="2" t="str">
        <f t="shared" si="57"/>
        <v/>
      </c>
      <c r="N281" s="2" t="str">
        <f t="shared" si="58"/>
        <v/>
      </c>
      <c r="O281" s="2">
        <f t="shared" si="59"/>
        <v>2</v>
      </c>
    </row>
    <row r="282" spans="1:15">
      <c r="A282" s="27">
        <v>272</v>
      </c>
      <c r="B282" s="27">
        <v>24</v>
      </c>
      <c r="C282" s="27">
        <v>1</v>
      </c>
      <c r="D282" s="28">
        <f t="shared" si="48"/>
        <v>24</v>
      </c>
      <c r="E282" s="28">
        <f t="shared" si="49"/>
        <v>37.632427290462147</v>
      </c>
      <c r="F282" s="28">
        <f t="shared" si="50"/>
        <v>23.186666666666667</v>
      </c>
      <c r="G282" s="28">
        <f t="shared" si="51"/>
        <v>8.7409060428711882</v>
      </c>
      <c r="H282" s="28">
        <f t="shared" si="52"/>
        <v>0.16890768603632808</v>
      </c>
      <c r="I282" s="28">
        <f t="shared" si="53"/>
        <v>3.119674929235714</v>
      </c>
      <c r="J282" s="28">
        <f t="shared" si="54"/>
        <v>68.252743918461903</v>
      </c>
      <c r="K282" s="28">
        <f t="shared" si="55"/>
        <v>23.186666666666667</v>
      </c>
      <c r="L282" s="28">
        <f t="shared" si="56"/>
        <v>0</v>
      </c>
      <c r="M282" s="2" t="str">
        <f t="shared" si="57"/>
        <v/>
      </c>
      <c r="N282" s="2" t="str">
        <f t="shared" si="58"/>
        <v/>
      </c>
      <c r="O282" s="2">
        <f t="shared" si="59"/>
        <v>4</v>
      </c>
    </row>
    <row r="283" spans="1:15">
      <c r="A283" s="27">
        <v>273</v>
      </c>
      <c r="B283" s="27">
        <v>17</v>
      </c>
      <c r="C283" s="27">
        <v>1</v>
      </c>
      <c r="D283" s="28">
        <f t="shared" si="48"/>
        <v>17</v>
      </c>
      <c r="E283" s="28">
        <f t="shared" si="49"/>
        <v>37.632427290462147</v>
      </c>
      <c r="F283" s="28">
        <f t="shared" si="50"/>
        <v>23.186666666666667</v>
      </c>
      <c r="G283" s="28">
        <f t="shared" si="51"/>
        <v>8.7409060428711882</v>
      </c>
      <c r="H283" s="28">
        <f t="shared" si="52"/>
        <v>-1.2848060052599395</v>
      </c>
      <c r="I283" s="28">
        <f t="shared" si="53"/>
        <v>3.119674929235714</v>
      </c>
      <c r="J283" s="28">
        <f t="shared" si="54"/>
        <v>68.252743918461903</v>
      </c>
      <c r="K283" s="28">
        <f t="shared" si="55"/>
        <v>23.186666666666667</v>
      </c>
      <c r="L283" s="28">
        <f t="shared" si="56"/>
        <v>0</v>
      </c>
      <c r="M283" s="2" t="str">
        <f t="shared" si="57"/>
        <v/>
      </c>
      <c r="N283" s="2" t="str">
        <f t="shared" si="58"/>
        <v/>
      </c>
      <c r="O283" s="2">
        <f t="shared" si="59"/>
        <v>7</v>
      </c>
    </row>
    <row r="284" spans="1:15">
      <c r="A284" s="27">
        <v>274</v>
      </c>
      <c r="B284" s="27">
        <v>21</v>
      </c>
      <c r="C284" s="27">
        <v>1</v>
      </c>
      <c r="D284" s="28">
        <f t="shared" si="48"/>
        <v>21</v>
      </c>
      <c r="E284" s="28">
        <f t="shared" si="49"/>
        <v>37.632427290462147</v>
      </c>
      <c r="F284" s="28">
        <f t="shared" si="50"/>
        <v>23.186666666666667</v>
      </c>
      <c r="G284" s="28">
        <f t="shared" si="51"/>
        <v>8.7409060428711882</v>
      </c>
      <c r="H284" s="28">
        <f t="shared" si="52"/>
        <v>-0.45411246737635802</v>
      </c>
      <c r="I284" s="28">
        <f t="shared" si="53"/>
        <v>3.119674929235714</v>
      </c>
      <c r="J284" s="28">
        <f t="shared" si="54"/>
        <v>68.252743918461903</v>
      </c>
      <c r="K284" s="28">
        <f t="shared" si="55"/>
        <v>23.186666666666667</v>
      </c>
      <c r="L284" s="28">
        <f t="shared" si="56"/>
        <v>0</v>
      </c>
      <c r="M284" s="2" t="str">
        <f t="shared" si="57"/>
        <v/>
      </c>
      <c r="N284" s="2" t="str">
        <f t="shared" si="58"/>
        <v/>
      </c>
      <c r="O284" s="2">
        <f t="shared" si="59"/>
        <v>4</v>
      </c>
    </row>
    <row r="285" spans="1:15">
      <c r="A285" s="27">
        <v>275</v>
      </c>
      <c r="B285" s="27">
        <v>14</v>
      </c>
      <c r="C285" s="27">
        <v>1</v>
      </c>
      <c r="D285" s="28">
        <f t="shared" si="48"/>
        <v>14</v>
      </c>
      <c r="E285" s="28">
        <f t="shared" si="49"/>
        <v>37.632427290462147</v>
      </c>
      <c r="F285" s="28">
        <f t="shared" si="50"/>
        <v>23.186666666666667</v>
      </c>
      <c r="G285" s="28">
        <f t="shared" si="51"/>
        <v>8.7409060428711882</v>
      </c>
      <c r="H285" s="28">
        <f t="shared" si="52"/>
        <v>-1.9078261586726255</v>
      </c>
      <c r="I285" s="28">
        <f t="shared" si="53"/>
        <v>3.119674929235714</v>
      </c>
      <c r="J285" s="28">
        <f t="shared" si="54"/>
        <v>68.252743918461903</v>
      </c>
      <c r="K285" s="28">
        <f t="shared" si="55"/>
        <v>23.186666666666667</v>
      </c>
      <c r="L285" s="28">
        <f t="shared" si="56"/>
        <v>0</v>
      </c>
      <c r="M285" s="2" t="str">
        <f t="shared" si="57"/>
        <v/>
      </c>
      <c r="N285" s="2" t="str">
        <f t="shared" si="58"/>
        <v/>
      </c>
      <c r="O285" s="2">
        <f t="shared" si="59"/>
        <v>7</v>
      </c>
    </row>
    <row r="286" spans="1:15">
      <c r="A286" s="27">
        <v>276</v>
      </c>
      <c r="B286" s="27">
        <v>28</v>
      </c>
      <c r="C286" s="27">
        <v>1</v>
      </c>
      <c r="D286" s="28">
        <f t="shared" si="48"/>
        <v>28</v>
      </c>
      <c r="E286" s="28">
        <f t="shared" si="49"/>
        <v>37.632427290462147</v>
      </c>
      <c r="F286" s="28">
        <f t="shared" si="50"/>
        <v>23.186666666666667</v>
      </c>
      <c r="G286" s="28">
        <f t="shared" si="51"/>
        <v>8.7409060428711882</v>
      </c>
      <c r="H286" s="28">
        <f t="shared" si="52"/>
        <v>0.99960122391990958</v>
      </c>
      <c r="I286" s="28">
        <f t="shared" si="53"/>
        <v>3.119674929235714</v>
      </c>
      <c r="J286" s="28">
        <f t="shared" si="54"/>
        <v>68.252743918461903</v>
      </c>
      <c r="K286" s="28">
        <f t="shared" si="55"/>
        <v>23.186666666666667</v>
      </c>
      <c r="L286" s="28">
        <f t="shared" si="56"/>
        <v>0</v>
      </c>
      <c r="M286" s="2" t="str">
        <f t="shared" si="57"/>
        <v/>
      </c>
      <c r="N286" s="2" t="str">
        <f t="shared" si="58"/>
        <v/>
      </c>
      <c r="O286" s="2">
        <f t="shared" si="59"/>
        <v>14</v>
      </c>
    </row>
    <row r="287" spans="1:15">
      <c r="A287" s="27">
        <v>277</v>
      </c>
      <c r="B287" s="27">
        <v>23</v>
      </c>
      <c r="C287" s="27">
        <v>1</v>
      </c>
      <c r="D287" s="28">
        <f t="shared" si="48"/>
        <v>23</v>
      </c>
      <c r="E287" s="28">
        <f t="shared" si="49"/>
        <v>37.632427290462147</v>
      </c>
      <c r="F287" s="28">
        <f t="shared" si="50"/>
        <v>23.186666666666667</v>
      </c>
      <c r="G287" s="28">
        <f t="shared" si="51"/>
        <v>8.7409060428711882</v>
      </c>
      <c r="H287" s="28">
        <f t="shared" si="52"/>
        <v>-3.8765698434567293E-2</v>
      </c>
      <c r="I287" s="28">
        <f t="shared" si="53"/>
        <v>3.119674929235714</v>
      </c>
      <c r="J287" s="28">
        <f t="shared" si="54"/>
        <v>68.252743918461903</v>
      </c>
      <c r="K287" s="28">
        <f t="shared" si="55"/>
        <v>23.186666666666667</v>
      </c>
      <c r="L287" s="28">
        <f t="shared" si="56"/>
        <v>0</v>
      </c>
      <c r="M287" s="2" t="str">
        <f t="shared" si="57"/>
        <v/>
      </c>
      <c r="N287" s="2" t="str">
        <f t="shared" si="58"/>
        <v/>
      </c>
      <c r="O287" s="2">
        <f t="shared" si="59"/>
        <v>5</v>
      </c>
    </row>
    <row r="288" spans="1:15">
      <c r="A288" s="27">
        <v>278</v>
      </c>
      <c r="B288" s="27">
        <v>12</v>
      </c>
      <c r="C288" s="27">
        <v>1</v>
      </c>
      <c r="D288" s="28">
        <f t="shared" si="48"/>
        <v>12</v>
      </c>
      <c r="E288" s="28">
        <f t="shared" si="49"/>
        <v>37.632427290462147</v>
      </c>
      <c r="F288" s="28">
        <f t="shared" si="50"/>
        <v>23.186666666666667</v>
      </c>
      <c r="G288" s="28">
        <f t="shared" si="51"/>
        <v>8.7409060428711882</v>
      </c>
      <c r="H288" s="28">
        <f t="shared" si="52"/>
        <v>-2.3231729276144164</v>
      </c>
      <c r="I288" s="28">
        <f t="shared" si="53"/>
        <v>3.119674929235714</v>
      </c>
      <c r="J288" s="28">
        <f t="shared" si="54"/>
        <v>68.252743918461903</v>
      </c>
      <c r="K288" s="28">
        <f t="shared" si="55"/>
        <v>23.186666666666667</v>
      </c>
      <c r="L288" s="28">
        <f t="shared" si="56"/>
        <v>0</v>
      </c>
      <c r="M288" s="2" t="str">
        <f t="shared" si="57"/>
        <v/>
      </c>
      <c r="N288" s="2" t="str">
        <f t="shared" si="58"/>
        <v/>
      </c>
      <c r="O288" s="2">
        <f t="shared" si="59"/>
        <v>11</v>
      </c>
    </row>
    <row r="289" spans="1:15">
      <c r="A289" s="27">
        <v>279</v>
      </c>
      <c r="B289" s="27">
        <v>28</v>
      </c>
      <c r="C289" s="27">
        <v>1</v>
      </c>
      <c r="D289" s="28">
        <f t="shared" si="48"/>
        <v>28</v>
      </c>
      <c r="E289" s="28">
        <f t="shared" si="49"/>
        <v>37.632427290462147</v>
      </c>
      <c r="F289" s="28">
        <f t="shared" si="50"/>
        <v>23.186666666666667</v>
      </c>
      <c r="G289" s="28">
        <f t="shared" si="51"/>
        <v>8.7409060428711882</v>
      </c>
      <c r="H289" s="28">
        <f t="shared" si="52"/>
        <v>0.99960122391990958</v>
      </c>
      <c r="I289" s="28">
        <f t="shared" si="53"/>
        <v>3.119674929235714</v>
      </c>
      <c r="J289" s="28">
        <f t="shared" si="54"/>
        <v>68.252743918461903</v>
      </c>
      <c r="K289" s="28">
        <f t="shared" si="55"/>
        <v>23.186666666666667</v>
      </c>
      <c r="L289" s="28">
        <f t="shared" si="56"/>
        <v>0</v>
      </c>
      <c r="M289" s="2" t="str">
        <f t="shared" si="57"/>
        <v/>
      </c>
      <c r="N289" s="2" t="str">
        <f t="shared" si="58"/>
        <v/>
      </c>
      <c r="O289" s="2">
        <f t="shared" si="59"/>
        <v>16</v>
      </c>
    </row>
    <row r="290" spans="1:15">
      <c r="A290" s="27">
        <v>280</v>
      </c>
      <c r="B290" s="27">
        <v>13</v>
      </c>
      <c r="C290" s="27">
        <v>1</v>
      </c>
      <c r="D290" s="28">
        <f t="shared" si="48"/>
        <v>13</v>
      </c>
      <c r="E290" s="28">
        <f t="shared" si="49"/>
        <v>37.632427290462147</v>
      </c>
      <c r="F290" s="28">
        <f t="shared" si="50"/>
        <v>23.186666666666667</v>
      </c>
      <c r="G290" s="28">
        <f t="shared" si="51"/>
        <v>8.7409060428711882</v>
      </c>
      <c r="H290" s="28">
        <f t="shared" si="52"/>
        <v>-2.1154995431435211</v>
      </c>
      <c r="I290" s="28">
        <f t="shared" si="53"/>
        <v>3.119674929235714</v>
      </c>
      <c r="J290" s="28">
        <f t="shared" si="54"/>
        <v>68.252743918461903</v>
      </c>
      <c r="K290" s="28">
        <f t="shared" si="55"/>
        <v>23.186666666666667</v>
      </c>
      <c r="L290" s="28">
        <f t="shared" si="56"/>
        <v>0</v>
      </c>
      <c r="M290" s="2" t="str">
        <f t="shared" si="57"/>
        <v/>
      </c>
      <c r="N290" s="2" t="str">
        <f t="shared" si="58"/>
        <v/>
      </c>
      <c r="O290" s="2">
        <f t="shared" si="59"/>
        <v>15</v>
      </c>
    </row>
    <row r="291" spans="1:15">
      <c r="A291" s="27">
        <v>281</v>
      </c>
      <c r="B291" s="27">
        <v>18</v>
      </c>
      <c r="C291" s="27">
        <v>1</v>
      </c>
      <c r="D291" s="28">
        <f t="shared" si="48"/>
        <v>18</v>
      </c>
      <c r="E291" s="28">
        <f t="shared" si="49"/>
        <v>37.632427290462147</v>
      </c>
      <c r="F291" s="28">
        <f t="shared" si="50"/>
        <v>23.186666666666667</v>
      </c>
      <c r="G291" s="28">
        <f t="shared" si="51"/>
        <v>8.7409060428711882</v>
      </c>
      <c r="H291" s="28">
        <f t="shared" si="52"/>
        <v>-1.0771326207890441</v>
      </c>
      <c r="I291" s="28">
        <f t="shared" si="53"/>
        <v>3.119674929235714</v>
      </c>
      <c r="J291" s="28">
        <f t="shared" si="54"/>
        <v>68.252743918461903</v>
      </c>
      <c r="K291" s="28">
        <f t="shared" si="55"/>
        <v>23.186666666666667</v>
      </c>
      <c r="L291" s="28">
        <f t="shared" si="56"/>
        <v>0</v>
      </c>
      <c r="M291" s="2" t="str">
        <f t="shared" si="57"/>
        <v/>
      </c>
      <c r="N291" s="2" t="str">
        <f t="shared" si="58"/>
        <v/>
      </c>
      <c r="O291" s="2">
        <f t="shared" si="59"/>
        <v>5</v>
      </c>
    </row>
    <row r="292" spans="1:15">
      <c r="A292" s="27">
        <v>282</v>
      </c>
      <c r="B292" s="27">
        <v>24</v>
      </c>
      <c r="C292" s="27">
        <v>1</v>
      </c>
      <c r="D292" s="28">
        <f t="shared" si="48"/>
        <v>24</v>
      </c>
      <c r="E292" s="28">
        <f t="shared" si="49"/>
        <v>37.632427290462147</v>
      </c>
      <c r="F292" s="28">
        <f t="shared" si="50"/>
        <v>23.186666666666667</v>
      </c>
      <c r="G292" s="28">
        <f t="shared" si="51"/>
        <v>8.7409060428711882</v>
      </c>
      <c r="H292" s="28">
        <f t="shared" si="52"/>
        <v>0.16890768603632808</v>
      </c>
      <c r="I292" s="28">
        <f t="shared" si="53"/>
        <v>3.119674929235714</v>
      </c>
      <c r="J292" s="28">
        <f t="shared" si="54"/>
        <v>68.252743918461903</v>
      </c>
      <c r="K292" s="28">
        <f t="shared" si="55"/>
        <v>23.186666666666667</v>
      </c>
      <c r="L292" s="28">
        <f t="shared" si="56"/>
        <v>0</v>
      </c>
      <c r="M292" s="2" t="str">
        <f t="shared" si="57"/>
        <v/>
      </c>
      <c r="N292" s="2" t="str">
        <f t="shared" si="58"/>
        <v/>
      </c>
      <c r="O292" s="2">
        <f t="shared" si="59"/>
        <v>6</v>
      </c>
    </row>
    <row r="293" spans="1:15">
      <c r="A293" s="27">
        <v>283</v>
      </c>
      <c r="B293" s="27">
        <v>45</v>
      </c>
      <c r="C293" s="27">
        <v>1</v>
      </c>
      <c r="D293" s="28">
        <f t="shared" si="48"/>
        <v>45</v>
      </c>
      <c r="E293" s="28">
        <f t="shared" si="49"/>
        <v>37.632427290462147</v>
      </c>
      <c r="F293" s="28">
        <f t="shared" si="50"/>
        <v>23.186666666666667</v>
      </c>
      <c r="G293" s="28">
        <f t="shared" si="51"/>
        <v>8.7409060428711882</v>
      </c>
      <c r="H293" s="28">
        <f t="shared" si="52"/>
        <v>4.5300487599251307</v>
      </c>
      <c r="I293" s="28">
        <f t="shared" si="53"/>
        <v>3.119674929235714</v>
      </c>
      <c r="J293" s="28">
        <f t="shared" si="54"/>
        <v>68.252743918461903</v>
      </c>
      <c r="K293" s="28">
        <f t="shared" si="55"/>
        <v>23.186666666666667</v>
      </c>
      <c r="L293" s="28">
        <f t="shared" si="56"/>
        <v>0</v>
      </c>
      <c r="M293" s="2" t="str">
        <f t="shared" si="57"/>
        <v>Y</v>
      </c>
      <c r="N293" s="2" t="str">
        <f t="shared" si="58"/>
        <v/>
      </c>
      <c r="O293" s="2">
        <f t="shared" si="59"/>
        <v>21</v>
      </c>
    </row>
    <row r="294" spans="1:15">
      <c r="A294" s="27">
        <v>284</v>
      </c>
      <c r="B294" s="27">
        <v>17</v>
      </c>
      <c r="C294" s="27">
        <v>1</v>
      </c>
      <c r="D294" s="28">
        <f t="shared" si="48"/>
        <v>17</v>
      </c>
      <c r="E294" s="28">
        <f t="shared" si="49"/>
        <v>37.632427290462147</v>
      </c>
      <c r="F294" s="28">
        <f t="shared" si="50"/>
        <v>23.186666666666667</v>
      </c>
      <c r="G294" s="28">
        <f t="shared" si="51"/>
        <v>8.7409060428711882</v>
      </c>
      <c r="H294" s="28">
        <f t="shared" si="52"/>
        <v>-1.2848060052599395</v>
      </c>
      <c r="I294" s="28">
        <f t="shared" si="53"/>
        <v>3.119674929235714</v>
      </c>
      <c r="J294" s="28">
        <f t="shared" si="54"/>
        <v>68.252743918461903</v>
      </c>
      <c r="K294" s="28">
        <f t="shared" si="55"/>
        <v>23.186666666666667</v>
      </c>
      <c r="L294" s="28">
        <f t="shared" si="56"/>
        <v>0</v>
      </c>
      <c r="M294" s="2" t="str">
        <f t="shared" si="57"/>
        <v/>
      </c>
      <c r="N294" s="2" t="str">
        <f t="shared" si="58"/>
        <v/>
      </c>
      <c r="O294" s="2">
        <f t="shared" si="59"/>
        <v>28</v>
      </c>
    </row>
    <row r="295" spans="1:15">
      <c r="A295" s="27">
        <v>285</v>
      </c>
      <c r="B295" s="27">
        <v>13</v>
      </c>
      <c r="C295" s="27">
        <v>1</v>
      </c>
      <c r="D295" s="28">
        <f t="shared" si="48"/>
        <v>13</v>
      </c>
      <c r="E295" s="28">
        <f t="shared" si="49"/>
        <v>37.632427290462147</v>
      </c>
      <c r="F295" s="28">
        <f t="shared" si="50"/>
        <v>23.186666666666667</v>
      </c>
      <c r="G295" s="28">
        <f t="shared" si="51"/>
        <v>8.7409060428711882</v>
      </c>
      <c r="H295" s="28">
        <f t="shared" si="52"/>
        <v>-2.1154995431435211</v>
      </c>
      <c r="I295" s="28">
        <f t="shared" si="53"/>
        <v>3.119674929235714</v>
      </c>
      <c r="J295" s="28">
        <f t="shared" si="54"/>
        <v>68.252743918461903</v>
      </c>
      <c r="K295" s="28">
        <f t="shared" si="55"/>
        <v>23.186666666666667</v>
      </c>
      <c r="L295" s="28">
        <f t="shared" si="56"/>
        <v>0</v>
      </c>
      <c r="M295" s="2" t="str">
        <f t="shared" si="57"/>
        <v/>
      </c>
      <c r="N295" s="2" t="str">
        <f t="shared" si="58"/>
        <v/>
      </c>
      <c r="O295" s="2">
        <f t="shared" si="59"/>
        <v>4</v>
      </c>
    </row>
    <row r="296" spans="1:15">
      <c r="A296" s="27">
        <v>286</v>
      </c>
      <c r="B296" s="27">
        <v>12</v>
      </c>
      <c r="C296" s="27">
        <v>1</v>
      </c>
      <c r="D296" s="28">
        <f t="shared" si="48"/>
        <v>12</v>
      </c>
      <c r="E296" s="28">
        <f t="shared" si="49"/>
        <v>37.632427290462147</v>
      </c>
      <c r="F296" s="28">
        <f t="shared" si="50"/>
        <v>23.186666666666667</v>
      </c>
      <c r="G296" s="28">
        <f t="shared" si="51"/>
        <v>8.7409060428711882</v>
      </c>
      <c r="H296" s="28">
        <f t="shared" si="52"/>
        <v>-2.3231729276144164</v>
      </c>
      <c r="I296" s="28">
        <f t="shared" si="53"/>
        <v>3.119674929235714</v>
      </c>
      <c r="J296" s="28">
        <f t="shared" si="54"/>
        <v>68.252743918461903</v>
      </c>
      <c r="K296" s="28">
        <f t="shared" si="55"/>
        <v>23.186666666666667</v>
      </c>
      <c r="L296" s="28">
        <f t="shared" si="56"/>
        <v>0</v>
      </c>
      <c r="M296" s="2" t="str">
        <f t="shared" si="57"/>
        <v/>
      </c>
      <c r="N296" s="2" t="str">
        <f t="shared" si="58"/>
        <v/>
      </c>
      <c r="O296" s="2">
        <f t="shared" si="59"/>
        <v>1</v>
      </c>
    </row>
    <row r="297" spans="1:15">
      <c r="A297" s="27">
        <v>287</v>
      </c>
      <c r="B297" s="27">
        <v>22</v>
      </c>
      <c r="C297" s="27">
        <v>1</v>
      </c>
      <c r="D297" s="28">
        <f t="shared" si="48"/>
        <v>22</v>
      </c>
      <c r="E297" s="28">
        <f t="shared" si="49"/>
        <v>37.632427290462147</v>
      </c>
      <c r="F297" s="28">
        <f t="shared" si="50"/>
        <v>23.186666666666667</v>
      </c>
      <c r="G297" s="28">
        <f t="shared" si="51"/>
        <v>8.7409060428711882</v>
      </c>
      <c r="H297" s="28">
        <f t="shared" si="52"/>
        <v>-0.24643908290546265</v>
      </c>
      <c r="I297" s="28">
        <f t="shared" si="53"/>
        <v>3.119674929235714</v>
      </c>
      <c r="J297" s="28">
        <f t="shared" si="54"/>
        <v>68.252743918461903</v>
      </c>
      <c r="K297" s="28">
        <f t="shared" si="55"/>
        <v>23.186666666666667</v>
      </c>
      <c r="L297" s="28">
        <f t="shared" si="56"/>
        <v>0</v>
      </c>
      <c r="M297" s="2" t="str">
        <f t="shared" si="57"/>
        <v/>
      </c>
      <c r="N297" s="2" t="str">
        <f t="shared" si="58"/>
        <v/>
      </c>
      <c r="O297" s="2">
        <f t="shared" si="59"/>
        <v>10</v>
      </c>
    </row>
    <row r="298" spans="1:15">
      <c r="A298" s="27">
        <v>288</v>
      </c>
      <c r="B298" s="27">
        <v>31</v>
      </c>
      <c r="C298" s="27">
        <v>1</v>
      </c>
      <c r="D298" s="28">
        <f t="shared" si="48"/>
        <v>31</v>
      </c>
      <c r="E298" s="28">
        <f t="shared" si="49"/>
        <v>37.632427290462147</v>
      </c>
      <c r="F298" s="28">
        <f t="shared" si="50"/>
        <v>23.186666666666667</v>
      </c>
      <c r="G298" s="28">
        <f t="shared" si="51"/>
        <v>8.7409060428711882</v>
      </c>
      <c r="H298" s="28">
        <f t="shared" si="52"/>
        <v>1.6226213773325957</v>
      </c>
      <c r="I298" s="28">
        <f t="shared" si="53"/>
        <v>3.119674929235714</v>
      </c>
      <c r="J298" s="28">
        <f t="shared" si="54"/>
        <v>68.252743918461903</v>
      </c>
      <c r="K298" s="28">
        <f t="shared" si="55"/>
        <v>23.186666666666667</v>
      </c>
      <c r="L298" s="28">
        <f t="shared" si="56"/>
        <v>0</v>
      </c>
      <c r="M298" s="2" t="str">
        <f t="shared" si="57"/>
        <v/>
      </c>
      <c r="N298" s="2" t="str">
        <f t="shared" si="58"/>
        <v/>
      </c>
      <c r="O298" s="2">
        <f t="shared" si="59"/>
        <v>9</v>
      </c>
    </row>
    <row r="299" spans="1:15">
      <c r="A299" s="27">
        <v>289</v>
      </c>
      <c r="B299" s="27">
        <v>13</v>
      </c>
      <c r="C299" s="27">
        <v>1</v>
      </c>
      <c r="D299" s="28">
        <f t="shared" si="48"/>
        <v>13</v>
      </c>
      <c r="E299" s="28">
        <f t="shared" si="49"/>
        <v>37.632427290462147</v>
      </c>
      <c r="F299" s="28">
        <f t="shared" si="50"/>
        <v>23.186666666666667</v>
      </c>
      <c r="G299" s="28">
        <f t="shared" si="51"/>
        <v>8.7409060428711882</v>
      </c>
      <c r="H299" s="28">
        <f t="shared" si="52"/>
        <v>-2.1154995431435211</v>
      </c>
      <c r="I299" s="28">
        <f t="shared" si="53"/>
        <v>3.119674929235714</v>
      </c>
      <c r="J299" s="28">
        <f t="shared" si="54"/>
        <v>68.252743918461903</v>
      </c>
      <c r="K299" s="28">
        <f t="shared" si="55"/>
        <v>23.186666666666667</v>
      </c>
      <c r="L299" s="28">
        <f t="shared" si="56"/>
        <v>0</v>
      </c>
      <c r="M299" s="2" t="str">
        <f t="shared" si="57"/>
        <v/>
      </c>
      <c r="N299" s="2" t="str">
        <f t="shared" si="58"/>
        <v/>
      </c>
      <c r="O299" s="2">
        <f t="shared" si="59"/>
        <v>18</v>
      </c>
    </row>
    <row r="300" spans="1:15">
      <c r="A300" s="27">
        <v>290</v>
      </c>
      <c r="B300" s="27">
        <v>18</v>
      </c>
      <c r="C300" s="27">
        <v>1</v>
      </c>
      <c r="D300" s="28">
        <f t="shared" si="48"/>
        <v>18</v>
      </c>
      <c r="E300" s="28">
        <f t="shared" si="49"/>
        <v>37.632427290462147</v>
      </c>
      <c r="F300" s="28">
        <f t="shared" si="50"/>
        <v>23.186666666666667</v>
      </c>
      <c r="G300" s="28">
        <f t="shared" si="51"/>
        <v>8.7409060428711882</v>
      </c>
      <c r="H300" s="28">
        <f t="shared" si="52"/>
        <v>-1.0771326207890441</v>
      </c>
      <c r="I300" s="28">
        <f t="shared" si="53"/>
        <v>3.119674929235714</v>
      </c>
      <c r="J300" s="28">
        <f t="shared" si="54"/>
        <v>68.252743918461903</v>
      </c>
      <c r="K300" s="28">
        <f t="shared" si="55"/>
        <v>23.186666666666667</v>
      </c>
      <c r="L300" s="28">
        <f t="shared" si="56"/>
        <v>0</v>
      </c>
      <c r="M300" s="2" t="str">
        <f t="shared" si="57"/>
        <v/>
      </c>
      <c r="N300" s="2" t="str">
        <f t="shared" si="58"/>
        <v/>
      </c>
      <c r="O300" s="2">
        <f t="shared" si="59"/>
        <v>5</v>
      </c>
    </row>
    <row r="301" spans="1:15">
      <c r="A301" s="27">
        <v>291</v>
      </c>
      <c r="B301" s="27">
        <v>28</v>
      </c>
      <c r="C301" s="27">
        <v>1</v>
      </c>
      <c r="D301" s="28">
        <f t="shared" si="48"/>
        <v>28</v>
      </c>
      <c r="E301" s="28">
        <f t="shared" si="49"/>
        <v>37.632427290462147</v>
      </c>
      <c r="F301" s="28">
        <f t="shared" si="50"/>
        <v>23.186666666666667</v>
      </c>
      <c r="G301" s="28">
        <f t="shared" si="51"/>
        <v>8.7409060428711882</v>
      </c>
      <c r="H301" s="28">
        <f t="shared" si="52"/>
        <v>0.99960122391990958</v>
      </c>
      <c r="I301" s="28">
        <f t="shared" si="53"/>
        <v>3.119674929235714</v>
      </c>
      <c r="J301" s="28">
        <f t="shared" si="54"/>
        <v>68.252743918461903</v>
      </c>
      <c r="K301" s="28">
        <f t="shared" si="55"/>
        <v>23.186666666666667</v>
      </c>
      <c r="L301" s="28">
        <f t="shared" si="56"/>
        <v>0</v>
      </c>
      <c r="M301" s="2" t="str">
        <f t="shared" si="57"/>
        <v/>
      </c>
      <c r="N301" s="2" t="str">
        <f t="shared" si="58"/>
        <v/>
      </c>
      <c r="O301" s="2">
        <f t="shared" si="59"/>
        <v>10</v>
      </c>
    </row>
    <row r="302" spans="1:15">
      <c r="A302" s="27">
        <v>292</v>
      </c>
      <c r="B302" s="27">
        <v>22</v>
      </c>
      <c r="C302" s="27">
        <v>1</v>
      </c>
      <c r="D302" s="28">
        <f t="shared" si="48"/>
        <v>22</v>
      </c>
      <c r="E302" s="28">
        <f t="shared" si="49"/>
        <v>37.632427290462147</v>
      </c>
      <c r="F302" s="28">
        <f t="shared" si="50"/>
        <v>23.186666666666667</v>
      </c>
      <c r="G302" s="28">
        <f t="shared" si="51"/>
        <v>8.7409060428711882</v>
      </c>
      <c r="H302" s="28">
        <f t="shared" si="52"/>
        <v>-0.24643908290546265</v>
      </c>
      <c r="I302" s="28">
        <f t="shared" si="53"/>
        <v>3.119674929235714</v>
      </c>
      <c r="J302" s="28">
        <f t="shared" si="54"/>
        <v>68.252743918461903</v>
      </c>
      <c r="K302" s="28">
        <f t="shared" si="55"/>
        <v>23.186666666666667</v>
      </c>
      <c r="L302" s="28">
        <f t="shared" si="56"/>
        <v>0</v>
      </c>
      <c r="M302" s="2" t="str">
        <f t="shared" si="57"/>
        <v/>
      </c>
      <c r="N302" s="2" t="str">
        <f t="shared" si="58"/>
        <v/>
      </c>
      <c r="O302" s="2">
        <f t="shared" si="59"/>
        <v>6</v>
      </c>
    </row>
    <row r="303" spans="1:15">
      <c r="A303" s="27">
        <v>293</v>
      </c>
      <c r="B303" s="27">
        <v>20</v>
      </c>
      <c r="C303" s="27">
        <v>1</v>
      </c>
      <c r="D303" s="28">
        <f t="shared" si="48"/>
        <v>20</v>
      </c>
      <c r="E303" s="28">
        <f t="shared" si="49"/>
        <v>37.632427290462147</v>
      </c>
      <c r="F303" s="28">
        <f t="shared" si="50"/>
        <v>23.186666666666667</v>
      </c>
      <c r="G303" s="28">
        <f t="shared" si="51"/>
        <v>8.7409060428711882</v>
      </c>
      <c r="H303" s="28">
        <f t="shared" si="52"/>
        <v>-0.66178585184725336</v>
      </c>
      <c r="I303" s="28">
        <f t="shared" si="53"/>
        <v>3.119674929235714</v>
      </c>
      <c r="J303" s="28">
        <f t="shared" si="54"/>
        <v>68.252743918461903</v>
      </c>
      <c r="K303" s="28">
        <f t="shared" si="55"/>
        <v>23.186666666666667</v>
      </c>
      <c r="L303" s="28">
        <f t="shared" si="56"/>
        <v>0</v>
      </c>
      <c r="M303" s="2" t="str">
        <f t="shared" si="57"/>
        <v/>
      </c>
      <c r="N303" s="2" t="str">
        <f t="shared" si="58"/>
        <v/>
      </c>
      <c r="O303" s="2">
        <f t="shared" si="59"/>
        <v>2</v>
      </c>
    </row>
    <row r="304" spans="1:15">
      <c r="A304" s="27">
        <v>294</v>
      </c>
      <c r="B304" s="27">
        <v>19</v>
      </c>
      <c r="C304" s="27">
        <v>1</v>
      </c>
      <c r="D304" s="28">
        <f t="shared" si="48"/>
        <v>19</v>
      </c>
      <c r="E304" s="28">
        <f t="shared" si="49"/>
        <v>37.632427290462147</v>
      </c>
      <c r="F304" s="28">
        <f t="shared" si="50"/>
        <v>23.186666666666667</v>
      </c>
      <c r="G304" s="28">
        <f t="shared" si="51"/>
        <v>8.7409060428711882</v>
      </c>
      <c r="H304" s="28">
        <f t="shared" si="52"/>
        <v>-0.8694592363181487</v>
      </c>
      <c r="I304" s="28">
        <f t="shared" si="53"/>
        <v>3.119674929235714</v>
      </c>
      <c r="J304" s="28">
        <f t="shared" si="54"/>
        <v>68.252743918461903</v>
      </c>
      <c r="K304" s="28">
        <f t="shared" si="55"/>
        <v>23.186666666666667</v>
      </c>
      <c r="L304" s="28">
        <f t="shared" si="56"/>
        <v>0</v>
      </c>
      <c r="M304" s="2" t="str">
        <f t="shared" si="57"/>
        <v/>
      </c>
      <c r="N304" s="2" t="str">
        <f t="shared" si="58"/>
        <v/>
      </c>
      <c r="O304" s="2">
        <f t="shared" si="59"/>
        <v>1</v>
      </c>
    </row>
    <row r="305" spans="1:15">
      <c r="A305" s="27">
        <v>295</v>
      </c>
      <c r="B305" s="27">
        <v>20</v>
      </c>
      <c r="C305" s="27">
        <v>1</v>
      </c>
      <c r="D305" s="28">
        <f t="shared" si="48"/>
        <v>20</v>
      </c>
      <c r="E305" s="28">
        <f t="shared" si="49"/>
        <v>37.632427290462147</v>
      </c>
      <c r="F305" s="28">
        <f t="shared" si="50"/>
        <v>23.186666666666667</v>
      </c>
      <c r="G305" s="28">
        <f t="shared" si="51"/>
        <v>8.7409060428711882</v>
      </c>
      <c r="H305" s="28">
        <f t="shared" si="52"/>
        <v>-0.66178585184725336</v>
      </c>
      <c r="I305" s="28">
        <f t="shared" si="53"/>
        <v>3.119674929235714</v>
      </c>
      <c r="J305" s="28">
        <f t="shared" si="54"/>
        <v>68.252743918461903</v>
      </c>
      <c r="K305" s="28">
        <f t="shared" si="55"/>
        <v>23.186666666666667</v>
      </c>
      <c r="L305" s="28">
        <f t="shared" si="56"/>
        <v>0</v>
      </c>
      <c r="M305" s="2" t="str">
        <f t="shared" si="57"/>
        <v/>
      </c>
      <c r="N305" s="2" t="str">
        <f t="shared" si="58"/>
        <v/>
      </c>
      <c r="O305" s="2">
        <f t="shared" si="59"/>
        <v>1</v>
      </c>
    </row>
    <row r="306" spans="1:15">
      <c r="A306" s="27">
        <v>296</v>
      </c>
      <c r="B306" s="27">
        <v>5</v>
      </c>
      <c r="C306" s="27">
        <v>1</v>
      </c>
      <c r="D306" s="28">
        <f t="shared" si="48"/>
        <v>5</v>
      </c>
      <c r="E306" s="28">
        <f t="shared" si="49"/>
        <v>37.632427290462147</v>
      </c>
      <c r="F306" s="28">
        <f t="shared" si="50"/>
        <v>23.186666666666667</v>
      </c>
      <c r="G306" s="28">
        <f t="shared" si="51"/>
        <v>8.7409060428711882</v>
      </c>
      <c r="H306" s="28">
        <f t="shared" si="52"/>
        <v>-3.7768866189106838</v>
      </c>
      <c r="I306" s="28">
        <f t="shared" si="53"/>
        <v>3.119674929235714</v>
      </c>
      <c r="J306" s="28">
        <f t="shared" si="54"/>
        <v>68.252743918461903</v>
      </c>
      <c r="K306" s="28">
        <f t="shared" si="55"/>
        <v>23.186666666666667</v>
      </c>
      <c r="L306" s="28">
        <f t="shared" si="56"/>
        <v>0</v>
      </c>
      <c r="M306" s="2" t="str">
        <f t="shared" si="57"/>
        <v>Y</v>
      </c>
      <c r="N306" s="2" t="str">
        <f t="shared" si="58"/>
        <v/>
      </c>
      <c r="O306" s="2">
        <f t="shared" si="59"/>
        <v>15</v>
      </c>
    </row>
    <row r="307" spans="1:15">
      <c r="A307" s="27">
        <v>297</v>
      </c>
      <c r="B307" s="27">
        <v>16</v>
      </c>
      <c r="C307" s="27">
        <v>1</v>
      </c>
      <c r="D307" s="28">
        <f t="shared" si="48"/>
        <v>16</v>
      </c>
      <c r="E307" s="28">
        <f t="shared" si="49"/>
        <v>37.632427290462147</v>
      </c>
      <c r="F307" s="28">
        <f t="shared" si="50"/>
        <v>23.186666666666667</v>
      </c>
      <c r="G307" s="28">
        <f t="shared" si="51"/>
        <v>8.7409060428711882</v>
      </c>
      <c r="H307" s="28">
        <f t="shared" si="52"/>
        <v>-1.4924793897308348</v>
      </c>
      <c r="I307" s="28">
        <f t="shared" si="53"/>
        <v>3.119674929235714</v>
      </c>
      <c r="J307" s="28">
        <f t="shared" si="54"/>
        <v>68.252743918461903</v>
      </c>
      <c r="K307" s="28">
        <f t="shared" si="55"/>
        <v>23.186666666666667</v>
      </c>
      <c r="L307" s="28">
        <f t="shared" si="56"/>
        <v>0</v>
      </c>
      <c r="M307" s="2" t="str">
        <f t="shared" si="57"/>
        <v/>
      </c>
      <c r="N307" s="2" t="str">
        <f t="shared" si="58"/>
        <v/>
      </c>
      <c r="O307" s="2">
        <f t="shared" si="59"/>
        <v>11</v>
      </c>
    </row>
    <row r="308" spans="1:15">
      <c r="A308" s="27">
        <v>298</v>
      </c>
      <c r="B308" s="27">
        <v>12</v>
      </c>
      <c r="C308" s="27">
        <v>1</v>
      </c>
      <c r="D308" s="28">
        <f t="shared" si="48"/>
        <v>12</v>
      </c>
      <c r="E308" s="28">
        <f t="shared" si="49"/>
        <v>37.632427290462147</v>
      </c>
      <c r="F308" s="28">
        <f t="shared" si="50"/>
        <v>23.186666666666667</v>
      </c>
      <c r="G308" s="28">
        <f t="shared" si="51"/>
        <v>8.7409060428711882</v>
      </c>
      <c r="H308" s="28">
        <f t="shared" si="52"/>
        <v>-2.3231729276144164</v>
      </c>
      <c r="I308" s="28">
        <f t="shared" si="53"/>
        <v>3.119674929235714</v>
      </c>
      <c r="J308" s="28">
        <f t="shared" si="54"/>
        <v>68.252743918461903</v>
      </c>
      <c r="K308" s="28">
        <f t="shared" si="55"/>
        <v>23.186666666666667</v>
      </c>
      <c r="L308" s="28">
        <f t="shared" si="56"/>
        <v>0</v>
      </c>
      <c r="M308" s="2" t="str">
        <f t="shared" si="57"/>
        <v/>
      </c>
      <c r="N308" s="2" t="str">
        <f t="shared" si="58"/>
        <v/>
      </c>
      <c r="O308" s="2">
        <f t="shared" si="59"/>
        <v>4</v>
      </c>
    </row>
    <row r="309" spans="1:15">
      <c r="A309" s="27">
        <v>299</v>
      </c>
      <c r="B309" s="27">
        <v>18</v>
      </c>
      <c r="C309" s="27">
        <v>1</v>
      </c>
      <c r="D309" s="28">
        <f t="shared" si="48"/>
        <v>18</v>
      </c>
      <c r="E309" s="28">
        <f t="shared" si="49"/>
        <v>37.632427290462147</v>
      </c>
      <c r="F309" s="28">
        <f t="shared" si="50"/>
        <v>23.186666666666667</v>
      </c>
      <c r="G309" s="28">
        <f t="shared" si="51"/>
        <v>8.7409060428711882</v>
      </c>
      <c r="H309" s="28">
        <f t="shared" si="52"/>
        <v>-1.0771326207890441</v>
      </c>
      <c r="I309" s="28">
        <f t="shared" si="53"/>
        <v>3.119674929235714</v>
      </c>
      <c r="J309" s="28">
        <f t="shared" si="54"/>
        <v>68.252743918461903</v>
      </c>
      <c r="K309" s="28">
        <f t="shared" si="55"/>
        <v>23.186666666666667</v>
      </c>
      <c r="L309" s="28">
        <f t="shared" si="56"/>
        <v>0</v>
      </c>
      <c r="M309" s="2" t="str">
        <f t="shared" si="57"/>
        <v/>
      </c>
      <c r="N309" s="2" t="str">
        <f t="shared" si="58"/>
        <v/>
      </c>
      <c r="O309" s="2">
        <f t="shared" si="59"/>
        <v>6</v>
      </c>
    </row>
    <row r="310" spans="1:15">
      <c r="A310" s="27">
        <v>300</v>
      </c>
      <c r="B310" s="27">
        <v>21</v>
      </c>
      <c r="C310" s="27">
        <v>1</v>
      </c>
      <c r="D310" s="28">
        <f t="shared" si="48"/>
        <v>21</v>
      </c>
      <c r="E310" s="28">
        <f t="shared" si="49"/>
        <v>37.632427290462147</v>
      </c>
      <c r="F310" s="28">
        <f t="shared" si="50"/>
        <v>23.186666666666667</v>
      </c>
      <c r="G310" s="28">
        <f t="shared" si="51"/>
        <v>8.7409060428711882</v>
      </c>
      <c r="H310" s="28">
        <f t="shared" si="52"/>
        <v>-0.45411246737635802</v>
      </c>
      <c r="I310" s="28">
        <f t="shared" si="53"/>
        <v>3.119674929235714</v>
      </c>
      <c r="J310" s="28">
        <f t="shared" si="54"/>
        <v>68.252743918461903</v>
      </c>
      <c r="K310" s="28">
        <f t="shared" si="55"/>
        <v>23.186666666666667</v>
      </c>
      <c r="L310" s="28">
        <f t="shared" si="56"/>
        <v>0</v>
      </c>
      <c r="M310" s="2" t="str">
        <f t="shared" si="57"/>
        <v/>
      </c>
      <c r="N310" s="2" t="str">
        <f t="shared" si="58"/>
        <v/>
      </c>
      <c r="O310" s="2">
        <f t="shared" si="59"/>
        <v>3</v>
      </c>
    </row>
    <row r="311" spans="1:15">
      <c r="A311" s="27">
        <v>301</v>
      </c>
      <c r="B311" s="27">
        <v>41</v>
      </c>
      <c r="C311" s="27">
        <v>1</v>
      </c>
      <c r="D311" s="28">
        <f t="shared" si="48"/>
        <v>41</v>
      </c>
      <c r="E311" s="28">
        <f t="shared" si="49"/>
        <v>37.632427290462147</v>
      </c>
      <c r="F311" s="28">
        <f t="shared" si="50"/>
        <v>23.186666666666667</v>
      </c>
      <c r="G311" s="28">
        <f t="shared" si="51"/>
        <v>8.7409060428711882</v>
      </c>
      <c r="H311" s="28">
        <f t="shared" si="52"/>
        <v>3.6993552220415493</v>
      </c>
      <c r="I311" s="28">
        <f t="shared" si="53"/>
        <v>3.119674929235714</v>
      </c>
      <c r="J311" s="28">
        <f t="shared" si="54"/>
        <v>68.252743918461903</v>
      </c>
      <c r="K311" s="28">
        <f t="shared" si="55"/>
        <v>23.186666666666667</v>
      </c>
      <c r="L311" s="28">
        <f t="shared" si="56"/>
        <v>0</v>
      </c>
      <c r="M311" s="2" t="str">
        <f t="shared" si="57"/>
        <v>Y</v>
      </c>
      <c r="N311" s="2" t="str">
        <f t="shared" si="58"/>
        <v/>
      </c>
      <c r="O311" s="2">
        <f t="shared" si="59"/>
        <v>20</v>
      </c>
    </row>
    <row r="312" spans="1:15">
      <c r="A312" s="27">
        <v>302</v>
      </c>
      <c r="B312" s="27">
        <v>16</v>
      </c>
      <c r="C312" s="27">
        <v>1</v>
      </c>
      <c r="D312" s="28">
        <f t="shared" si="48"/>
        <v>16</v>
      </c>
      <c r="E312" s="28">
        <f t="shared" si="49"/>
        <v>37.632427290462147</v>
      </c>
      <c r="F312" s="28">
        <f t="shared" si="50"/>
        <v>23.186666666666667</v>
      </c>
      <c r="G312" s="28">
        <f t="shared" si="51"/>
        <v>8.7409060428711882</v>
      </c>
      <c r="H312" s="28">
        <f t="shared" si="52"/>
        <v>-1.4924793897308348</v>
      </c>
      <c r="I312" s="28">
        <f t="shared" si="53"/>
        <v>3.119674929235714</v>
      </c>
      <c r="J312" s="28">
        <f t="shared" si="54"/>
        <v>68.252743918461903</v>
      </c>
      <c r="K312" s="28">
        <f t="shared" si="55"/>
        <v>23.186666666666667</v>
      </c>
      <c r="L312" s="28">
        <f t="shared" si="56"/>
        <v>0</v>
      </c>
      <c r="M312" s="2" t="str">
        <f t="shared" si="57"/>
        <v/>
      </c>
      <c r="N312" s="2" t="str">
        <f t="shared" si="58"/>
        <v/>
      </c>
      <c r="O312" s="2">
        <f t="shared" si="59"/>
        <v>25</v>
      </c>
    </row>
    <row r="313" spans="1:15">
      <c r="A313" s="27">
        <v>303</v>
      </c>
      <c r="B313" s="27">
        <v>24</v>
      </c>
      <c r="C313" s="27">
        <v>1</v>
      </c>
      <c r="D313" s="28">
        <f t="shared" si="48"/>
        <v>24</v>
      </c>
      <c r="E313" s="28">
        <f t="shared" si="49"/>
        <v>37.632427290462147</v>
      </c>
      <c r="F313" s="28">
        <f t="shared" si="50"/>
        <v>23.186666666666667</v>
      </c>
      <c r="G313" s="28">
        <f t="shared" si="51"/>
        <v>8.7409060428711882</v>
      </c>
      <c r="H313" s="28">
        <f t="shared" si="52"/>
        <v>0.16890768603632808</v>
      </c>
      <c r="I313" s="28">
        <f t="shared" si="53"/>
        <v>3.119674929235714</v>
      </c>
      <c r="J313" s="28">
        <f t="shared" si="54"/>
        <v>68.252743918461903</v>
      </c>
      <c r="K313" s="28">
        <f t="shared" si="55"/>
        <v>23.186666666666667</v>
      </c>
      <c r="L313" s="28">
        <f t="shared" si="56"/>
        <v>0</v>
      </c>
      <c r="M313" s="2" t="str">
        <f t="shared" si="57"/>
        <v/>
      </c>
      <c r="N313" s="2" t="str">
        <f t="shared" si="58"/>
        <v/>
      </c>
      <c r="O313" s="2">
        <f t="shared" si="59"/>
        <v>8</v>
      </c>
    </row>
    <row r="314" spans="1:15">
      <c r="A314" s="27">
        <v>304</v>
      </c>
      <c r="B314" s="27">
        <v>20</v>
      </c>
      <c r="C314" s="27">
        <v>1</v>
      </c>
      <c r="D314" s="28">
        <f t="shared" si="48"/>
        <v>20</v>
      </c>
      <c r="E314" s="28">
        <f t="shared" si="49"/>
        <v>37.632427290462147</v>
      </c>
      <c r="F314" s="28">
        <f t="shared" si="50"/>
        <v>23.186666666666667</v>
      </c>
      <c r="G314" s="28">
        <f t="shared" si="51"/>
        <v>8.7409060428711882</v>
      </c>
      <c r="H314" s="28">
        <f t="shared" si="52"/>
        <v>-0.66178585184725336</v>
      </c>
      <c r="I314" s="28">
        <f t="shared" si="53"/>
        <v>3.119674929235714</v>
      </c>
      <c r="J314" s="28">
        <f t="shared" si="54"/>
        <v>68.252743918461903</v>
      </c>
      <c r="K314" s="28">
        <f t="shared" si="55"/>
        <v>23.186666666666667</v>
      </c>
      <c r="L314" s="28">
        <f t="shared" si="56"/>
        <v>0</v>
      </c>
      <c r="M314" s="2" t="str">
        <f t="shared" si="57"/>
        <v/>
      </c>
      <c r="N314" s="2" t="str">
        <f t="shared" si="58"/>
        <v/>
      </c>
      <c r="O314" s="2">
        <f t="shared" si="59"/>
        <v>4</v>
      </c>
    </row>
    <row r="315" spans="1:15">
      <c r="A315" s="27">
        <v>305</v>
      </c>
      <c r="B315" s="27">
        <v>14</v>
      </c>
      <c r="C315" s="27">
        <v>1</v>
      </c>
      <c r="D315" s="28">
        <f t="shared" si="48"/>
        <v>14</v>
      </c>
      <c r="E315" s="28">
        <f t="shared" si="49"/>
        <v>37.632427290462147</v>
      </c>
      <c r="F315" s="28">
        <f t="shared" si="50"/>
        <v>23.186666666666667</v>
      </c>
      <c r="G315" s="28">
        <f t="shared" si="51"/>
        <v>8.7409060428711882</v>
      </c>
      <c r="H315" s="28">
        <f t="shared" si="52"/>
        <v>-1.9078261586726255</v>
      </c>
      <c r="I315" s="28">
        <f t="shared" si="53"/>
        <v>3.119674929235714</v>
      </c>
      <c r="J315" s="28">
        <f t="shared" si="54"/>
        <v>68.252743918461903</v>
      </c>
      <c r="K315" s="28">
        <f t="shared" si="55"/>
        <v>23.186666666666667</v>
      </c>
      <c r="L315" s="28">
        <f t="shared" si="56"/>
        <v>0</v>
      </c>
      <c r="M315" s="2" t="str">
        <f t="shared" si="57"/>
        <v/>
      </c>
      <c r="N315" s="2" t="str">
        <f t="shared" si="58"/>
        <v/>
      </c>
      <c r="O315" s="2">
        <f t="shared" si="59"/>
        <v>6</v>
      </c>
    </row>
    <row r="316" spans="1:15">
      <c r="A316" s="27">
        <v>306</v>
      </c>
      <c r="B316" s="27">
        <v>20</v>
      </c>
      <c r="C316" s="27">
        <v>1</v>
      </c>
      <c r="D316" s="28">
        <f t="shared" si="48"/>
        <v>20</v>
      </c>
      <c r="E316" s="28">
        <f t="shared" si="49"/>
        <v>37.632427290462147</v>
      </c>
      <c r="F316" s="28">
        <f t="shared" si="50"/>
        <v>23.186666666666667</v>
      </c>
      <c r="G316" s="28">
        <f t="shared" si="51"/>
        <v>8.7409060428711882</v>
      </c>
      <c r="H316" s="28">
        <f t="shared" si="52"/>
        <v>-0.66178585184725336</v>
      </c>
      <c r="I316" s="28">
        <f t="shared" si="53"/>
        <v>3.119674929235714</v>
      </c>
      <c r="J316" s="28">
        <f t="shared" si="54"/>
        <v>68.252743918461903</v>
      </c>
      <c r="K316" s="28">
        <f t="shared" si="55"/>
        <v>23.186666666666667</v>
      </c>
      <c r="L316" s="28">
        <f t="shared" si="56"/>
        <v>0</v>
      </c>
      <c r="M316" s="2" t="str">
        <f t="shared" si="57"/>
        <v/>
      </c>
      <c r="N316" s="2" t="str">
        <f t="shared" si="58"/>
        <v/>
      </c>
      <c r="O316" s="2">
        <f t="shared" si="59"/>
        <v>6</v>
      </c>
    </row>
    <row r="317" spans="1:15">
      <c r="A317" s="27">
        <v>307</v>
      </c>
      <c r="B317" s="27">
        <v>15</v>
      </c>
      <c r="C317" s="27">
        <v>1</v>
      </c>
      <c r="D317" s="28">
        <f t="shared" si="48"/>
        <v>15</v>
      </c>
      <c r="E317" s="28">
        <f t="shared" si="49"/>
        <v>37.632427290462147</v>
      </c>
      <c r="F317" s="28">
        <f t="shared" si="50"/>
        <v>23.186666666666667</v>
      </c>
      <c r="G317" s="28">
        <f t="shared" si="51"/>
        <v>8.7409060428711882</v>
      </c>
      <c r="H317" s="28">
        <f t="shared" si="52"/>
        <v>-1.7001527742017302</v>
      </c>
      <c r="I317" s="28">
        <f t="shared" si="53"/>
        <v>3.119674929235714</v>
      </c>
      <c r="J317" s="28">
        <f t="shared" si="54"/>
        <v>68.252743918461903</v>
      </c>
      <c r="K317" s="28">
        <f t="shared" si="55"/>
        <v>23.186666666666667</v>
      </c>
      <c r="L317" s="28">
        <f t="shared" si="56"/>
        <v>0</v>
      </c>
      <c r="M317" s="2" t="str">
        <f t="shared" si="57"/>
        <v/>
      </c>
      <c r="N317" s="2" t="str">
        <f t="shared" si="58"/>
        <v/>
      </c>
      <c r="O317" s="2">
        <f t="shared" si="59"/>
        <v>5</v>
      </c>
    </row>
    <row r="318" spans="1:15">
      <c r="A318" s="27">
        <v>308</v>
      </c>
      <c r="B318" s="27">
        <v>23</v>
      </c>
      <c r="C318" s="27">
        <v>1</v>
      </c>
      <c r="D318" s="28">
        <f t="shared" si="48"/>
        <v>23</v>
      </c>
      <c r="E318" s="28">
        <f t="shared" si="49"/>
        <v>37.632427290462147</v>
      </c>
      <c r="F318" s="28">
        <f t="shared" si="50"/>
        <v>23.186666666666667</v>
      </c>
      <c r="G318" s="28">
        <f t="shared" si="51"/>
        <v>8.7409060428711882</v>
      </c>
      <c r="H318" s="28">
        <f t="shared" si="52"/>
        <v>-3.8765698434567293E-2</v>
      </c>
      <c r="I318" s="28">
        <f t="shared" si="53"/>
        <v>3.119674929235714</v>
      </c>
      <c r="J318" s="28">
        <f t="shared" si="54"/>
        <v>68.252743918461903</v>
      </c>
      <c r="K318" s="28">
        <f t="shared" si="55"/>
        <v>23.186666666666667</v>
      </c>
      <c r="L318" s="28">
        <f t="shared" si="56"/>
        <v>0</v>
      </c>
      <c r="M318" s="2" t="str">
        <f t="shared" si="57"/>
        <v/>
      </c>
      <c r="N318" s="2" t="str">
        <f t="shared" si="58"/>
        <v/>
      </c>
      <c r="O318" s="2">
        <f t="shared" si="59"/>
        <v>8</v>
      </c>
    </row>
    <row r="319" spans="1:15">
      <c r="A319" s="27">
        <v>309</v>
      </c>
      <c r="B319" s="27">
        <v>30</v>
      </c>
      <c r="C319" s="27">
        <v>1</v>
      </c>
      <c r="D319" s="28">
        <f t="shared" si="48"/>
        <v>30</v>
      </c>
      <c r="E319" s="28">
        <f t="shared" si="49"/>
        <v>37.632427290462147</v>
      </c>
      <c r="F319" s="28">
        <f t="shared" si="50"/>
        <v>23.186666666666667</v>
      </c>
      <c r="G319" s="28">
        <f t="shared" si="51"/>
        <v>8.7409060428711882</v>
      </c>
      <c r="H319" s="28">
        <f t="shared" si="52"/>
        <v>1.4149479928617004</v>
      </c>
      <c r="I319" s="28">
        <f t="shared" si="53"/>
        <v>3.119674929235714</v>
      </c>
      <c r="J319" s="28">
        <f t="shared" si="54"/>
        <v>68.252743918461903</v>
      </c>
      <c r="K319" s="28">
        <f t="shared" si="55"/>
        <v>23.186666666666667</v>
      </c>
      <c r="L319" s="28">
        <f t="shared" si="56"/>
        <v>0</v>
      </c>
      <c r="M319" s="2" t="str">
        <f t="shared" si="57"/>
        <v/>
      </c>
      <c r="N319" s="2" t="str">
        <f t="shared" si="58"/>
        <v/>
      </c>
      <c r="O319" s="2">
        <f t="shared" si="59"/>
        <v>7</v>
      </c>
    </row>
    <row r="320" spans="1:15">
      <c r="A320" s="27">
        <v>310</v>
      </c>
      <c r="B320" s="27">
        <v>22</v>
      </c>
      <c r="C320" s="27">
        <v>1</v>
      </c>
      <c r="D320" s="28">
        <f t="shared" si="48"/>
        <v>22</v>
      </c>
      <c r="E320" s="28">
        <f t="shared" si="49"/>
        <v>37.632427290462147</v>
      </c>
      <c r="F320" s="28">
        <f t="shared" si="50"/>
        <v>23.186666666666667</v>
      </c>
      <c r="G320" s="28">
        <f t="shared" si="51"/>
        <v>8.7409060428711882</v>
      </c>
      <c r="H320" s="28">
        <f t="shared" si="52"/>
        <v>-0.24643908290546265</v>
      </c>
      <c r="I320" s="28">
        <f t="shared" si="53"/>
        <v>3.119674929235714</v>
      </c>
      <c r="J320" s="28">
        <f t="shared" si="54"/>
        <v>68.252743918461903</v>
      </c>
      <c r="K320" s="28">
        <f t="shared" si="55"/>
        <v>23.186666666666667</v>
      </c>
      <c r="L320" s="28">
        <f t="shared" si="56"/>
        <v>0</v>
      </c>
      <c r="M320" s="2" t="str">
        <f t="shared" si="57"/>
        <v/>
      </c>
      <c r="N320" s="2" t="str">
        <f t="shared" si="58"/>
        <v/>
      </c>
      <c r="O320" s="2">
        <f t="shared" si="59"/>
        <v>8</v>
      </c>
    </row>
    <row r="321" spans="1:15">
      <c r="A321" s="27">
        <v>311</v>
      </c>
      <c r="B321" s="27">
        <v>26</v>
      </c>
      <c r="C321" s="27">
        <v>1</v>
      </c>
      <c r="D321" s="28">
        <f t="shared" si="48"/>
        <v>26</v>
      </c>
      <c r="E321" s="28">
        <f t="shared" si="49"/>
        <v>37.632427290462147</v>
      </c>
      <c r="F321" s="28">
        <f t="shared" si="50"/>
        <v>23.186666666666667</v>
      </c>
      <c r="G321" s="28">
        <f t="shared" si="51"/>
        <v>8.7409060428711882</v>
      </c>
      <c r="H321" s="28">
        <f t="shared" si="52"/>
        <v>0.58425445497811879</v>
      </c>
      <c r="I321" s="28">
        <f t="shared" si="53"/>
        <v>3.119674929235714</v>
      </c>
      <c r="J321" s="28">
        <f t="shared" si="54"/>
        <v>68.252743918461903</v>
      </c>
      <c r="K321" s="28">
        <f t="shared" si="55"/>
        <v>23.186666666666667</v>
      </c>
      <c r="L321" s="28">
        <f t="shared" si="56"/>
        <v>0</v>
      </c>
      <c r="M321" s="2" t="str">
        <f t="shared" si="57"/>
        <v/>
      </c>
      <c r="N321" s="2" t="str">
        <f t="shared" si="58"/>
        <v/>
      </c>
      <c r="O321" s="2">
        <f t="shared" si="59"/>
        <v>4</v>
      </c>
    </row>
    <row r="322" spans="1:15">
      <c r="A322" s="27">
        <v>312</v>
      </c>
      <c r="B322" s="27">
        <v>16</v>
      </c>
      <c r="C322" s="27">
        <v>1</v>
      </c>
      <c r="D322" s="28">
        <f t="shared" si="48"/>
        <v>16</v>
      </c>
      <c r="E322" s="28">
        <f t="shared" si="49"/>
        <v>37.632427290462147</v>
      </c>
      <c r="F322" s="28">
        <f t="shared" si="50"/>
        <v>23.186666666666667</v>
      </c>
      <c r="G322" s="28">
        <f t="shared" si="51"/>
        <v>8.7409060428711882</v>
      </c>
      <c r="H322" s="28">
        <f t="shared" si="52"/>
        <v>-1.4924793897308348</v>
      </c>
      <c r="I322" s="28">
        <f t="shared" si="53"/>
        <v>3.119674929235714</v>
      </c>
      <c r="J322" s="28">
        <f t="shared" si="54"/>
        <v>68.252743918461903</v>
      </c>
      <c r="K322" s="28">
        <f t="shared" si="55"/>
        <v>23.186666666666667</v>
      </c>
      <c r="L322" s="28">
        <f t="shared" si="56"/>
        <v>0</v>
      </c>
      <c r="M322" s="2" t="str">
        <f t="shared" si="57"/>
        <v/>
      </c>
      <c r="N322" s="2" t="str">
        <f t="shared" si="58"/>
        <v/>
      </c>
      <c r="O322" s="2">
        <f t="shared" si="59"/>
        <v>10</v>
      </c>
    </row>
    <row r="323" spans="1:15">
      <c r="A323" s="27">
        <v>313</v>
      </c>
      <c r="B323" s="27">
        <v>18</v>
      </c>
      <c r="C323" s="27">
        <v>1</v>
      </c>
      <c r="D323" s="28">
        <f t="shared" si="48"/>
        <v>18</v>
      </c>
      <c r="E323" s="28">
        <f t="shared" si="49"/>
        <v>37.632427290462147</v>
      </c>
      <c r="F323" s="28">
        <f t="shared" si="50"/>
        <v>23.186666666666667</v>
      </c>
      <c r="G323" s="28">
        <f t="shared" si="51"/>
        <v>8.7409060428711882</v>
      </c>
      <c r="H323" s="28">
        <f t="shared" si="52"/>
        <v>-1.0771326207890441</v>
      </c>
      <c r="I323" s="28">
        <f t="shared" si="53"/>
        <v>3.119674929235714</v>
      </c>
      <c r="J323" s="28">
        <f t="shared" si="54"/>
        <v>68.252743918461903</v>
      </c>
      <c r="K323" s="28">
        <f t="shared" si="55"/>
        <v>23.186666666666667</v>
      </c>
      <c r="L323" s="28">
        <f t="shared" si="56"/>
        <v>0</v>
      </c>
      <c r="M323" s="2" t="str">
        <f t="shared" si="57"/>
        <v/>
      </c>
      <c r="N323" s="2" t="str">
        <f t="shared" si="58"/>
        <v/>
      </c>
      <c r="O323" s="2">
        <f t="shared" si="59"/>
        <v>2</v>
      </c>
    </row>
    <row r="324" spans="1:15">
      <c r="A324" s="27">
        <v>314</v>
      </c>
      <c r="B324" s="27">
        <v>26</v>
      </c>
      <c r="C324" s="27">
        <v>1</v>
      </c>
      <c r="D324" s="28">
        <f t="shared" si="48"/>
        <v>26</v>
      </c>
      <c r="E324" s="28">
        <f t="shared" si="49"/>
        <v>37.632427290462147</v>
      </c>
      <c r="F324" s="28">
        <f t="shared" si="50"/>
        <v>23.186666666666667</v>
      </c>
      <c r="G324" s="28">
        <f t="shared" si="51"/>
        <v>8.7409060428711882</v>
      </c>
      <c r="H324" s="28">
        <f t="shared" si="52"/>
        <v>0.58425445497811879</v>
      </c>
      <c r="I324" s="28">
        <f t="shared" si="53"/>
        <v>3.119674929235714</v>
      </c>
      <c r="J324" s="28">
        <f t="shared" si="54"/>
        <v>68.252743918461903</v>
      </c>
      <c r="K324" s="28">
        <f t="shared" si="55"/>
        <v>23.186666666666667</v>
      </c>
      <c r="L324" s="28">
        <f t="shared" si="56"/>
        <v>0</v>
      </c>
      <c r="M324" s="2" t="str">
        <f t="shared" si="57"/>
        <v/>
      </c>
      <c r="N324" s="2" t="str">
        <f t="shared" si="58"/>
        <v/>
      </c>
      <c r="O324" s="2">
        <f t="shared" si="59"/>
        <v>8</v>
      </c>
    </row>
    <row r="325" spans="1:15">
      <c r="A325" s="27">
        <v>315</v>
      </c>
      <c r="B325" s="27">
        <v>18</v>
      </c>
      <c r="C325" s="27">
        <v>1</v>
      </c>
      <c r="D325" s="28">
        <f t="shared" si="48"/>
        <v>18</v>
      </c>
      <c r="E325" s="28">
        <f t="shared" si="49"/>
        <v>37.632427290462147</v>
      </c>
      <c r="F325" s="28">
        <f t="shared" si="50"/>
        <v>23.186666666666667</v>
      </c>
      <c r="G325" s="28">
        <f t="shared" si="51"/>
        <v>8.7409060428711882</v>
      </c>
      <c r="H325" s="28">
        <f t="shared" si="52"/>
        <v>-1.0771326207890441</v>
      </c>
      <c r="I325" s="28">
        <f t="shared" si="53"/>
        <v>3.119674929235714</v>
      </c>
      <c r="J325" s="28">
        <f t="shared" si="54"/>
        <v>68.252743918461903</v>
      </c>
      <c r="K325" s="28">
        <f t="shared" si="55"/>
        <v>23.186666666666667</v>
      </c>
      <c r="L325" s="28">
        <f t="shared" si="56"/>
        <v>0</v>
      </c>
      <c r="M325" s="2" t="str">
        <f t="shared" si="57"/>
        <v/>
      </c>
      <c r="N325" s="2" t="str">
        <f t="shared" si="58"/>
        <v/>
      </c>
      <c r="O325" s="2">
        <f t="shared" si="59"/>
        <v>8</v>
      </c>
    </row>
    <row r="326" spans="1:15">
      <c r="A326" s="27">
        <v>316</v>
      </c>
      <c r="B326" s="27">
        <v>17</v>
      </c>
      <c r="C326" s="27">
        <v>1</v>
      </c>
      <c r="D326" s="28">
        <f t="shared" si="48"/>
        <v>17</v>
      </c>
      <c r="E326" s="28">
        <f t="shared" si="49"/>
        <v>37.632427290462147</v>
      </c>
      <c r="F326" s="28">
        <f t="shared" si="50"/>
        <v>23.186666666666667</v>
      </c>
      <c r="G326" s="28">
        <f t="shared" si="51"/>
        <v>8.7409060428711882</v>
      </c>
      <c r="H326" s="28">
        <f t="shared" si="52"/>
        <v>-1.2848060052599395</v>
      </c>
      <c r="I326" s="28">
        <f t="shared" si="53"/>
        <v>3.119674929235714</v>
      </c>
      <c r="J326" s="28">
        <f t="shared" si="54"/>
        <v>68.252743918461903</v>
      </c>
      <c r="K326" s="28">
        <f t="shared" si="55"/>
        <v>23.186666666666667</v>
      </c>
      <c r="L326" s="28">
        <f t="shared" si="56"/>
        <v>0</v>
      </c>
      <c r="M326" s="2" t="str">
        <f t="shared" si="57"/>
        <v/>
      </c>
      <c r="N326" s="2" t="str">
        <f t="shared" si="58"/>
        <v/>
      </c>
      <c r="O326" s="2">
        <f t="shared" si="59"/>
        <v>1</v>
      </c>
    </row>
    <row r="327" spans="1:15">
      <c r="A327" s="27">
        <v>317</v>
      </c>
      <c r="B327" s="27">
        <v>24</v>
      </c>
      <c r="C327" s="27">
        <v>1</v>
      </c>
      <c r="D327" s="28">
        <f t="shared" si="48"/>
        <v>24</v>
      </c>
      <c r="E327" s="28">
        <f t="shared" si="49"/>
        <v>37.632427290462147</v>
      </c>
      <c r="F327" s="28">
        <f t="shared" si="50"/>
        <v>23.186666666666667</v>
      </c>
      <c r="G327" s="28">
        <f t="shared" si="51"/>
        <v>8.7409060428711882</v>
      </c>
      <c r="H327" s="28">
        <f t="shared" si="52"/>
        <v>0.16890768603632808</v>
      </c>
      <c r="I327" s="28">
        <f t="shared" si="53"/>
        <v>3.119674929235714</v>
      </c>
      <c r="J327" s="28">
        <f t="shared" si="54"/>
        <v>68.252743918461903</v>
      </c>
      <c r="K327" s="28">
        <f t="shared" si="55"/>
        <v>23.186666666666667</v>
      </c>
      <c r="L327" s="28">
        <f t="shared" si="56"/>
        <v>0</v>
      </c>
      <c r="M327" s="2" t="str">
        <f t="shared" si="57"/>
        <v/>
      </c>
      <c r="N327" s="2" t="str">
        <f t="shared" si="58"/>
        <v/>
      </c>
      <c r="O327" s="2">
        <f t="shared" si="59"/>
        <v>7</v>
      </c>
    </row>
    <row r="328" spans="1:15">
      <c r="A328" s="27">
        <v>318</v>
      </c>
      <c r="B328" s="27">
        <v>22</v>
      </c>
      <c r="C328" s="27">
        <v>1</v>
      </c>
      <c r="D328" s="28">
        <f t="shared" si="48"/>
        <v>22</v>
      </c>
      <c r="E328" s="28">
        <f t="shared" si="49"/>
        <v>37.632427290462147</v>
      </c>
      <c r="F328" s="28">
        <f t="shared" si="50"/>
        <v>23.186666666666667</v>
      </c>
      <c r="G328" s="28">
        <f t="shared" si="51"/>
        <v>8.7409060428711882</v>
      </c>
      <c r="H328" s="28">
        <f t="shared" si="52"/>
        <v>-0.24643908290546265</v>
      </c>
      <c r="I328" s="28">
        <f t="shared" si="53"/>
        <v>3.119674929235714</v>
      </c>
      <c r="J328" s="28">
        <f t="shared" si="54"/>
        <v>68.252743918461903</v>
      </c>
      <c r="K328" s="28">
        <f t="shared" si="55"/>
        <v>23.186666666666667</v>
      </c>
      <c r="L328" s="28">
        <f t="shared" si="56"/>
        <v>0</v>
      </c>
      <c r="M328" s="2" t="str">
        <f t="shared" si="57"/>
        <v/>
      </c>
      <c r="N328" s="2" t="str">
        <f t="shared" si="58"/>
        <v/>
      </c>
      <c r="O328" s="2">
        <f t="shared" si="59"/>
        <v>2</v>
      </c>
    </row>
    <row r="329" spans="1:15">
      <c r="A329" s="27">
        <v>319</v>
      </c>
      <c r="B329" s="27">
        <v>43</v>
      </c>
      <c r="C329" s="27">
        <v>1</v>
      </c>
      <c r="D329" s="28">
        <f t="shared" si="48"/>
        <v>43</v>
      </c>
      <c r="E329" s="28">
        <f t="shared" si="49"/>
        <v>37.632427290462147</v>
      </c>
      <c r="F329" s="28">
        <f t="shared" si="50"/>
        <v>23.186666666666667</v>
      </c>
      <c r="G329" s="28">
        <f t="shared" si="51"/>
        <v>8.7409060428711882</v>
      </c>
      <c r="H329" s="28">
        <f t="shared" si="52"/>
        <v>4.11470199098334</v>
      </c>
      <c r="I329" s="28">
        <f t="shared" si="53"/>
        <v>3.119674929235714</v>
      </c>
      <c r="J329" s="28">
        <f t="shared" si="54"/>
        <v>68.252743918461903</v>
      </c>
      <c r="K329" s="28">
        <f t="shared" si="55"/>
        <v>23.186666666666667</v>
      </c>
      <c r="L329" s="28">
        <f t="shared" si="56"/>
        <v>0</v>
      </c>
      <c r="M329" s="2" t="str">
        <f t="shared" si="57"/>
        <v>Y</v>
      </c>
      <c r="N329" s="2" t="str">
        <f t="shared" si="58"/>
        <v/>
      </c>
      <c r="O329" s="2">
        <f t="shared" si="59"/>
        <v>21</v>
      </c>
    </row>
    <row r="330" spans="1:15">
      <c r="A330" s="27">
        <v>320</v>
      </c>
      <c r="B330" s="27">
        <v>23</v>
      </c>
      <c r="C330" s="27">
        <v>1</v>
      </c>
      <c r="D330" s="28">
        <f t="shared" si="48"/>
        <v>23</v>
      </c>
      <c r="E330" s="28">
        <f t="shared" si="49"/>
        <v>37.632427290462147</v>
      </c>
      <c r="F330" s="28">
        <f t="shared" si="50"/>
        <v>23.186666666666667</v>
      </c>
      <c r="G330" s="28">
        <f t="shared" si="51"/>
        <v>8.7409060428711882</v>
      </c>
      <c r="H330" s="28">
        <f t="shared" si="52"/>
        <v>-3.8765698434567293E-2</v>
      </c>
      <c r="I330" s="28">
        <f t="shared" si="53"/>
        <v>3.119674929235714</v>
      </c>
      <c r="J330" s="28">
        <f t="shared" si="54"/>
        <v>68.252743918461903</v>
      </c>
      <c r="K330" s="28">
        <f t="shared" si="55"/>
        <v>23.186666666666667</v>
      </c>
      <c r="L330" s="28">
        <f t="shared" si="56"/>
        <v>0</v>
      </c>
      <c r="M330" s="2" t="str">
        <f t="shared" si="57"/>
        <v/>
      </c>
      <c r="N330" s="2" t="str">
        <f t="shared" si="58"/>
        <v/>
      </c>
      <c r="O330" s="2">
        <f t="shared" si="59"/>
        <v>20</v>
      </c>
    </row>
    <row r="331" spans="1:15">
      <c r="A331" s="27">
        <v>321</v>
      </c>
      <c r="B331" s="27">
        <v>31</v>
      </c>
      <c r="C331" s="27">
        <v>1</v>
      </c>
      <c r="D331" s="28">
        <f t="shared" ref="D331:D394" si="60">IF(C331=0,"",B331/C331)</f>
        <v>31</v>
      </c>
      <c r="E331" s="28">
        <f t="shared" ref="E331:E394" si="61">IF(C331=0,"",$F$5+3*SQRT($F$5/C331))</f>
        <v>37.632427290462147</v>
      </c>
      <c r="F331" s="28">
        <f t="shared" ref="F331:F394" si="62">$F$5</f>
        <v>23.186666666666667</v>
      </c>
      <c r="G331" s="28">
        <f t="shared" ref="G331:G394" si="63">IF(C331=0,"",MAX(0,$F$5-3*SQRT($F$5/C331)))</f>
        <v>8.7409060428711882</v>
      </c>
      <c r="H331" s="28">
        <f t="shared" ref="H331:H394" si="64">IF(C331=0,"",(D331-$F$5)/SQRT($F$5/C331))</f>
        <v>1.6226213773325957</v>
      </c>
      <c r="I331" s="28">
        <f t="shared" ref="I331:I394" si="65">$F$6</f>
        <v>3.119674929235714</v>
      </c>
      <c r="J331" s="28">
        <f t="shared" ref="J331:J394" si="66">IF(C331=0,"",$F$5+3*$F$6*SQRT($F$5/C331))</f>
        <v>68.252743918461903</v>
      </c>
      <c r="K331" s="28">
        <f t="shared" ref="K331:K394" si="67">$F$5</f>
        <v>23.186666666666667</v>
      </c>
      <c r="L331" s="28">
        <f t="shared" ref="L331:L394" si="68">IF(C331=0,"",MAX(0,$F$5-3*$F$6*SQRT($F$5/C331)))</f>
        <v>0</v>
      </c>
      <c r="M331" s="2" t="str">
        <f t="shared" ref="M331:M394" si="69">IF(OR(D331&gt;E331,D331&lt;G331),"Y","")</f>
        <v/>
      </c>
      <c r="N331" s="2" t="str">
        <f t="shared" ref="N331:N394" si="70">IF(OR(D331&gt;J331,D331&lt;L331),"Y","")</f>
        <v/>
      </c>
      <c r="O331" s="2">
        <f t="shared" si="59"/>
        <v>8</v>
      </c>
    </row>
    <row r="332" spans="1:15">
      <c r="A332" s="27">
        <v>322</v>
      </c>
      <c r="B332" s="27">
        <v>15</v>
      </c>
      <c r="C332" s="27">
        <v>1</v>
      </c>
      <c r="D332" s="28">
        <f t="shared" si="60"/>
        <v>15</v>
      </c>
      <c r="E332" s="28">
        <f t="shared" si="61"/>
        <v>37.632427290462147</v>
      </c>
      <c r="F332" s="28">
        <f t="shared" si="62"/>
        <v>23.186666666666667</v>
      </c>
      <c r="G332" s="28">
        <f t="shared" si="63"/>
        <v>8.7409060428711882</v>
      </c>
      <c r="H332" s="28">
        <f t="shared" si="64"/>
        <v>-1.7001527742017302</v>
      </c>
      <c r="I332" s="28">
        <f t="shared" si="65"/>
        <v>3.119674929235714</v>
      </c>
      <c r="J332" s="28">
        <f t="shared" si="66"/>
        <v>68.252743918461903</v>
      </c>
      <c r="K332" s="28">
        <f t="shared" si="67"/>
        <v>23.186666666666667</v>
      </c>
      <c r="L332" s="28">
        <f t="shared" si="68"/>
        <v>0</v>
      </c>
      <c r="M332" s="2" t="str">
        <f t="shared" si="69"/>
        <v/>
      </c>
      <c r="N332" s="2" t="str">
        <f t="shared" si="70"/>
        <v/>
      </c>
      <c r="O332" s="2">
        <f t="shared" ref="O332:O395" si="71">ABS(D332-D331)</f>
        <v>16</v>
      </c>
    </row>
    <row r="333" spans="1:15">
      <c r="A333" s="27">
        <v>323</v>
      </c>
      <c r="B333" s="27">
        <v>46</v>
      </c>
      <c r="C333" s="27">
        <v>1</v>
      </c>
      <c r="D333" s="28">
        <f t="shared" si="60"/>
        <v>46</v>
      </c>
      <c r="E333" s="28">
        <f t="shared" si="61"/>
        <v>37.632427290462147</v>
      </c>
      <c r="F333" s="28">
        <f t="shared" si="62"/>
        <v>23.186666666666667</v>
      </c>
      <c r="G333" s="28">
        <f t="shared" si="63"/>
        <v>8.7409060428711882</v>
      </c>
      <c r="H333" s="28">
        <f t="shared" si="64"/>
        <v>4.7377221443960265</v>
      </c>
      <c r="I333" s="28">
        <f t="shared" si="65"/>
        <v>3.119674929235714</v>
      </c>
      <c r="J333" s="28">
        <f t="shared" si="66"/>
        <v>68.252743918461903</v>
      </c>
      <c r="K333" s="28">
        <f t="shared" si="67"/>
        <v>23.186666666666667</v>
      </c>
      <c r="L333" s="28">
        <f t="shared" si="68"/>
        <v>0</v>
      </c>
      <c r="M333" s="2" t="str">
        <f t="shared" si="69"/>
        <v>Y</v>
      </c>
      <c r="N333" s="2" t="str">
        <f t="shared" si="70"/>
        <v/>
      </c>
      <c r="O333" s="2">
        <f t="shared" si="71"/>
        <v>31</v>
      </c>
    </row>
    <row r="334" spans="1:15">
      <c r="A334" s="27">
        <v>324</v>
      </c>
      <c r="B334" s="27">
        <v>32</v>
      </c>
      <c r="C334" s="27">
        <v>1</v>
      </c>
      <c r="D334" s="28">
        <f t="shared" si="60"/>
        <v>32</v>
      </c>
      <c r="E334" s="28">
        <f t="shared" si="61"/>
        <v>37.632427290462147</v>
      </c>
      <c r="F334" s="28">
        <f t="shared" si="62"/>
        <v>23.186666666666667</v>
      </c>
      <c r="G334" s="28">
        <f t="shared" si="63"/>
        <v>8.7409060428711882</v>
      </c>
      <c r="H334" s="28">
        <f t="shared" si="64"/>
        <v>1.830294761803491</v>
      </c>
      <c r="I334" s="28">
        <f t="shared" si="65"/>
        <v>3.119674929235714</v>
      </c>
      <c r="J334" s="28">
        <f t="shared" si="66"/>
        <v>68.252743918461903</v>
      </c>
      <c r="K334" s="28">
        <f t="shared" si="67"/>
        <v>23.186666666666667</v>
      </c>
      <c r="L334" s="28">
        <f t="shared" si="68"/>
        <v>0</v>
      </c>
      <c r="M334" s="2" t="str">
        <f t="shared" si="69"/>
        <v/>
      </c>
      <c r="N334" s="2" t="str">
        <f t="shared" si="70"/>
        <v/>
      </c>
      <c r="O334" s="2">
        <f t="shared" si="71"/>
        <v>14</v>
      </c>
    </row>
    <row r="335" spans="1:15">
      <c r="A335" s="27">
        <v>325</v>
      </c>
      <c r="B335" s="27">
        <v>44</v>
      </c>
      <c r="C335" s="27">
        <v>1</v>
      </c>
      <c r="D335" s="28">
        <f t="shared" si="60"/>
        <v>44</v>
      </c>
      <c r="E335" s="28">
        <f t="shared" si="61"/>
        <v>37.632427290462147</v>
      </c>
      <c r="F335" s="28">
        <f t="shared" si="62"/>
        <v>23.186666666666667</v>
      </c>
      <c r="G335" s="28">
        <f t="shared" si="63"/>
        <v>8.7409060428711882</v>
      </c>
      <c r="H335" s="28">
        <f t="shared" si="64"/>
        <v>4.3223753754542358</v>
      </c>
      <c r="I335" s="28">
        <f t="shared" si="65"/>
        <v>3.119674929235714</v>
      </c>
      <c r="J335" s="28">
        <f t="shared" si="66"/>
        <v>68.252743918461903</v>
      </c>
      <c r="K335" s="28">
        <f t="shared" si="67"/>
        <v>23.186666666666667</v>
      </c>
      <c r="L335" s="28">
        <f t="shared" si="68"/>
        <v>0</v>
      </c>
      <c r="M335" s="2" t="str">
        <f t="shared" si="69"/>
        <v>Y</v>
      </c>
      <c r="N335" s="2" t="str">
        <f t="shared" si="70"/>
        <v/>
      </c>
      <c r="O335" s="2">
        <f t="shared" si="71"/>
        <v>12</v>
      </c>
    </row>
    <row r="336" spans="1:15">
      <c r="A336" s="27">
        <v>326</v>
      </c>
      <c r="B336" s="27">
        <v>21</v>
      </c>
      <c r="C336" s="27">
        <v>1</v>
      </c>
      <c r="D336" s="28">
        <f t="shared" si="60"/>
        <v>21</v>
      </c>
      <c r="E336" s="28">
        <f t="shared" si="61"/>
        <v>37.632427290462147</v>
      </c>
      <c r="F336" s="28">
        <f t="shared" si="62"/>
        <v>23.186666666666667</v>
      </c>
      <c r="G336" s="28">
        <f t="shared" si="63"/>
        <v>8.7409060428711882</v>
      </c>
      <c r="H336" s="28">
        <f t="shared" si="64"/>
        <v>-0.45411246737635802</v>
      </c>
      <c r="I336" s="28">
        <f t="shared" si="65"/>
        <v>3.119674929235714</v>
      </c>
      <c r="J336" s="28">
        <f t="shared" si="66"/>
        <v>68.252743918461903</v>
      </c>
      <c r="K336" s="28">
        <f t="shared" si="67"/>
        <v>23.186666666666667</v>
      </c>
      <c r="L336" s="28">
        <f t="shared" si="68"/>
        <v>0</v>
      </c>
      <c r="M336" s="2" t="str">
        <f t="shared" si="69"/>
        <v/>
      </c>
      <c r="N336" s="2" t="str">
        <f t="shared" si="70"/>
        <v/>
      </c>
      <c r="O336" s="2">
        <f t="shared" si="71"/>
        <v>23</v>
      </c>
    </row>
    <row r="337" spans="1:15">
      <c r="A337" s="27">
        <v>327</v>
      </c>
      <c r="B337" s="27">
        <v>18</v>
      </c>
      <c r="C337" s="27">
        <v>1</v>
      </c>
      <c r="D337" s="28">
        <f t="shared" si="60"/>
        <v>18</v>
      </c>
      <c r="E337" s="28">
        <f t="shared" si="61"/>
        <v>37.632427290462147</v>
      </c>
      <c r="F337" s="28">
        <f t="shared" si="62"/>
        <v>23.186666666666667</v>
      </c>
      <c r="G337" s="28">
        <f t="shared" si="63"/>
        <v>8.7409060428711882</v>
      </c>
      <c r="H337" s="28">
        <f t="shared" si="64"/>
        <v>-1.0771326207890441</v>
      </c>
      <c r="I337" s="28">
        <f t="shared" si="65"/>
        <v>3.119674929235714</v>
      </c>
      <c r="J337" s="28">
        <f t="shared" si="66"/>
        <v>68.252743918461903</v>
      </c>
      <c r="K337" s="28">
        <f t="shared" si="67"/>
        <v>23.186666666666667</v>
      </c>
      <c r="L337" s="28">
        <f t="shared" si="68"/>
        <v>0</v>
      </c>
      <c r="M337" s="2" t="str">
        <f t="shared" si="69"/>
        <v/>
      </c>
      <c r="N337" s="2" t="str">
        <f t="shared" si="70"/>
        <v/>
      </c>
      <c r="O337" s="2">
        <f t="shared" si="71"/>
        <v>3</v>
      </c>
    </row>
    <row r="338" spans="1:15">
      <c r="A338" s="27">
        <v>328</v>
      </c>
      <c r="B338" s="27">
        <v>16</v>
      </c>
      <c r="C338" s="27">
        <v>1</v>
      </c>
      <c r="D338" s="28">
        <f t="shared" si="60"/>
        <v>16</v>
      </c>
      <c r="E338" s="28">
        <f t="shared" si="61"/>
        <v>37.632427290462147</v>
      </c>
      <c r="F338" s="28">
        <f t="shared" si="62"/>
        <v>23.186666666666667</v>
      </c>
      <c r="G338" s="28">
        <f t="shared" si="63"/>
        <v>8.7409060428711882</v>
      </c>
      <c r="H338" s="28">
        <f t="shared" si="64"/>
        <v>-1.4924793897308348</v>
      </c>
      <c r="I338" s="28">
        <f t="shared" si="65"/>
        <v>3.119674929235714</v>
      </c>
      <c r="J338" s="28">
        <f t="shared" si="66"/>
        <v>68.252743918461903</v>
      </c>
      <c r="K338" s="28">
        <f t="shared" si="67"/>
        <v>23.186666666666667</v>
      </c>
      <c r="L338" s="28">
        <f t="shared" si="68"/>
        <v>0</v>
      </c>
      <c r="M338" s="2" t="str">
        <f t="shared" si="69"/>
        <v/>
      </c>
      <c r="N338" s="2" t="str">
        <f t="shared" si="70"/>
        <v/>
      </c>
      <c r="O338" s="2">
        <f t="shared" si="71"/>
        <v>2</v>
      </c>
    </row>
    <row r="339" spans="1:15">
      <c r="A339" s="27">
        <v>329</v>
      </c>
      <c r="B339" s="27">
        <v>23</v>
      </c>
      <c r="C339" s="27">
        <v>1</v>
      </c>
      <c r="D339" s="28">
        <f t="shared" si="60"/>
        <v>23</v>
      </c>
      <c r="E339" s="28">
        <f t="shared" si="61"/>
        <v>37.632427290462147</v>
      </c>
      <c r="F339" s="28">
        <f t="shared" si="62"/>
        <v>23.186666666666667</v>
      </c>
      <c r="G339" s="28">
        <f t="shared" si="63"/>
        <v>8.7409060428711882</v>
      </c>
      <c r="H339" s="28">
        <f t="shared" si="64"/>
        <v>-3.8765698434567293E-2</v>
      </c>
      <c r="I339" s="28">
        <f t="shared" si="65"/>
        <v>3.119674929235714</v>
      </c>
      <c r="J339" s="28">
        <f t="shared" si="66"/>
        <v>68.252743918461903</v>
      </c>
      <c r="K339" s="28">
        <f t="shared" si="67"/>
        <v>23.186666666666667</v>
      </c>
      <c r="L339" s="28">
        <f t="shared" si="68"/>
        <v>0</v>
      </c>
      <c r="M339" s="2" t="str">
        <f t="shared" si="69"/>
        <v/>
      </c>
      <c r="N339" s="2" t="str">
        <f t="shared" si="70"/>
        <v/>
      </c>
      <c r="O339" s="2">
        <f t="shared" si="71"/>
        <v>7</v>
      </c>
    </row>
    <row r="340" spans="1:15">
      <c r="A340" s="27">
        <v>330</v>
      </c>
      <c r="B340" s="27">
        <v>23</v>
      </c>
      <c r="C340" s="27">
        <v>1</v>
      </c>
      <c r="D340" s="28">
        <f t="shared" si="60"/>
        <v>23</v>
      </c>
      <c r="E340" s="28">
        <f t="shared" si="61"/>
        <v>37.632427290462147</v>
      </c>
      <c r="F340" s="28">
        <f t="shared" si="62"/>
        <v>23.186666666666667</v>
      </c>
      <c r="G340" s="28">
        <f t="shared" si="63"/>
        <v>8.7409060428711882</v>
      </c>
      <c r="H340" s="28">
        <f t="shared" si="64"/>
        <v>-3.8765698434567293E-2</v>
      </c>
      <c r="I340" s="28">
        <f t="shared" si="65"/>
        <v>3.119674929235714</v>
      </c>
      <c r="J340" s="28">
        <f t="shared" si="66"/>
        <v>68.252743918461903</v>
      </c>
      <c r="K340" s="28">
        <f t="shared" si="67"/>
        <v>23.186666666666667</v>
      </c>
      <c r="L340" s="28">
        <f t="shared" si="68"/>
        <v>0</v>
      </c>
      <c r="M340" s="2" t="str">
        <f t="shared" si="69"/>
        <v/>
      </c>
      <c r="N340" s="2" t="str">
        <f t="shared" si="70"/>
        <v/>
      </c>
      <c r="O340" s="2">
        <f t="shared" si="71"/>
        <v>0</v>
      </c>
    </row>
    <row r="341" spans="1:15">
      <c r="A341" s="27">
        <v>331</v>
      </c>
      <c r="B341" s="27">
        <v>9</v>
      </c>
      <c r="C341" s="27">
        <v>1</v>
      </c>
      <c r="D341" s="28">
        <f t="shared" si="60"/>
        <v>9</v>
      </c>
      <c r="E341" s="28">
        <f t="shared" si="61"/>
        <v>37.632427290462147</v>
      </c>
      <c r="F341" s="28">
        <f t="shared" si="62"/>
        <v>23.186666666666667</v>
      </c>
      <c r="G341" s="28">
        <f t="shared" si="63"/>
        <v>8.7409060428711882</v>
      </c>
      <c r="H341" s="28">
        <f t="shared" si="64"/>
        <v>-2.9461930810271024</v>
      </c>
      <c r="I341" s="28">
        <f t="shared" si="65"/>
        <v>3.119674929235714</v>
      </c>
      <c r="J341" s="28">
        <f t="shared" si="66"/>
        <v>68.252743918461903</v>
      </c>
      <c r="K341" s="28">
        <f t="shared" si="67"/>
        <v>23.186666666666667</v>
      </c>
      <c r="L341" s="28">
        <f t="shared" si="68"/>
        <v>0</v>
      </c>
      <c r="M341" s="2" t="str">
        <f t="shared" si="69"/>
        <v/>
      </c>
      <c r="N341" s="2" t="str">
        <f t="shared" si="70"/>
        <v/>
      </c>
      <c r="O341" s="2">
        <f t="shared" si="71"/>
        <v>14</v>
      </c>
    </row>
    <row r="342" spans="1:15">
      <c r="A342" s="27">
        <v>332</v>
      </c>
      <c r="B342" s="27">
        <v>14</v>
      </c>
      <c r="C342" s="27">
        <v>1</v>
      </c>
      <c r="D342" s="28">
        <f t="shared" si="60"/>
        <v>14</v>
      </c>
      <c r="E342" s="28">
        <f t="shared" si="61"/>
        <v>37.632427290462147</v>
      </c>
      <c r="F342" s="28">
        <f t="shared" si="62"/>
        <v>23.186666666666667</v>
      </c>
      <c r="G342" s="28">
        <f t="shared" si="63"/>
        <v>8.7409060428711882</v>
      </c>
      <c r="H342" s="28">
        <f t="shared" si="64"/>
        <v>-1.9078261586726255</v>
      </c>
      <c r="I342" s="28">
        <f t="shared" si="65"/>
        <v>3.119674929235714</v>
      </c>
      <c r="J342" s="28">
        <f t="shared" si="66"/>
        <v>68.252743918461903</v>
      </c>
      <c r="K342" s="28">
        <f t="shared" si="67"/>
        <v>23.186666666666667</v>
      </c>
      <c r="L342" s="28">
        <f t="shared" si="68"/>
        <v>0</v>
      </c>
      <c r="M342" s="2" t="str">
        <f t="shared" si="69"/>
        <v/>
      </c>
      <c r="N342" s="2" t="str">
        <f t="shared" si="70"/>
        <v/>
      </c>
      <c r="O342" s="2">
        <f t="shared" si="71"/>
        <v>5</v>
      </c>
    </row>
    <row r="343" spans="1:15">
      <c r="A343" s="27">
        <v>333</v>
      </c>
      <c r="B343" s="27">
        <v>25</v>
      </c>
      <c r="C343" s="27">
        <v>1</v>
      </c>
      <c r="D343" s="28">
        <f t="shared" si="60"/>
        <v>25</v>
      </c>
      <c r="E343" s="28">
        <f t="shared" si="61"/>
        <v>37.632427290462147</v>
      </c>
      <c r="F343" s="28">
        <f t="shared" si="62"/>
        <v>23.186666666666667</v>
      </c>
      <c r="G343" s="28">
        <f t="shared" si="63"/>
        <v>8.7409060428711882</v>
      </c>
      <c r="H343" s="28">
        <f t="shared" si="64"/>
        <v>0.37658107050722345</v>
      </c>
      <c r="I343" s="28">
        <f t="shared" si="65"/>
        <v>3.119674929235714</v>
      </c>
      <c r="J343" s="28">
        <f t="shared" si="66"/>
        <v>68.252743918461903</v>
      </c>
      <c r="K343" s="28">
        <f t="shared" si="67"/>
        <v>23.186666666666667</v>
      </c>
      <c r="L343" s="28">
        <f t="shared" si="68"/>
        <v>0</v>
      </c>
      <c r="M343" s="2" t="str">
        <f t="shared" si="69"/>
        <v/>
      </c>
      <c r="N343" s="2" t="str">
        <f t="shared" si="70"/>
        <v/>
      </c>
      <c r="O343" s="2">
        <f t="shared" si="71"/>
        <v>11</v>
      </c>
    </row>
    <row r="344" spans="1:15">
      <c r="A344" s="27">
        <v>334</v>
      </c>
      <c r="B344" s="27">
        <v>23</v>
      </c>
      <c r="C344" s="27">
        <v>1</v>
      </c>
      <c r="D344" s="28">
        <f t="shared" si="60"/>
        <v>23</v>
      </c>
      <c r="E344" s="28">
        <f t="shared" si="61"/>
        <v>37.632427290462147</v>
      </c>
      <c r="F344" s="28">
        <f t="shared" si="62"/>
        <v>23.186666666666667</v>
      </c>
      <c r="G344" s="28">
        <f t="shared" si="63"/>
        <v>8.7409060428711882</v>
      </c>
      <c r="H344" s="28">
        <f t="shared" si="64"/>
        <v>-3.8765698434567293E-2</v>
      </c>
      <c r="I344" s="28">
        <f t="shared" si="65"/>
        <v>3.119674929235714</v>
      </c>
      <c r="J344" s="28">
        <f t="shared" si="66"/>
        <v>68.252743918461903</v>
      </c>
      <c r="K344" s="28">
        <f t="shared" si="67"/>
        <v>23.186666666666667</v>
      </c>
      <c r="L344" s="28">
        <f t="shared" si="68"/>
        <v>0</v>
      </c>
      <c r="M344" s="2" t="str">
        <f t="shared" si="69"/>
        <v/>
      </c>
      <c r="N344" s="2" t="str">
        <f t="shared" si="70"/>
        <v/>
      </c>
      <c r="O344" s="2">
        <f t="shared" si="71"/>
        <v>2</v>
      </c>
    </row>
    <row r="345" spans="1:15">
      <c r="A345" s="27">
        <v>335</v>
      </c>
      <c r="B345" s="27">
        <v>15</v>
      </c>
      <c r="C345" s="27">
        <v>1</v>
      </c>
      <c r="D345" s="28">
        <f t="shared" si="60"/>
        <v>15</v>
      </c>
      <c r="E345" s="28">
        <f t="shared" si="61"/>
        <v>37.632427290462147</v>
      </c>
      <c r="F345" s="28">
        <f t="shared" si="62"/>
        <v>23.186666666666667</v>
      </c>
      <c r="G345" s="28">
        <f t="shared" si="63"/>
        <v>8.7409060428711882</v>
      </c>
      <c r="H345" s="28">
        <f t="shared" si="64"/>
        <v>-1.7001527742017302</v>
      </c>
      <c r="I345" s="28">
        <f t="shared" si="65"/>
        <v>3.119674929235714</v>
      </c>
      <c r="J345" s="28">
        <f t="shared" si="66"/>
        <v>68.252743918461903</v>
      </c>
      <c r="K345" s="28">
        <f t="shared" si="67"/>
        <v>23.186666666666667</v>
      </c>
      <c r="L345" s="28">
        <f t="shared" si="68"/>
        <v>0</v>
      </c>
      <c r="M345" s="2" t="str">
        <f t="shared" si="69"/>
        <v/>
      </c>
      <c r="N345" s="2" t="str">
        <f t="shared" si="70"/>
        <v/>
      </c>
      <c r="O345" s="2">
        <f t="shared" si="71"/>
        <v>8</v>
      </c>
    </row>
    <row r="346" spans="1:15">
      <c r="A346" s="27">
        <v>336</v>
      </c>
      <c r="B346" s="27">
        <v>11</v>
      </c>
      <c r="C346" s="27">
        <v>1</v>
      </c>
      <c r="D346" s="28">
        <f t="shared" si="60"/>
        <v>11</v>
      </c>
      <c r="E346" s="28">
        <f t="shared" si="61"/>
        <v>37.632427290462147</v>
      </c>
      <c r="F346" s="28">
        <f t="shared" si="62"/>
        <v>23.186666666666667</v>
      </c>
      <c r="G346" s="28">
        <f t="shared" si="63"/>
        <v>8.7409060428711882</v>
      </c>
      <c r="H346" s="28">
        <f t="shared" si="64"/>
        <v>-2.5308463120853117</v>
      </c>
      <c r="I346" s="28">
        <f t="shared" si="65"/>
        <v>3.119674929235714</v>
      </c>
      <c r="J346" s="28">
        <f t="shared" si="66"/>
        <v>68.252743918461903</v>
      </c>
      <c r="K346" s="28">
        <f t="shared" si="67"/>
        <v>23.186666666666667</v>
      </c>
      <c r="L346" s="28">
        <f t="shared" si="68"/>
        <v>0</v>
      </c>
      <c r="M346" s="2" t="str">
        <f t="shared" si="69"/>
        <v/>
      </c>
      <c r="N346" s="2" t="str">
        <f t="shared" si="70"/>
        <v/>
      </c>
      <c r="O346" s="2">
        <f t="shared" si="71"/>
        <v>4</v>
      </c>
    </row>
    <row r="347" spans="1:15">
      <c r="A347" s="27">
        <v>337</v>
      </c>
      <c r="B347" s="27">
        <v>14</v>
      </c>
      <c r="C347" s="27">
        <v>1</v>
      </c>
      <c r="D347" s="28">
        <f t="shared" si="60"/>
        <v>14</v>
      </c>
      <c r="E347" s="28">
        <f t="shared" si="61"/>
        <v>37.632427290462147</v>
      </c>
      <c r="F347" s="28">
        <f t="shared" si="62"/>
        <v>23.186666666666667</v>
      </c>
      <c r="G347" s="28">
        <f t="shared" si="63"/>
        <v>8.7409060428711882</v>
      </c>
      <c r="H347" s="28">
        <f t="shared" si="64"/>
        <v>-1.9078261586726255</v>
      </c>
      <c r="I347" s="28">
        <f t="shared" si="65"/>
        <v>3.119674929235714</v>
      </c>
      <c r="J347" s="28">
        <f t="shared" si="66"/>
        <v>68.252743918461903</v>
      </c>
      <c r="K347" s="28">
        <f t="shared" si="67"/>
        <v>23.186666666666667</v>
      </c>
      <c r="L347" s="28">
        <f t="shared" si="68"/>
        <v>0</v>
      </c>
      <c r="M347" s="2" t="str">
        <f t="shared" si="69"/>
        <v/>
      </c>
      <c r="N347" s="2" t="str">
        <f t="shared" si="70"/>
        <v/>
      </c>
      <c r="O347" s="2">
        <f t="shared" si="71"/>
        <v>3</v>
      </c>
    </row>
    <row r="348" spans="1:15">
      <c r="A348" s="27">
        <v>338</v>
      </c>
      <c r="B348" s="27">
        <v>15</v>
      </c>
      <c r="C348" s="27">
        <v>1</v>
      </c>
      <c r="D348" s="28">
        <f t="shared" si="60"/>
        <v>15</v>
      </c>
      <c r="E348" s="28">
        <f t="shared" si="61"/>
        <v>37.632427290462147</v>
      </c>
      <c r="F348" s="28">
        <f t="shared" si="62"/>
        <v>23.186666666666667</v>
      </c>
      <c r="G348" s="28">
        <f t="shared" si="63"/>
        <v>8.7409060428711882</v>
      </c>
      <c r="H348" s="28">
        <f t="shared" si="64"/>
        <v>-1.7001527742017302</v>
      </c>
      <c r="I348" s="28">
        <f t="shared" si="65"/>
        <v>3.119674929235714</v>
      </c>
      <c r="J348" s="28">
        <f t="shared" si="66"/>
        <v>68.252743918461903</v>
      </c>
      <c r="K348" s="28">
        <f t="shared" si="67"/>
        <v>23.186666666666667</v>
      </c>
      <c r="L348" s="28">
        <f t="shared" si="68"/>
        <v>0</v>
      </c>
      <c r="M348" s="2" t="str">
        <f t="shared" si="69"/>
        <v/>
      </c>
      <c r="N348" s="2" t="str">
        <f t="shared" si="70"/>
        <v/>
      </c>
      <c r="O348" s="2">
        <f t="shared" si="71"/>
        <v>1</v>
      </c>
    </row>
    <row r="349" spans="1:15">
      <c r="A349" s="27">
        <v>339</v>
      </c>
      <c r="B349" s="27">
        <v>16</v>
      </c>
      <c r="C349" s="27">
        <v>1</v>
      </c>
      <c r="D349" s="28">
        <f t="shared" si="60"/>
        <v>16</v>
      </c>
      <c r="E349" s="28">
        <f t="shared" si="61"/>
        <v>37.632427290462147</v>
      </c>
      <c r="F349" s="28">
        <f t="shared" si="62"/>
        <v>23.186666666666667</v>
      </c>
      <c r="G349" s="28">
        <f t="shared" si="63"/>
        <v>8.7409060428711882</v>
      </c>
      <c r="H349" s="28">
        <f t="shared" si="64"/>
        <v>-1.4924793897308348</v>
      </c>
      <c r="I349" s="28">
        <f t="shared" si="65"/>
        <v>3.119674929235714</v>
      </c>
      <c r="J349" s="28">
        <f t="shared" si="66"/>
        <v>68.252743918461903</v>
      </c>
      <c r="K349" s="28">
        <f t="shared" si="67"/>
        <v>23.186666666666667</v>
      </c>
      <c r="L349" s="28">
        <f t="shared" si="68"/>
        <v>0</v>
      </c>
      <c r="M349" s="2" t="str">
        <f t="shared" si="69"/>
        <v/>
      </c>
      <c r="N349" s="2" t="str">
        <f t="shared" si="70"/>
        <v/>
      </c>
      <c r="O349" s="2">
        <f t="shared" si="71"/>
        <v>1</v>
      </c>
    </row>
    <row r="350" spans="1:15">
      <c r="A350" s="27">
        <v>340</v>
      </c>
      <c r="B350" s="27">
        <v>12</v>
      </c>
      <c r="C350" s="27">
        <v>1</v>
      </c>
      <c r="D350" s="28">
        <f t="shared" si="60"/>
        <v>12</v>
      </c>
      <c r="E350" s="28">
        <f t="shared" si="61"/>
        <v>37.632427290462147</v>
      </c>
      <c r="F350" s="28">
        <f t="shared" si="62"/>
        <v>23.186666666666667</v>
      </c>
      <c r="G350" s="28">
        <f t="shared" si="63"/>
        <v>8.7409060428711882</v>
      </c>
      <c r="H350" s="28">
        <f t="shared" si="64"/>
        <v>-2.3231729276144164</v>
      </c>
      <c r="I350" s="28">
        <f t="shared" si="65"/>
        <v>3.119674929235714</v>
      </c>
      <c r="J350" s="28">
        <f t="shared" si="66"/>
        <v>68.252743918461903</v>
      </c>
      <c r="K350" s="28">
        <f t="shared" si="67"/>
        <v>23.186666666666667</v>
      </c>
      <c r="L350" s="28">
        <f t="shared" si="68"/>
        <v>0</v>
      </c>
      <c r="M350" s="2" t="str">
        <f t="shared" si="69"/>
        <v/>
      </c>
      <c r="N350" s="2" t="str">
        <f t="shared" si="70"/>
        <v/>
      </c>
      <c r="O350" s="2">
        <f t="shared" si="71"/>
        <v>4</v>
      </c>
    </row>
    <row r="351" spans="1:15">
      <c r="A351" s="27">
        <v>341</v>
      </c>
      <c r="B351" s="27">
        <v>11</v>
      </c>
      <c r="C351" s="27">
        <v>1</v>
      </c>
      <c r="D351" s="28">
        <f t="shared" si="60"/>
        <v>11</v>
      </c>
      <c r="E351" s="28">
        <f t="shared" si="61"/>
        <v>37.632427290462147</v>
      </c>
      <c r="F351" s="28">
        <f t="shared" si="62"/>
        <v>23.186666666666667</v>
      </c>
      <c r="G351" s="28">
        <f t="shared" si="63"/>
        <v>8.7409060428711882</v>
      </c>
      <c r="H351" s="28">
        <f t="shared" si="64"/>
        <v>-2.5308463120853117</v>
      </c>
      <c r="I351" s="28">
        <f t="shared" si="65"/>
        <v>3.119674929235714</v>
      </c>
      <c r="J351" s="28">
        <f t="shared" si="66"/>
        <v>68.252743918461903</v>
      </c>
      <c r="K351" s="28">
        <f t="shared" si="67"/>
        <v>23.186666666666667</v>
      </c>
      <c r="L351" s="28">
        <f t="shared" si="68"/>
        <v>0</v>
      </c>
      <c r="M351" s="2" t="str">
        <f t="shared" si="69"/>
        <v/>
      </c>
      <c r="N351" s="2" t="str">
        <f t="shared" si="70"/>
        <v/>
      </c>
      <c r="O351" s="2">
        <f t="shared" si="71"/>
        <v>1</v>
      </c>
    </row>
    <row r="352" spans="1:15">
      <c r="A352" s="27">
        <v>342</v>
      </c>
      <c r="B352" s="27">
        <v>8</v>
      </c>
      <c r="C352" s="27">
        <v>1</v>
      </c>
      <c r="D352" s="28">
        <f t="shared" si="60"/>
        <v>8</v>
      </c>
      <c r="E352" s="28">
        <f t="shared" si="61"/>
        <v>37.632427290462147</v>
      </c>
      <c r="F352" s="28">
        <f t="shared" si="62"/>
        <v>23.186666666666667</v>
      </c>
      <c r="G352" s="28">
        <f t="shared" si="63"/>
        <v>8.7409060428711882</v>
      </c>
      <c r="H352" s="28">
        <f t="shared" si="64"/>
        <v>-3.1538664654979978</v>
      </c>
      <c r="I352" s="28">
        <f t="shared" si="65"/>
        <v>3.119674929235714</v>
      </c>
      <c r="J352" s="28">
        <f t="shared" si="66"/>
        <v>68.252743918461903</v>
      </c>
      <c r="K352" s="28">
        <f t="shared" si="67"/>
        <v>23.186666666666667</v>
      </c>
      <c r="L352" s="28">
        <f t="shared" si="68"/>
        <v>0</v>
      </c>
      <c r="M352" s="2" t="str">
        <f t="shared" si="69"/>
        <v>Y</v>
      </c>
      <c r="N352" s="2" t="str">
        <f t="shared" si="70"/>
        <v/>
      </c>
      <c r="O352" s="2">
        <f t="shared" si="71"/>
        <v>3</v>
      </c>
    </row>
    <row r="353" spans="1:15">
      <c r="A353" s="27">
        <v>343</v>
      </c>
      <c r="B353" s="27">
        <v>12</v>
      </c>
      <c r="C353" s="27">
        <v>1</v>
      </c>
      <c r="D353" s="28">
        <f t="shared" si="60"/>
        <v>12</v>
      </c>
      <c r="E353" s="28">
        <f t="shared" si="61"/>
        <v>37.632427290462147</v>
      </c>
      <c r="F353" s="28">
        <f t="shared" si="62"/>
        <v>23.186666666666667</v>
      </c>
      <c r="G353" s="28">
        <f t="shared" si="63"/>
        <v>8.7409060428711882</v>
      </c>
      <c r="H353" s="28">
        <f t="shared" si="64"/>
        <v>-2.3231729276144164</v>
      </c>
      <c r="I353" s="28">
        <f t="shared" si="65"/>
        <v>3.119674929235714</v>
      </c>
      <c r="J353" s="28">
        <f t="shared" si="66"/>
        <v>68.252743918461903</v>
      </c>
      <c r="K353" s="28">
        <f t="shared" si="67"/>
        <v>23.186666666666667</v>
      </c>
      <c r="L353" s="28">
        <f t="shared" si="68"/>
        <v>0</v>
      </c>
      <c r="M353" s="2" t="str">
        <f t="shared" si="69"/>
        <v/>
      </c>
      <c r="N353" s="2" t="str">
        <f t="shared" si="70"/>
        <v/>
      </c>
      <c r="O353" s="2">
        <f t="shared" si="71"/>
        <v>4</v>
      </c>
    </row>
    <row r="354" spans="1:15">
      <c r="A354" s="27">
        <v>344</v>
      </c>
      <c r="B354" s="27">
        <v>22</v>
      </c>
      <c r="C354" s="27">
        <v>1</v>
      </c>
      <c r="D354" s="28">
        <f t="shared" si="60"/>
        <v>22</v>
      </c>
      <c r="E354" s="28">
        <f t="shared" si="61"/>
        <v>37.632427290462147</v>
      </c>
      <c r="F354" s="28">
        <f t="shared" si="62"/>
        <v>23.186666666666667</v>
      </c>
      <c r="G354" s="28">
        <f t="shared" si="63"/>
        <v>8.7409060428711882</v>
      </c>
      <c r="H354" s="28">
        <f t="shared" si="64"/>
        <v>-0.24643908290546265</v>
      </c>
      <c r="I354" s="28">
        <f t="shared" si="65"/>
        <v>3.119674929235714</v>
      </c>
      <c r="J354" s="28">
        <f t="shared" si="66"/>
        <v>68.252743918461903</v>
      </c>
      <c r="K354" s="28">
        <f t="shared" si="67"/>
        <v>23.186666666666667</v>
      </c>
      <c r="L354" s="28">
        <f t="shared" si="68"/>
        <v>0</v>
      </c>
      <c r="M354" s="2" t="str">
        <f t="shared" si="69"/>
        <v/>
      </c>
      <c r="N354" s="2" t="str">
        <f t="shared" si="70"/>
        <v/>
      </c>
      <c r="O354" s="2">
        <f t="shared" si="71"/>
        <v>10</v>
      </c>
    </row>
    <row r="355" spans="1:15">
      <c r="A355" s="27">
        <v>345</v>
      </c>
      <c r="B355" s="27">
        <v>23</v>
      </c>
      <c r="C355" s="27">
        <v>1</v>
      </c>
      <c r="D355" s="28">
        <f t="shared" si="60"/>
        <v>23</v>
      </c>
      <c r="E355" s="28">
        <f t="shared" si="61"/>
        <v>37.632427290462147</v>
      </c>
      <c r="F355" s="28">
        <f t="shared" si="62"/>
        <v>23.186666666666667</v>
      </c>
      <c r="G355" s="28">
        <f t="shared" si="63"/>
        <v>8.7409060428711882</v>
      </c>
      <c r="H355" s="28">
        <f t="shared" si="64"/>
        <v>-3.8765698434567293E-2</v>
      </c>
      <c r="I355" s="28">
        <f t="shared" si="65"/>
        <v>3.119674929235714</v>
      </c>
      <c r="J355" s="28">
        <f t="shared" si="66"/>
        <v>68.252743918461903</v>
      </c>
      <c r="K355" s="28">
        <f t="shared" si="67"/>
        <v>23.186666666666667</v>
      </c>
      <c r="L355" s="28">
        <f t="shared" si="68"/>
        <v>0</v>
      </c>
      <c r="M355" s="2" t="str">
        <f t="shared" si="69"/>
        <v/>
      </c>
      <c r="N355" s="2" t="str">
        <f t="shared" si="70"/>
        <v/>
      </c>
      <c r="O355" s="2">
        <f t="shared" si="71"/>
        <v>1</v>
      </c>
    </row>
    <row r="356" spans="1:15">
      <c r="A356" s="27">
        <v>346</v>
      </c>
      <c r="B356" s="27">
        <v>31</v>
      </c>
      <c r="C356" s="27">
        <v>1</v>
      </c>
      <c r="D356" s="28">
        <f t="shared" si="60"/>
        <v>31</v>
      </c>
      <c r="E356" s="28">
        <f t="shared" si="61"/>
        <v>37.632427290462147</v>
      </c>
      <c r="F356" s="28">
        <f t="shared" si="62"/>
        <v>23.186666666666667</v>
      </c>
      <c r="G356" s="28">
        <f t="shared" si="63"/>
        <v>8.7409060428711882</v>
      </c>
      <c r="H356" s="28">
        <f t="shared" si="64"/>
        <v>1.6226213773325957</v>
      </c>
      <c r="I356" s="28">
        <f t="shared" si="65"/>
        <v>3.119674929235714</v>
      </c>
      <c r="J356" s="28">
        <f t="shared" si="66"/>
        <v>68.252743918461903</v>
      </c>
      <c r="K356" s="28">
        <f t="shared" si="67"/>
        <v>23.186666666666667</v>
      </c>
      <c r="L356" s="28">
        <f t="shared" si="68"/>
        <v>0</v>
      </c>
      <c r="M356" s="2" t="str">
        <f t="shared" si="69"/>
        <v/>
      </c>
      <c r="N356" s="2" t="str">
        <f t="shared" si="70"/>
        <v/>
      </c>
      <c r="O356" s="2">
        <f t="shared" si="71"/>
        <v>8</v>
      </c>
    </row>
    <row r="357" spans="1:15">
      <c r="A357" s="27">
        <v>347</v>
      </c>
      <c r="B357" s="27">
        <v>30</v>
      </c>
      <c r="C357" s="27">
        <v>1</v>
      </c>
      <c r="D357" s="28">
        <f t="shared" si="60"/>
        <v>30</v>
      </c>
      <c r="E357" s="28">
        <f t="shared" si="61"/>
        <v>37.632427290462147</v>
      </c>
      <c r="F357" s="28">
        <f t="shared" si="62"/>
        <v>23.186666666666667</v>
      </c>
      <c r="G357" s="28">
        <f t="shared" si="63"/>
        <v>8.7409060428711882</v>
      </c>
      <c r="H357" s="28">
        <f t="shared" si="64"/>
        <v>1.4149479928617004</v>
      </c>
      <c r="I357" s="28">
        <f t="shared" si="65"/>
        <v>3.119674929235714</v>
      </c>
      <c r="J357" s="28">
        <f t="shared" si="66"/>
        <v>68.252743918461903</v>
      </c>
      <c r="K357" s="28">
        <f t="shared" si="67"/>
        <v>23.186666666666667</v>
      </c>
      <c r="L357" s="28">
        <f t="shared" si="68"/>
        <v>0</v>
      </c>
      <c r="M357" s="2" t="str">
        <f t="shared" si="69"/>
        <v/>
      </c>
      <c r="N357" s="2" t="str">
        <f t="shared" si="70"/>
        <v/>
      </c>
      <c r="O357" s="2">
        <f t="shared" si="71"/>
        <v>1</v>
      </c>
    </row>
    <row r="358" spans="1:15">
      <c r="A358" s="27">
        <v>348</v>
      </c>
      <c r="B358" s="27">
        <v>18</v>
      </c>
      <c r="C358" s="27">
        <v>1</v>
      </c>
      <c r="D358" s="28">
        <f t="shared" si="60"/>
        <v>18</v>
      </c>
      <c r="E358" s="28">
        <f t="shared" si="61"/>
        <v>37.632427290462147</v>
      </c>
      <c r="F358" s="28">
        <f t="shared" si="62"/>
        <v>23.186666666666667</v>
      </c>
      <c r="G358" s="28">
        <f t="shared" si="63"/>
        <v>8.7409060428711882</v>
      </c>
      <c r="H358" s="28">
        <f t="shared" si="64"/>
        <v>-1.0771326207890441</v>
      </c>
      <c r="I358" s="28">
        <f t="shared" si="65"/>
        <v>3.119674929235714</v>
      </c>
      <c r="J358" s="28">
        <f t="shared" si="66"/>
        <v>68.252743918461903</v>
      </c>
      <c r="K358" s="28">
        <f t="shared" si="67"/>
        <v>23.186666666666667</v>
      </c>
      <c r="L358" s="28">
        <f t="shared" si="68"/>
        <v>0</v>
      </c>
      <c r="M358" s="2" t="str">
        <f t="shared" si="69"/>
        <v/>
      </c>
      <c r="N358" s="2" t="str">
        <f t="shared" si="70"/>
        <v/>
      </c>
      <c r="O358" s="2">
        <f t="shared" si="71"/>
        <v>12</v>
      </c>
    </row>
    <row r="359" spans="1:15">
      <c r="A359" s="27">
        <v>349</v>
      </c>
      <c r="B359" s="27">
        <v>11</v>
      </c>
      <c r="C359" s="27">
        <v>1</v>
      </c>
      <c r="D359" s="28">
        <f t="shared" si="60"/>
        <v>11</v>
      </c>
      <c r="E359" s="28">
        <f t="shared" si="61"/>
        <v>37.632427290462147</v>
      </c>
      <c r="F359" s="28">
        <f t="shared" si="62"/>
        <v>23.186666666666667</v>
      </c>
      <c r="G359" s="28">
        <f t="shared" si="63"/>
        <v>8.7409060428711882</v>
      </c>
      <c r="H359" s="28">
        <f t="shared" si="64"/>
        <v>-2.5308463120853117</v>
      </c>
      <c r="I359" s="28">
        <f t="shared" si="65"/>
        <v>3.119674929235714</v>
      </c>
      <c r="J359" s="28">
        <f t="shared" si="66"/>
        <v>68.252743918461903</v>
      </c>
      <c r="K359" s="28">
        <f t="shared" si="67"/>
        <v>23.186666666666667</v>
      </c>
      <c r="L359" s="28">
        <f t="shared" si="68"/>
        <v>0</v>
      </c>
      <c r="M359" s="2" t="str">
        <f t="shared" si="69"/>
        <v/>
      </c>
      <c r="N359" s="2" t="str">
        <f t="shared" si="70"/>
        <v/>
      </c>
      <c r="O359" s="2">
        <f t="shared" si="71"/>
        <v>7</v>
      </c>
    </row>
    <row r="360" spans="1:15">
      <c r="A360" s="27">
        <v>350</v>
      </c>
      <c r="B360" s="27">
        <v>24</v>
      </c>
      <c r="C360" s="27">
        <v>1</v>
      </c>
      <c r="D360" s="28">
        <f t="shared" si="60"/>
        <v>24</v>
      </c>
      <c r="E360" s="28">
        <f t="shared" si="61"/>
        <v>37.632427290462147</v>
      </c>
      <c r="F360" s="28">
        <f t="shared" si="62"/>
        <v>23.186666666666667</v>
      </c>
      <c r="G360" s="28">
        <f t="shared" si="63"/>
        <v>8.7409060428711882</v>
      </c>
      <c r="H360" s="28">
        <f t="shared" si="64"/>
        <v>0.16890768603632808</v>
      </c>
      <c r="I360" s="28">
        <f t="shared" si="65"/>
        <v>3.119674929235714</v>
      </c>
      <c r="J360" s="28">
        <f t="shared" si="66"/>
        <v>68.252743918461903</v>
      </c>
      <c r="K360" s="28">
        <f t="shared" si="67"/>
        <v>23.186666666666667</v>
      </c>
      <c r="L360" s="28">
        <f t="shared" si="68"/>
        <v>0</v>
      </c>
      <c r="M360" s="2" t="str">
        <f t="shared" si="69"/>
        <v/>
      </c>
      <c r="N360" s="2" t="str">
        <f t="shared" si="70"/>
        <v/>
      </c>
      <c r="O360" s="2">
        <f t="shared" si="71"/>
        <v>13</v>
      </c>
    </row>
    <row r="361" spans="1:15">
      <c r="A361" s="27">
        <v>351</v>
      </c>
      <c r="B361" s="27">
        <v>38</v>
      </c>
      <c r="C361" s="27">
        <v>1</v>
      </c>
      <c r="D361" s="28">
        <f t="shared" si="60"/>
        <v>38</v>
      </c>
      <c r="E361" s="28">
        <f t="shared" si="61"/>
        <v>37.632427290462147</v>
      </c>
      <c r="F361" s="28">
        <f t="shared" si="62"/>
        <v>23.186666666666667</v>
      </c>
      <c r="G361" s="28">
        <f t="shared" si="63"/>
        <v>8.7409060428711882</v>
      </c>
      <c r="H361" s="28">
        <f t="shared" si="64"/>
        <v>3.0763350686288633</v>
      </c>
      <c r="I361" s="28">
        <f t="shared" si="65"/>
        <v>3.119674929235714</v>
      </c>
      <c r="J361" s="28">
        <f t="shared" si="66"/>
        <v>68.252743918461903</v>
      </c>
      <c r="K361" s="28">
        <f t="shared" si="67"/>
        <v>23.186666666666667</v>
      </c>
      <c r="L361" s="28">
        <f t="shared" si="68"/>
        <v>0</v>
      </c>
      <c r="M361" s="2" t="str">
        <f t="shared" si="69"/>
        <v>Y</v>
      </c>
      <c r="N361" s="2" t="str">
        <f t="shared" si="70"/>
        <v/>
      </c>
      <c r="O361" s="2">
        <f t="shared" si="71"/>
        <v>14</v>
      </c>
    </row>
    <row r="362" spans="1:15">
      <c r="A362" s="27">
        <v>352</v>
      </c>
      <c r="B362" s="27">
        <v>26</v>
      </c>
      <c r="C362" s="27">
        <v>1</v>
      </c>
      <c r="D362" s="28">
        <f t="shared" si="60"/>
        <v>26</v>
      </c>
      <c r="E362" s="28">
        <f t="shared" si="61"/>
        <v>37.632427290462147</v>
      </c>
      <c r="F362" s="28">
        <f t="shared" si="62"/>
        <v>23.186666666666667</v>
      </c>
      <c r="G362" s="28">
        <f t="shared" si="63"/>
        <v>8.7409060428711882</v>
      </c>
      <c r="H362" s="28">
        <f t="shared" si="64"/>
        <v>0.58425445497811879</v>
      </c>
      <c r="I362" s="28">
        <f t="shared" si="65"/>
        <v>3.119674929235714</v>
      </c>
      <c r="J362" s="28">
        <f t="shared" si="66"/>
        <v>68.252743918461903</v>
      </c>
      <c r="K362" s="28">
        <f t="shared" si="67"/>
        <v>23.186666666666667</v>
      </c>
      <c r="L362" s="28">
        <f t="shared" si="68"/>
        <v>0</v>
      </c>
      <c r="M362" s="2" t="str">
        <f t="shared" si="69"/>
        <v/>
      </c>
      <c r="N362" s="2" t="str">
        <f t="shared" si="70"/>
        <v/>
      </c>
      <c r="O362" s="2">
        <f t="shared" si="71"/>
        <v>12</v>
      </c>
    </row>
    <row r="363" spans="1:15">
      <c r="A363" s="27">
        <v>353</v>
      </c>
      <c r="B363" s="27">
        <v>16</v>
      </c>
      <c r="C363" s="27">
        <v>1</v>
      </c>
      <c r="D363" s="28">
        <f t="shared" si="60"/>
        <v>16</v>
      </c>
      <c r="E363" s="28">
        <f t="shared" si="61"/>
        <v>37.632427290462147</v>
      </c>
      <c r="F363" s="28">
        <f t="shared" si="62"/>
        <v>23.186666666666667</v>
      </c>
      <c r="G363" s="28">
        <f t="shared" si="63"/>
        <v>8.7409060428711882</v>
      </c>
      <c r="H363" s="28">
        <f t="shared" si="64"/>
        <v>-1.4924793897308348</v>
      </c>
      <c r="I363" s="28">
        <f t="shared" si="65"/>
        <v>3.119674929235714</v>
      </c>
      <c r="J363" s="28">
        <f t="shared" si="66"/>
        <v>68.252743918461903</v>
      </c>
      <c r="K363" s="28">
        <f t="shared" si="67"/>
        <v>23.186666666666667</v>
      </c>
      <c r="L363" s="28">
        <f t="shared" si="68"/>
        <v>0</v>
      </c>
      <c r="M363" s="2" t="str">
        <f t="shared" si="69"/>
        <v/>
      </c>
      <c r="N363" s="2" t="str">
        <f t="shared" si="70"/>
        <v/>
      </c>
      <c r="O363" s="2">
        <f t="shared" si="71"/>
        <v>10</v>
      </c>
    </row>
    <row r="364" spans="1:15">
      <c r="A364" s="27">
        <v>354</v>
      </c>
      <c r="B364" s="27">
        <v>17</v>
      </c>
      <c r="C364" s="27">
        <v>1</v>
      </c>
      <c r="D364" s="28">
        <f t="shared" si="60"/>
        <v>17</v>
      </c>
      <c r="E364" s="28">
        <f t="shared" si="61"/>
        <v>37.632427290462147</v>
      </c>
      <c r="F364" s="28">
        <f t="shared" si="62"/>
        <v>23.186666666666667</v>
      </c>
      <c r="G364" s="28">
        <f t="shared" si="63"/>
        <v>8.7409060428711882</v>
      </c>
      <c r="H364" s="28">
        <f t="shared" si="64"/>
        <v>-1.2848060052599395</v>
      </c>
      <c r="I364" s="28">
        <f t="shared" si="65"/>
        <v>3.119674929235714</v>
      </c>
      <c r="J364" s="28">
        <f t="shared" si="66"/>
        <v>68.252743918461903</v>
      </c>
      <c r="K364" s="28">
        <f t="shared" si="67"/>
        <v>23.186666666666667</v>
      </c>
      <c r="L364" s="28">
        <f t="shared" si="68"/>
        <v>0</v>
      </c>
      <c r="M364" s="2" t="str">
        <f t="shared" si="69"/>
        <v/>
      </c>
      <c r="N364" s="2" t="str">
        <f t="shared" si="70"/>
        <v/>
      </c>
      <c r="O364" s="2">
        <f t="shared" si="71"/>
        <v>1</v>
      </c>
    </row>
    <row r="365" spans="1:15">
      <c r="A365" s="27">
        <v>355</v>
      </c>
      <c r="B365" s="27">
        <v>23</v>
      </c>
      <c r="C365" s="27">
        <v>1</v>
      </c>
      <c r="D365" s="28">
        <f t="shared" si="60"/>
        <v>23</v>
      </c>
      <c r="E365" s="28">
        <f t="shared" si="61"/>
        <v>37.632427290462147</v>
      </c>
      <c r="F365" s="28">
        <f t="shared" si="62"/>
        <v>23.186666666666667</v>
      </c>
      <c r="G365" s="28">
        <f t="shared" si="63"/>
        <v>8.7409060428711882</v>
      </c>
      <c r="H365" s="28">
        <f t="shared" si="64"/>
        <v>-3.8765698434567293E-2</v>
      </c>
      <c r="I365" s="28">
        <f t="shared" si="65"/>
        <v>3.119674929235714</v>
      </c>
      <c r="J365" s="28">
        <f t="shared" si="66"/>
        <v>68.252743918461903</v>
      </c>
      <c r="K365" s="28">
        <f t="shared" si="67"/>
        <v>23.186666666666667</v>
      </c>
      <c r="L365" s="28">
        <f t="shared" si="68"/>
        <v>0</v>
      </c>
      <c r="M365" s="2" t="str">
        <f t="shared" si="69"/>
        <v/>
      </c>
      <c r="N365" s="2" t="str">
        <f t="shared" si="70"/>
        <v/>
      </c>
      <c r="O365" s="2">
        <f t="shared" si="71"/>
        <v>6</v>
      </c>
    </row>
    <row r="366" spans="1:15">
      <c r="A366" s="27">
        <v>356</v>
      </c>
      <c r="B366" s="27">
        <v>29</v>
      </c>
      <c r="C366" s="27">
        <v>1</v>
      </c>
      <c r="D366" s="28">
        <f t="shared" si="60"/>
        <v>29</v>
      </c>
      <c r="E366" s="28">
        <f t="shared" si="61"/>
        <v>37.632427290462147</v>
      </c>
      <c r="F366" s="28">
        <f t="shared" si="62"/>
        <v>23.186666666666667</v>
      </c>
      <c r="G366" s="28">
        <f t="shared" si="63"/>
        <v>8.7409060428711882</v>
      </c>
      <c r="H366" s="28">
        <f t="shared" si="64"/>
        <v>1.2072746083908048</v>
      </c>
      <c r="I366" s="28">
        <f t="shared" si="65"/>
        <v>3.119674929235714</v>
      </c>
      <c r="J366" s="28">
        <f t="shared" si="66"/>
        <v>68.252743918461903</v>
      </c>
      <c r="K366" s="28">
        <f t="shared" si="67"/>
        <v>23.186666666666667</v>
      </c>
      <c r="L366" s="28">
        <f t="shared" si="68"/>
        <v>0</v>
      </c>
      <c r="M366" s="2" t="str">
        <f t="shared" si="69"/>
        <v/>
      </c>
      <c r="N366" s="2" t="str">
        <f t="shared" si="70"/>
        <v/>
      </c>
      <c r="O366" s="2">
        <f t="shared" si="71"/>
        <v>6</v>
      </c>
    </row>
    <row r="367" spans="1:15">
      <c r="A367" s="27">
        <v>357</v>
      </c>
      <c r="B367" s="27">
        <v>34</v>
      </c>
      <c r="C367" s="27">
        <v>1</v>
      </c>
      <c r="D367" s="28">
        <f t="shared" si="60"/>
        <v>34</v>
      </c>
      <c r="E367" s="28">
        <f t="shared" si="61"/>
        <v>37.632427290462147</v>
      </c>
      <c r="F367" s="28">
        <f t="shared" si="62"/>
        <v>23.186666666666667</v>
      </c>
      <c r="G367" s="28">
        <f t="shared" si="63"/>
        <v>8.7409060428711882</v>
      </c>
      <c r="H367" s="28">
        <f t="shared" si="64"/>
        <v>2.2456415307452819</v>
      </c>
      <c r="I367" s="28">
        <f t="shared" si="65"/>
        <v>3.119674929235714</v>
      </c>
      <c r="J367" s="28">
        <f t="shared" si="66"/>
        <v>68.252743918461903</v>
      </c>
      <c r="K367" s="28">
        <f t="shared" si="67"/>
        <v>23.186666666666667</v>
      </c>
      <c r="L367" s="28">
        <f t="shared" si="68"/>
        <v>0</v>
      </c>
      <c r="M367" s="2" t="str">
        <f t="shared" si="69"/>
        <v/>
      </c>
      <c r="N367" s="2" t="str">
        <f t="shared" si="70"/>
        <v/>
      </c>
      <c r="O367" s="2">
        <f t="shared" si="71"/>
        <v>5</v>
      </c>
    </row>
    <row r="368" spans="1:15">
      <c r="A368" s="27">
        <v>358</v>
      </c>
      <c r="B368" s="27">
        <v>26</v>
      </c>
      <c r="C368" s="27">
        <v>1</v>
      </c>
      <c r="D368" s="28">
        <f t="shared" si="60"/>
        <v>26</v>
      </c>
      <c r="E368" s="28">
        <f t="shared" si="61"/>
        <v>37.632427290462147</v>
      </c>
      <c r="F368" s="28">
        <f t="shared" si="62"/>
        <v>23.186666666666667</v>
      </c>
      <c r="G368" s="28">
        <f t="shared" si="63"/>
        <v>8.7409060428711882</v>
      </c>
      <c r="H368" s="28">
        <f t="shared" si="64"/>
        <v>0.58425445497811879</v>
      </c>
      <c r="I368" s="28">
        <f t="shared" si="65"/>
        <v>3.119674929235714</v>
      </c>
      <c r="J368" s="28">
        <f t="shared" si="66"/>
        <v>68.252743918461903</v>
      </c>
      <c r="K368" s="28">
        <f t="shared" si="67"/>
        <v>23.186666666666667</v>
      </c>
      <c r="L368" s="28">
        <f t="shared" si="68"/>
        <v>0</v>
      </c>
      <c r="M368" s="2" t="str">
        <f t="shared" si="69"/>
        <v/>
      </c>
      <c r="N368" s="2" t="str">
        <f t="shared" si="70"/>
        <v/>
      </c>
      <c r="O368" s="2">
        <f t="shared" si="71"/>
        <v>8</v>
      </c>
    </row>
    <row r="369" spans="1:15">
      <c r="A369" s="27">
        <v>359</v>
      </c>
      <c r="B369" s="27">
        <v>15</v>
      </c>
      <c r="C369" s="27">
        <v>1</v>
      </c>
      <c r="D369" s="28">
        <f t="shared" si="60"/>
        <v>15</v>
      </c>
      <c r="E369" s="28">
        <f t="shared" si="61"/>
        <v>37.632427290462147</v>
      </c>
      <c r="F369" s="28">
        <f t="shared" si="62"/>
        <v>23.186666666666667</v>
      </c>
      <c r="G369" s="28">
        <f t="shared" si="63"/>
        <v>8.7409060428711882</v>
      </c>
      <c r="H369" s="28">
        <f t="shared" si="64"/>
        <v>-1.7001527742017302</v>
      </c>
      <c r="I369" s="28">
        <f t="shared" si="65"/>
        <v>3.119674929235714</v>
      </c>
      <c r="J369" s="28">
        <f t="shared" si="66"/>
        <v>68.252743918461903</v>
      </c>
      <c r="K369" s="28">
        <f t="shared" si="67"/>
        <v>23.186666666666667</v>
      </c>
      <c r="L369" s="28">
        <f t="shared" si="68"/>
        <v>0</v>
      </c>
      <c r="M369" s="2" t="str">
        <f t="shared" si="69"/>
        <v/>
      </c>
      <c r="N369" s="2" t="str">
        <f t="shared" si="70"/>
        <v/>
      </c>
      <c r="O369" s="2">
        <f t="shared" si="71"/>
        <v>11</v>
      </c>
    </row>
    <row r="370" spans="1:15">
      <c r="A370" s="27">
        <v>360</v>
      </c>
      <c r="B370" s="27">
        <v>14</v>
      </c>
      <c r="C370" s="27">
        <v>1</v>
      </c>
      <c r="D370" s="28">
        <f t="shared" si="60"/>
        <v>14</v>
      </c>
      <c r="E370" s="28">
        <f t="shared" si="61"/>
        <v>37.632427290462147</v>
      </c>
      <c r="F370" s="28">
        <f t="shared" si="62"/>
        <v>23.186666666666667</v>
      </c>
      <c r="G370" s="28">
        <f t="shared" si="63"/>
        <v>8.7409060428711882</v>
      </c>
      <c r="H370" s="28">
        <f t="shared" si="64"/>
        <v>-1.9078261586726255</v>
      </c>
      <c r="I370" s="28">
        <f t="shared" si="65"/>
        <v>3.119674929235714</v>
      </c>
      <c r="J370" s="28">
        <f t="shared" si="66"/>
        <v>68.252743918461903</v>
      </c>
      <c r="K370" s="28">
        <f t="shared" si="67"/>
        <v>23.186666666666667</v>
      </c>
      <c r="L370" s="28">
        <f t="shared" si="68"/>
        <v>0</v>
      </c>
      <c r="M370" s="2" t="str">
        <f t="shared" si="69"/>
        <v/>
      </c>
      <c r="N370" s="2" t="str">
        <f t="shared" si="70"/>
        <v/>
      </c>
      <c r="O370" s="2">
        <f t="shared" si="71"/>
        <v>1</v>
      </c>
    </row>
    <row r="371" spans="1:15">
      <c r="A371" s="27">
        <v>361</v>
      </c>
      <c r="B371" s="27">
        <v>30</v>
      </c>
      <c r="C371" s="27">
        <v>1</v>
      </c>
      <c r="D371" s="28">
        <f t="shared" si="60"/>
        <v>30</v>
      </c>
      <c r="E371" s="28">
        <f t="shared" si="61"/>
        <v>37.632427290462147</v>
      </c>
      <c r="F371" s="28">
        <f t="shared" si="62"/>
        <v>23.186666666666667</v>
      </c>
      <c r="G371" s="28">
        <f t="shared" si="63"/>
        <v>8.7409060428711882</v>
      </c>
      <c r="H371" s="28">
        <f t="shared" si="64"/>
        <v>1.4149479928617004</v>
      </c>
      <c r="I371" s="28">
        <f t="shared" si="65"/>
        <v>3.119674929235714</v>
      </c>
      <c r="J371" s="28">
        <f t="shared" si="66"/>
        <v>68.252743918461903</v>
      </c>
      <c r="K371" s="28">
        <f t="shared" si="67"/>
        <v>23.186666666666667</v>
      </c>
      <c r="L371" s="28">
        <f t="shared" si="68"/>
        <v>0</v>
      </c>
      <c r="M371" s="2" t="str">
        <f t="shared" si="69"/>
        <v/>
      </c>
      <c r="N371" s="2" t="str">
        <f t="shared" si="70"/>
        <v/>
      </c>
      <c r="O371" s="2">
        <f t="shared" si="71"/>
        <v>16</v>
      </c>
    </row>
    <row r="372" spans="1:15">
      <c r="A372" s="27">
        <v>362</v>
      </c>
      <c r="B372" s="27">
        <v>13</v>
      </c>
      <c r="C372" s="27">
        <v>1</v>
      </c>
      <c r="D372" s="28">
        <f t="shared" si="60"/>
        <v>13</v>
      </c>
      <c r="E372" s="28">
        <f t="shared" si="61"/>
        <v>37.632427290462147</v>
      </c>
      <c r="F372" s="28">
        <f t="shared" si="62"/>
        <v>23.186666666666667</v>
      </c>
      <c r="G372" s="28">
        <f t="shared" si="63"/>
        <v>8.7409060428711882</v>
      </c>
      <c r="H372" s="28">
        <f t="shared" si="64"/>
        <v>-2.1154995431435211</v>
      </c>
      <c r="I372" s="28">
        <f t="shared" si="65"/>
        <v>3.119674929235714</v>
      </c>
      <c r="J372" s="28">
        <f t="shared" si="66"/>
        <v>68.252743918461903</v>
      </c>
      <c r="K372" s="28">
        <f t="shared" si="67"/>
        <v>23.186666666666667</v>
      </c>
      <c r="L372" s="28">
        <f t="shared" si="68"/>
        <v>0</v>
      </c>
      <c r="M372" s="2" t="str">
        <f t="shared" si="69"/>
        <v/>
      </c>
      <c r="N372" s="2" t="str">
        <f t="shared" si="70"/>
        <v/>
      </c>
      <c r="O372" s="2">
        <f t="shared" si="71"/>
        <v>17</v>
      </c>
    </row>
    <row r="373" spans="1:15">
      <c r="A373" s="27">
        <v>363</v>
      </c>
      <c r="B373" s="27">
        <v>24</v>
      </c>
      <c r="C373" s="27">
        <v>1</v>
      </c>
      <c r="D373" s="28">
        <f t="shared" si="60"/>
        <v>24</v>
      </c>
      <c r="E373" s="28">
        <f t="shared" si="61"/>
        <v>37.632427290462147</v>
      </c>
      <c r="F373" s="28">
        <f t="shared" si="62"/>
        <v>23.186666666666667</v>
      </c>
      <c r="G373" s="28">
        <f t="shared" si="63"/>
        <v>8.7409060428711882</v>
      </c>
      <c r="H373" s="28">
        <f t="shared" si="64"/>
        <v>0.16890768603632808</v>
      </c>
      <c r="I373" s="28">
        <f t="shared" si="65"/>
        <v>3.119674929235714</v>
      </c>
      <c r="J373" s="28">
        <f t="shared" si="66"/>
        <v>68.252743918461903</v>
      </c>
      <c r="K373" s="28">
        <f t="shared" si="67"/>
        <v>23.186666666666667</v>
      </c>
      <c r="L373" s="28">
        <f t="shared" si="68"/>
        <v>0</v>
      </c>
      <c r="M373" s="2" t="str">
        <f t="shared" si="69"/>
        <v/>
      </c>
      <c r="N373" s="2" t="str">
        <f t="shared" si="70"/>
        <v/>
      </c>
      <c r="O373" s="2">
        <f t="shared" si="71"/>
        <v>11</v>
      </c>
    </row>
    <row r="374" spans="1:15">
      <c r="A374" s="27">
        <v>364</v>
      </c>
      <c r="B374" s="27">
        <v>13</v>
      </c>
      <c r="C374" s="27">
        <v>1</v>
      </c>
      <c r="D374" s="28">
        <f t="shared" si="60"/>
        <v>13</v>
      </c>
      <c r="E374" s="28">
        <f t="shared" si="61"/>
        <v>37.632427290462147</v>
      </c>
      <c r="F374" s="28">
        <f t="shared" si="62"/>
        <v>23.186666666666667</v>
      </c>
      <c r="G374" s="28">
        <f t="shared" si="63"/>
        <v>8.7409060428711882</v>
      </c>
      <c r="H374" s="28">
        <f t="shared" si="64"/>
        <v>-2.1154995431435211</v>
      </c>
      <c r="I374" s="28">
        <f t="shared" si="65"/>
        <v>3.119674929235714</v>
      </c>
      <c r="J374" s="28">
        <f t="shared" si="66"/>
        <v>68.252743918461903</v>
      </c>
      <c r="K374" s="28">
        <f t="shared" si="67"/>
        <v>23.186666666666667</v>
      </c>
      <c r="L374" s="28">
        <f t="shared" si="68"/>
        <v>0</v>
      </c>
      <c r="M374" s="2" t="str">
        <f t="shared" si="69"/>
        <v/>
      </c>
      <c r="N374" s="2" t="str">
        <f t="shared" si="70"/>
        <v/>
      </c>
      <c r="O374" s="2">
        <f t="shared" si="71"/>
        <v>11</v>
      </c>
    </row>
    <row r="375" spans="1:15">
      <c r="A375" s="27">
        <v>365</v>
      </c>
      <c r="B375" s="27">
        <v>67</v>
      </c>
      <c r="C375" s="27">
        <v>1</v>
      </c>
      <c r="D375" s="28">
        <f t="shared" si="60"/>
        <v>67</v>
      </c>
      <c r="E375" s="28">
        <f t="shared" si="61"/>
        <v>37.632427290462147</v>
      </c>
      <c r="F375" s="28">
        <f t="shared" si="62"/>
        <v>23.186666666666667</v>
      </c>
      <c r="G375" s="28">
        <f t="shared" si="63"/>
        <v>8.7409060428711882</v>
      </c>
      <c r="H375" s="28">
        <f t="shared" si="64"/>
        <v>9.0988632182848281</v>
      </c>
      <c r="I375" s="28">
        <f t="shared" si="65"/>
        <v>3.119674929235714</v>
      </c>
      <c r="J375" s="28">
        <f t="shared" si="66"/>
        <v>68.252743918461903</v>
      </c>
      <c r="K375" s="28">
        <f t="shared" si="67"/>
        <v>23.186666666666667</v>
      </c>
      <c r="L375" s="28">
        <f t="shared" si="68"/>
        <v>0</v>
      </c>
      <c r="M375" s="2" t="str">
        <f t="shared" si="69"/>
        <v>Y</v>
      </c>
      <c r="N375" s="2" t="str">
        <f t="shared" si="70"/>
        <v/>
      </c>
      <c r="O375" s="2">
        <f t="shared" si="71"/>
        <v>54</v>
      </c>
    </row>
    <row r="376" spans="1:15">
      <c r="A376" s="27">
        <v>366</v>
      </c>
      <c r="B376" s="27">
        <v>27</v>
      </c>
      <c r="C376" s="27">
        <v>1</v>
      </c>
      <c r="D376" s="28">
        <f t="shared" si="60"/>
        <v>27</v>
      </c>
      <c r="E376" s="28">
        <f t="shared" si="61"/>
        <v>37.632427290462147</v>
      </c>
      <c r="F376" s="28">
        <f t="shared" si="62"/>
        <v>23.186666666666667</v>
      </c>
      <c r="G376" s="28">
        <f t="shared" si="63"/>
        <v>8.7409060428711882</v>
      </c>
      <c r="H376" s="28">
        <f t="shared" si="64"/>
        <v>0.79192783944901413</v>
      </c>
      <c r="I376" s="28">
        <f t="shared" si="65"/>
        <v>3.119674929235714</v>
      </c>
      <c r="J376" s="28">
        <f t="shared" si="66"/>
        <v>68.252743918461903</v>
      </c>
      <c r="K376" s="28">
        <f t="shared" si="67"/>
        <v>23.186666666666667</v>
      </c>
      <c r="L376" s="28">
        <f t="shared" si="68"/>
        <v>0</v>
      </c>
      <c r="M376" s="2" t="str">
        <f t="shared" si="69"/>
        <v/>
      </c>
      <c r="N376" s="2" t="str">
        <f t="shared" si="70"/>
        <v/>
      </c>
      <c r="O376" s="2">
        <f t="shared" si="71"/>
        <v>40</v>
      </c>
    </row>
    <row r="377" spans="1:15">
      <c r="A377" s="27">
        <v>367</v>
      </c>
      <c r="B377" s="27">
        <v>21</v>
      </c>
      <c r="C377" s="27">
        <v>1</v>
      </c>
      <c r="D377" s="28">
        <f t="shared" si="60"/>
        <v>21</v>
      </c>
      <c r="E377" s="28">
        <f t="shared" si="61"/>
        <v>37.632427290462147</v>
      </c>
      <c r="F377" s="28">
        <f t="shared" si="62"/>
        <v>23.186666666666667</v>
      </c>
      <c r="G377" s="28">
        <f t="shared" si="63"/>
        <v>8.7409060428711882</v>
      </c>
      <c r="H377" s="28">
        <f t="shared" si="64"/>
        <v>-0.45411246737635802</v>
      </c>
      <c r="I377" s="28">
        <f t="shared" si="65"/>
        <v>3.119674929235714</v>
      </c>
      <c r="J377" s="28">
        <f t="shared" si="66"/>
        <v>68.252743918461903</v>
      </c>
      <c r="K377" s="28">
        <f t="shared" si="67"/>
        <v>23.186666666666667</v>
      </c>
      <c r="L377" s="28">
        <f t="shared" si="68"/>
        <v>0</v>
      </c>
      <c r="M377" s="2" t="str">
        <f t="shared" si="69"/>
        <v/>
      </c>
      <c r="N377" s="2" t="str">
        <f t="shared" si="70"/>
        <v/>
      </c>
      <c r="O377" s="2">
        <f t="shared" si="71"/>
        <v>6</v>
      </c>
    </row>
    <row r="378" spans="1:15">
      <c r="A378" s="27">
        <v>368</v>
      </c>
      <c r="B378" s="27">
        <v>41</v>
      </c>
      <c r="C378" s="27">
        <v>1</v>
      </c>
      <c r="D378" s="28">
        <f t="shared" si="60"/>
        <v>41</v>
      </c>
      <c r="E378" s="28">
        <f t="shared" si="61"/>
        <v>37.632427290462147</v>
      </c>
      <c r="F378" s="28">
        <f t="shared" si="62"/>
        <v>23.186666666666667</v>
      </c>
      <c r="G378" s="28">
        <f t="shared" si="63"/>
        <v>8.7409060428711882</v>
      </c>
      <c r="H378" s="28">
        <f t="shared" si="64"/>
        <v>3.6993552220415493</v>
      </c>
      <c r="I378" s="28">
        <f t="shared" si="65"/>
        <v>3.119674929235714</v>
      </c>
      <c r="J378" s="28">
        <f t="shared" si="66"/>
        <v>68.252743918461903</v>
      </c>
      <c r="K378" s="28">
        <f t="shared" si="67"/>
        <v>23.186666666666667</v>
      </c>
      <c r="L378" s="28">
        <f t="shared" si="68"/>
        <v>0</v>
      </c>
      <c r="M378" s="2" t="str">
        <f t="shared" si="69"/>
        <v>Y</v>
      </c>
      <c r="N378" s="2" t="str">
        <f t="shared" si="70"/>
        <v/>
      </c>
      <c r="O378" s="2">
        <f t="shared" si="71"/>
        <v>20</v>
      </c>
    </row>
    <row r="379" spans="1:15">
      <c r="A379" s="27">
        <v>369</v>
      </c>
      <c r="B379" s="27">
        <v>44</v>
      </c>
      <c r="C379" s="27">
        <v>1</v>
      </c>
      <c r="D379" s="28">
        <f t="shared" si="60"/>
        <v>44</v>
      </c>
      <c r="E379" s="28">
        <f t="shared" si="61"/>
        <v>37.632427290462147</v>
      </c>
      <c r="F379" s="28">
        <f t="shared" si="62"/>
        <v>23.186666666666667</v>
      </c>
      <c r="G379" s="28">
        <f t="shared" si="63"/>
        <v>8.7409060428711882</v>
      </c>
      <c r="H379" s="28">
        <f t="shared" si="64"/>
        <v>4.3223753754542358</v>
      </c>
      <c r="I379" s="28">
        <f t="shared" si="65"/>
        <v>3.119674929235714</v>
      </c>
      <c r="J379" s="28">
        <f t="shared" si="66"/>
        <v>68.252743918461903</v>
      </c>
      <c r="K379" s="28">
        <f t="shared" si="67"/>
        <v>23.186666666666667</v>
      </c>
      <c r="L379" s="28">
        <f t="shared" si="68"/>
        <v>0</v>
      </c>
      <c r="M379" s="2" t="str">
        <f t="shared" si="69"/>
        <v>Y</v>
      </c>
      <c r="N379" s="2" t="str">
        <f t="shared" si="70"/>
        <v/>
      </c>
      <c r="O379" s="2">
        <f t="shared" si="71"/>
        <v>3</v>
      </c>
    </row>
    <row r="380" spans="1:15">
      <c r="A380" s="27">
        <v>370</v>
      </c>
      <c r="B380" s="27">
        <v>54</v>
      </c>
      <c r="C380" s="27">
        <v>1</v>
      </c>
      <c r="D380" s="28">
        <f t="shared" si="60"/>
        <v>54</v>
      </c>
      <c r="E380" s="28">
        <f t="shared" si="61"/>
        <v>37.632427290462147</v>
      </c>
      <c r="F380" s="28">
        <f t="shared" si="62"/>
        <v>23.186666666666667</v>
      </c>
      <c r="G380" s="28">
        <f t="shared" si="63"/>
        <v>8.7409060428711882</v>
      </c>
      <c r="H380" s="28">
        <f t="shared" si="64"/>
        <v>6.3991092201631892</v>
      </c>
      <c r="I380" s="28">
        <f t="shared" si="65"/>
        <v>3.119674929235714</v>
      </c>
      <c r="J380" s="28">
        <f t="shared" si="66"/>
        <v>68.252743918461903</v>
      </c>
      <c r="K380" s="28">
        <f t="shared" si="67"/>
        <v>23.186666666666667</v>
      </c>
      <c r="L380" s="28">
        <f t="shared" si="68"/>
        <v>0</v>
      </c>
      <c r="M380" s="2" t="str">
        <f t="shared" si="69"/>
        <v>Y</v>
      </c>
      <c r="N380" s="2" t="str">
        <f t="shared" si="70"/>
        <v/>
      </c>
      <c r="O380" s="2">
        <f t="shared" si="71"/>
        <v>10</v>
      </c>
    </row>
    <row r="381" spans="1:15">
      <c r="A381" s="27">
        <v>371</v>
      </c>
      <c r="B381" s="27">
        <v>22</v>
      </c>
      <c r="C381" s="27">
        <v>1</v>
      </c>
      <c r="D381" s="28">
        <f t="shared" si="60"/>
        <v>22</v>
      </c>
      <c r="E381" s="28">
        <f t="shared" si="61"/>
        <v>37.632427290462147</v>
      </c>
      <c r="F381" s="28">
        <f t="shared" si="62"/>
        <v>23.186666666666667</v>
      </c>
      <c r="G381" s="28">
        <f t="shared" si="63"/>
        <v>8.7409060428711882</v>
      </c>
      <c r="H381" s="28">
        <f t="shared" si="64"/>
        <v>-0.24643908290546265</v>
      </c>
      <c r="I381" s="28">
        <f t="shared" si="65"/>
        <v>3.119674929235714</v>
      </c>
      <c r="J381" s="28">
        <f t="shared" si="66"/>
        <v>68.252743918461903</v>
      </c>
      <c r="K381" s="28">
        <f t="shared" si="67"/>
        <v>23.186666666666667</v>
      </c>
      <c r="L381" s="28">
        <f t="shared" si="68"/>
        <v>0</v>
      </c>
      <c r="M381" s="2" t="str">
        <f t="shared" si="69"/>
        <v/>
      </c>
      <c r="N381" s="2" t="str">
        <f t="shared" si="70"/>
        <v/>
      </c>
      <c r="O381" s="2">
        <f t="shared" si="71"/>
        <v>32</v>
      </c>
    </row>
    <row r="382" spans="1:15">
      <c r="A382" s="27">
        <v>372</v>
      </c>
      <c r="B382" s="27">
        <v>38</v>
      </c>
      <c r="C382" s="27">
        <v>1</v>
      </c>
      <c r="D382" s="28">
        <f t="shared" si="60"/>
        <v>38</v>
      </c>
      <c r="E382" s="28">
        <f t="shared" si="61"/>
        <v>37.632427290462147</v>
      </c>
      <c r="F382" s="28">
        <f t="shared" si="62"/>
        <v>23.186666666666667</v>
      </c>
      <c r="G382" s="28">
        <f t="shared" si="63"/>
        <v>8.7409060428711882</v>
      </c>
      <c r="H382" s="28">
        <f t="shared" si="64"/>
        <v>3.0763350686288633</v>
      </c>
      <c r="I382" s="28">
        <f t="shared" si="65"/>
        <v>3.119674929235714</v>
      </c>
      <c r="J382" s="28">
        <f t="shared" si="66"/>
        <v>68.252743918461903</v>
      </c>
      <c r="K382" s="28">
        <f t="shared" si="67"/>
        <v>23.186666666666667</v>
      </c>
      <c r="L382" s="28">
        <f t="shared" si="68"/>
        <v>0</v>
      </c>
      <c r="M382" s="2" t="str">
        <f t="shared" si="69"/>
        <v>Y</v>
      </c>
      <c r="N382" s="2" t="str">
        <f t="shared" si="70"/>
        <v/>
      </c>
      <c r="O382" s="2">
        <f t="shared" si="71"/>
        <v>16</v>
      </c>
    </row>
    <row r="383" spans="1:15">
      <c r="A383" s="27">
        <v>373</v>
      </c>
      <c r="B383" s="27">
        <v>29</v>
      </c>
      <c r="C383" s="27">
        <v>1</v>
      </c>
      <c r="D383" s="28">
        <f t="shared" si="60"/>
        <v>29</v>
      </c>
      <c r="E383" s="28">
        <f t="shared" si="61"/>
        <v>37.632427290462147</v>
      </c>
      <c r="F383" s="28">
        <f t="shared" si="62"/>
        <v>23.186666666666667</v>
      </c>
      <c r="G383" s="28">
        <f t="shared" si="63"/>
        <v>8.7409060428711882</v>
      </c>
      <c r="H383" s="28">
        <f t="shared" si="64"/>
        <v>1.2072746083908048</v>
      </c>
      <c r="I383" s="28">
        <f t="shared" si="65"/>
        <v>3.119674929235714</v>
      </c>
      <c r="J383" s="28">
        <f t="shared" si="66"/>
        <v>68.252743918461903</v>
      </c>
      <c r="K383" s="28">
        <f t="shared" si="67"/>
        <v>23.186666666666667</v>
      </c>
      <c r="L383" s="28">
        <f t="shared" si="68"/>
        <v>0</v>
      </c>
      <c r="M383" s="2" t="str">
        <f t="shared" si="69"/>
        <v/>
      </c>
      <c r="N383" s="2" t="str">
        <f t="shared" si="70"/>
        <v/>
      </c>
      <c r="O383" s="2">
        <f t="shared" si="71"/>
        <v>9</v>
      </c>
    </row>
    <row r="384" spans="1:15">
      <c r="A384" s="27">
        <v>374</v>
      </c>
      <c r="B384" s="27">
        <v>21</v>
      </c>
      <c r="C384" s="27">
        <v>1</v>
      </c>
      <c r="D384" s="28">
        <f t="shared" si="60"/>
        <v>21</v>
      </c>
      <c r="E384" s="28">
        <f t="shared" si="61"/>
        <v>37.632427290462147</v>
      </c>
      <c r="F384" s="28">
        <f t="shared" si="62"/>
        <v>23.186666666666667</v>
      </c>
      <c r="G384" s="28">
        <f t="shared" si="63"/>
        <v>8.7409060428711882</v>
      </c>
      <c r="H384" s="28">
        <f t="shared" si="64"/>
        <v>-0.45411246737635802</v>
      </c>
      <c r="I384" s="28">
        <f t="shared" si="65"/>
        <v>3.119674929235714</v>
      </c>
      <c r="J384" s="28">
        <f t="shared" si="66"/>
        <v>68.252743918461903</v>
      </c>
      <c r="K384" s="28">
        <f t="shared" si="67"/>
        <v>23.186666666666667</v>
      </c>
      <c r="L384" s="28">
        <f t="shared" si="68"/>
        <v>0</v>
      </c>
      <c r="M384" s="2" t="str">
        <f t="shared" si="69"/>
        <v/>
      </c>
      <c r="N384" s="2" t="str">
        <f t="shared" si="70"/>
        <v/>
      </c>
      <c r="O384" s="2">
        <f t="shared" si="71"/>
        <v>8</v>
      </c>
    </row>
    <row r="385" spans="1:15">
      <c r="A385" s="27">
        <v>375</v>
      </c>
      <c r="B385" s="27">
        <v>16</v>
      </c>
      <c r="C385" s="27">
        <v>1</v>
      </c>
      <c r="D385" s="28">
        <f t="shared" si="60"/>
        <v>16</v>
      </c>
      <c r="E385" s="28">
        <f t="shared" si="61"/>
        <v>37.632427290462147</v>
      </c>
      <c r="F385" s="28">
        <f t="shared" si="62"/>
        <v>23.186666666666667</v>
      </c>
      <c r="G385" s="28">
        <f t="shared" si="63"/>
        <v>8.7409060428711882</v>
      </c>
      <c r="H385" s="28">
        <f t="shared" si="64"/>
        <v>-1.4924793897308348</v>
      </c>
      <c r="I385" s="28">
        <f t="shared" si="65"/>
        <v>3.119674929235714</v>
      </c>
      <c r="J385" s="28">
        <f t="shared" si="66"/>
        <v>68.252743918461903</v>
      </c>
      <c r="K385" s="28">
        <f t="shared" si="67"/>
        <v>23.186666666666667</v>
      </c>
      <c r="L385" s="28">
        <f t="shared" si="68"/>
        <v>0</v>
      </c>
      <c r="M385" s="2" t="str">
        <f t="shared" si="69"/>
        <v/>
      </c>
      <c r="N385" s="2" t="str">
        <f t="shared" si="70"/>
        <v/>
      </c>
      <c r="O385" s="2">
        <f t="shared" si="71"/>
        <v>5</v>
      </c>
    </row>
    <row r="386" spans="1:15">
      <c r="A386" s="27">
        <v>376</v>
      </c>
      <c r="B386" s="27">
        <v>14</v>
      </c>
      <c r="C386" s="27">
        <v>1</v>
      </c>
      <c r="D386" s="28">
        <f t="shared" si="60"/>
        <v>14</v>
      </c>
      <c r="E386" s="28">
        <f t="shared" si="61"/>
        <v>37.632427290462147</v>
      </c>
      <c r="F386" s="28">
        <f t="shared" si="62"/>
        <v>23.186666666666667</v>
      </c>
      <c r="G386" s="28">
        <f t="shared" si="63"/>
        <v>8.7409060428711882</v>
      </c>
      <c r="H386" s="28">
        <f t="shared" si="64"/>
        <v>-1.9078261586726255</v>
      </c>
      <c r="I386" s="28">
        <f t="shared" si="65"/>
        <v>3.119674929235714</v>
      </c>
      <c r="J386" s="28">
        <f t="shared" si="66"/>
        <v>68.252743918461903</v>
      </c>
      <c r="K386" s="28">
        <f t="shared" si="67"/>
        <v>23.186666666666667</v>
      </c>
      <c r="L386" s="28">
        <f t="shared" si="68"/>
        <v>0</v>
      </c>
      <c r="M386" s="2" t="str">
        <f t="shared" si="69"/>
        <v/>
      </c>
      <c r="N386" s="2" t="str">
        <f t="shared" si="70"/>
        <v/>
      </c>
      <c r="O386" s="2">
        <f t="shared" si="71"/>
        <v>2</v>
      </c>
    </row>
    <row r="387" spans="1:15">
      <c r="A387" s="27">
        <v>377</v>
      </c>
      <c r="B387" s="27">
        <v>26</v>
      </c>
      <c r="C387" s="27">
        <v>1</v>
      </c>
      <c r="D387" s="28">
        <f t="shared" si="60"/>
        <v>26</v>
      </c>
      <c r="E387" s="28">
        <f t="shared" si="61"/>
        <v>37.632427290462147</v>
      </c>
      <c r="F387" s="28">
        <f t="shared" si="62"/>
        <v>23.186666666666667</v>
      </c>
      <c r="G387" s="28">
        <f t="shared" si="63"/>
        <v>8.7409060428711882</v>
      </c>
      <c r="H387" s="28">
        <f t="shared" si="64"/>
        <v>0.58425445497811879</v>
      </c>
      <c r="I387" s="28">
        <f t="shared" si="65"/>
        <v>3.119674929235714</v>
      </c>
      <c r="J387" s="28">
        <f t="shared" si="66"/>
        <v>68.252743918461903</v>
      </c>
      <c r="K387" s="28">
        <f t="shared" si="67"/>
        <v>23.186666666666667</v>
      </c>
      <c r="L387" s="28">
        <f t="shared" si="68"/>
        <v>0</v>
      </c>
      <c r="M387" s="2" t="str">
        <f t="shared" si="69"/>
        <v/>
      </c>
      <c r="N387" s="2" t="str">
        <f t="shared" si="70"/>
        <v/>
      </c>
      <c r="O387" s="2">
        <f t="shared" si="71"/>
        <v>12</v>
      </c>
    </row>
    <row r="388" spans="1:15">
      <c r="A388" s="27">
        <v>378</v>
      </c>
      <c r="B388" s="27">
        <v>21</v>
      </c>
      <c r="C388" s="27">
        <v>1</v>
      </c>
      <c r="D388" s="28">
        <f t="shared" si="60"/>
        <v>21</v>
      </c>
      <c r="E388" s="28">
        <f t="shared" si="61"/>
        <v>37.632427290462147</v>
      </c>
      <c r="F388" s="28">
        <f t="shared" si="62"/>
        <v>23.186666666666667</v>
      </c>
      <c r="G388" s="28">
        <f t="shared" si="63"/>
        <v>8.7409060428711882</v>
      </c>
      <c r="H388" s="28">
        <f t="shared" si="64"/>
        <v>-0.45411246737635802</v>
      </c>
      <c r="I388" s="28">
        <f t="shared" si="65"/>
        <v>3.119674929235714</v>
      </c>
      <c r="J388" s="28">
        <f t="shared" si="66"/>
        <v>68.252743918461903</v>
      </c>
      <c r="K388" s="28">
        <f t="shared" si="67"/>
        <v>23.186666666666667</v>
      </c>
      <c r="L388" s="28">
        <f t="shared" si="68"/>
        <v>0</v>
      </c>
      <c r="M388" s="2" t="str">
        <f t="shared" si="69"/>
        <v/>
      </c>
      <c r="N388" s="2" t="str">
        <f t="shared" si="70"/>
        <v/>
      </c>
      <c r="O388" s="2">
        <f t="shared" si="71"/>
        <v>5</v>
      </c>
    </row>
    <row r="389" spans="1:15">
      <c r="A389" s="27">
        <v>379</v>
      </c>
      <c r="B389" s="27">
        <v>17</v>
      </c>
      <c r="C389" s="27">
        <v>1</v>
      </c>
      <c r="D389" s="28">
        <f t="shared" si="60"/>
        <v>17</v>
      </c>
      <c r="E389" s="28">
        <f t="shared" si="61"/>
        <v>37.632427290462147</v>
      </c>
      <c r="F389" s="28">
        <f t="shared" si="62"/>
        <v>23.186666666666667</v>
      </c>
      <c r="G389" s="28">
        <f t="shared" si="63"/>
        <v>8.7409060428711882</v>
      </c>
      <c r="H389" s="28">
        <f t="shared" si="64"/>
        <v>-1.2848060052599395</v>
      </c>
      <c r="I389" s="28">
        <f t="shared" si="65"/>
        <v>3.119674929235714</v>
      </c>
      <c r="J389" s="28">
        <f t="shared" si="66"/>
        <v>68.252743918461903</v>
      </c>
      <c r="K389" s="28">
        <f t="shared" si="67"/>
        <v>23.186666666666667</v>
      </c>
      <c r="L389" s="28">
        <f t="shared" si="68"/>
        <v>0</v>
      </c>
      <c r="M389" s="2" t="str">
        <f t="shared" si="69"/>
        <v/>
      </c>
      <c r="N389" s="2" t="str">
        <f t="shared" si="70"/>
        <v/>
      </c>
      <c r="O389" s="2">
        <f t="shared" si="71"/>
        <v>4</v>
      </c>
    </row>
    <row r="390" spans="1:15">
      <c r="A390" s="27">
        <v>380</v>
      </c>
      <c r="B390" s="27">
        <v>15</v>
      </c>
      <c r="C390" s="27">
        <v>1</v>
      </c>
      <c r="D390" s="28">
        <f t="shared" si="60"/>
        <v>15</v>
      </c>
      <c r="E390" s="28">
        <f t="shared" si="61"/>
        <v>37.632427290462147</v>
      </c>
      <c r="F390" s="28">
        <f t="shared" si="62"/>
        <v>23.186666666666667</v>
      </c>
      <c r="G390" s="28">
        <f t="shared" si="63"/>
        <v>8.7409060428711882</v>
      </c>
      <c r="H390" s="28">
        <f t="shared" si="64"/>
        <v>-1.7001527742017302</v>
      </c>
      <c r="I390" s="28">
        <f t="shared" si="65"/>
        <v>3.119674929235714</v>
      </c>
      <c r="J390" s="28">
        <f t="shared" si="66"/>
        <v>68.252743918461903</v>
      </c>
      <c r="K390" s="28">
        <f t="shared" si="67"/>
        <v>23.186666666666667</v>
      </c>
      <c r="L390" s="28">
        <f t="shared" si="68"/>
        <v>0</v>
      </c>
      <c r="M390" s="2" t="str">
        <f t="shared" si="69"/>
        <v/>
      </c>
      <c r="N390" s="2" t="str">
        <f t="shared" si="70"/>
        <v/>
      </c>
      <c r="O390" s="2">
        <f t="shared" si="71"/>
        <v>2</v>
      </c>
    </row>
    <row r="391" spans="1:15">
      <c r="A391" s="27">
        <v>381</v>
      </c>
      <c r="B391" s="27">
        <v>20</v>
      </c>
      <c r="C391" s="27">
        <v>1</v>
      </c>
      <c r="D391" s="28">
        <f t="shared" si="60"/>
        <v>20</v>
      </c>
      <c r="E391" s="28">
        <f t="shared" si="61"/>
        <v>37.632427290462147</v>
      </c>
      <c r="F391" s="28">
        <f t="shared" si="62"/>
        <v>23.186666666666667</v>
      </c>
      <c r="G391" s="28">
        <f t="shared" si="63"/>
        <v>8.7409060428711882</v>
      </c>
      <c r="H391" s="28">
        <f t="shared" si="64"/>
        <v>-0.66178585184725336</v>
      </c>
      <c r="I391" s="28">
        <f t="shared" si="65"/>
        <v>3.119674929235714</v>
      </c>
      <c r="J391" s="28">
        <f t="shared" si="66"/>
        <v>68.252743918461903</v>
      </c>
      <c r="K391" s="28">
        <f t="shared" si="67"/>
        <v>23.186666666666667</v>
      </c>
      <c r="L391" s="28">
        <f t="shared" si="68"/>
        <v>0</v>
      </c>
      <c r="M391" s="2" t="str">
        <f t="shared" si="69"/>
        <v/>
      </c>
      <c r="N391" s="2" t="str">
        <f t="shared" si="70"/>
        <v/>
      </c>
      <c r="O391" s="2">
        <f t="shared" si="71"/>
        <v>5</v>
      </c>
    </row>
    <row r="392" spans="1:15">
      <c r="A392" s="27">
        <v>382</v>
      </c>
      <c r="B392" s="27">
        <v>18</v>
      </c>
      <c r="C392" s="27">
        <v>1</v>
      </c>
      <c r="D392" s="28">
        <f t="shared" si="60"/>
        <v>18</v>
      </c>
      <c r="E392" s="28">
        <f t="shared" si="61"/>
        <v>37.632427290462147</v>
      </c>
      <c r="F392" s="28">
        <f t="shared" si="62"/>
        <v>23.186666666666667</v>
      </c>
      <c r="G392" s="28">
        <f t="shared" si="63"/>
        <v>8.7409060428711882</v>
      </c>
      <c r="H392" s="28">
        <f t="shared" si="64"/>
        <v>-1.0771326207890441</v>
      </c>
      <c r="I392" s="28">
        <f t="shared" si="65"/>
        <v>3.119674929235714</v>
      </c>
      <c r="J392" s="28">
        <f t="shared" si="66"/>
        <v>68.252743918461903</v>
      </c>
      <c r="K392" s="28">
        <f t="shared" si="67"/>
        <v>23.186666666666667</v>
      </c>
      <c r="L392" s="28">
        <f t="shared" si="68"/>
        <v>0</v>
      </c>
      <c r="M392" s="2" t="str">
        <f t="shared" si="69"/>
        <v/>
      </c>
      <c r="N392" s="2" t="str">
        <f t="shared" si="70"/>
        <v/>
      </c>
      <c r="O392" s="2">
        <f t="shared" si="71"/>
        <v>2</v>
      </c>
    </row>
    <row r="393" spans="1:15">
      <c r="A393" s="27">
        <v>383</v>
      </c>
      <c r="B393" s="27">
        <v>11</v>
      </c>
      <c r="C393" s="27">
        <v>1</v>
      </c>
      <c r="D393" s="28">
        <f t="shared" si="60"/>
        <v>11</v>
      </c>
      <c r="E393" s="28">
        <f t="shared" si="61"/>
        <v>37.632427290462147</v>
      </c>
      <c r="F393" s="28">
        <f t="shared" si="62"/>
        <v>23.186666666666667</v>
      </c>
      <c r="G393" s="28">
        <f t="shared" si="63"/>
        <v>8.7409060428711882</v>
      </c>
      <c r="H393" s="28">
        <f t="shared" si="64"/>
        <v>-2.5308463120853117</v>
      </c>
      <c r="I393" s="28">
        <f t="shared" si="65"/>
        <v>3.119674929235714</v>
      </c>
      <c r="J393" s="28">
        <f t="shared" si="66"/>
        <v>68.252743918461903</v>
      </c>
      <c r="K393" s="28">
        <f t="shared" si="67"/>
        <v>23.186666666666667</v>
      </c>
      <c r="L393" s="28">
        <f t="shared" si="68"/>
        <v>0</v>
      </c>
      <c r="M393" s="2" t="str">
        <f t="shared" si="69"/>
        <v/>
      </c>
      <c r="N393" s="2" t="str">
        <f t="shared" si="70"/>
        <v/>
      </c>
      <c r="O393" s="2">
        <f t="shared" si="71"/>
        <v>7</v>
      </c>
    </row>
    <row r="394" spans="1:15">
      <c r="A394" s="27">
        <v>384</v>
      </c>
      <c r="B394" s="27">
        <v>14</v>
      </c>
      <c r="C394" s="27">
        <v>1</v>
      </c>
      <c r="D394" s="28">
        <f t="shared" si="60"/>
        <v>14</v>
      </c>
      <c r="E394" s="28">
        <f t="shared" si="61"/>
        <v>37.632427290462147</v>
      </c>
      <c r="F394" s="28">
        <f t="shared" si="62"/>
        <v>23.186666666666667</v>
      </c>
      <c r="G394" s="28">
        <f t="shared" si="63"/>
        <v>8.7409060428711882</v>
      </c>
      <c r="H394" s="28">
        <f t="shared" si="64"/>
        <v>-1.9078261586726255</v>
      </c>
      <c r="I394" s="28">
        <f t="shared" si="65"/>
        <v>3.119674929235714</v>
      </c>
      <c r="J394" s="28">
        <f t="shared" si="66"/>
        <v>68.252743918461903</v>
      </c>
      <c r="K394" s="28">
        <f t="shared" si="67"/>
        <v>23.186666666666667</v>
      </c>
      <c r="L394" s="28">
        <f t="shared" si="68"/>
        <v>0</v>
      </c>
      <c r="M394" s="2" t="str">
        <f t="shared" si="69"/>
        <v/>
      </c>
      <c r="N394" s="2" t="str">
        <f t="shared" si="70"/>
        <v/>
      </c>
      <c r="O394" s="2">
        <f t="shared" si="71"/>
        <v>3</v>
      </c>
    </row>
    <row r="395" spans="1:15">
      <c r="A395" s="27">
        <v>385</v>
      </c>
      <c r="B395" s="27">
        <v>28</v>
      </c>
      <c r="C395" s="27">
        <v>1</v>
      </c>
      <c r="D395" s="28">
        <f t="shared" ref="D395:D458" si="72">IF(C395=0,"",B395/C395)</f>
        <v>28</v>
      </c>
      <c r="E395" s="28">
        <f t="shared" ref="E395:E458" si="73">IF(C395=0,"",$F$5+3*SQRT($F$5/C395))</f>
        <v>37.632427290462147</v>
      </c>
      <c r="F395" s="28">
        <f t="shared" ref="F395:F458" si="74">$F$5</f>
        <v>23.186666666666667</v>
      </c>
      <c r="G395" s="28">
        <f t="shared" ref="G395:G458" si="75">IF(C395=0,"",MAX(0,$F$5-3*SQRT($F$5/C395)))</f>
        <v>8.7409060428711882</v>
      </c>
      <c r="H395" s="28">
        <f t="shared" ref="H395:H458" si="76">IF(C395=0,"",(D395-$F$5)/SQRT($F$5/C395))</f>
        <v>0.99960122391990958</v>
      </c>
      <c r="I395" s="28">
        <f t="shared" ref="I395:I458" si="77">$F$6</f>
        <v>3.119674929235714</v>
      </c>
      <c r="J395" s="28">
        <f t="shared" ref="J395:J458" si="78">IF(C395=0,"",$F$5+3*$F$6*SQRT($F$5/C395))</f>
        <v>68.252743918461903</v>
      </c>
      <c r="K395" s="28">
        <f t="shared" ref="K395:K458" si="79">$F$5</f>
        <v>23.186666666666667</v>
      </c>
      <c r="L395" s="28">
        <f t="shared" ref="L395:L458" si="80">IF(C395=0,"",MAX(0,$F$5-3*$F$6*SQRT($F$5/C395)))</f>
        <v>0</v>
      </c>
      <c r="M395" s="2" t="str">
        <f t="shared" ref="M395:M458" si="81">IF(OR(D395&gt;E395,D395&lt;G395),"Y","")</f>
        <v/>
      </c>
      <c r="N395" s="2" t="str">
        <f t="shared" ref="N395:N458" si="82">IF(OR(D395&gt;J395,D395&lt;L395),"Y","")</f>
        <v/>
      </c>
      <c r="O395" s="2">
        <f t="shared" si="71"/>
        <v>14</v>
      </c>
    </row>
    <row r="396" spans="1:15">
      <c r="A396" s="27">
        <v>386</v>
      </c>
      <c r="B396" s="27">
        <v>10</v>
      </c>
      <c r="C396" s="27">
        <v>1</v>
      </c>
      <c r="D396" s="28">
        <f t="shared" si="72"/>
        <v>10</v>
      </c>
      <c r="E396" s="28">
        <f t="shared" si="73"/>
        <v>37.632427290462147</v>
      </c>
      <c r="F396" s="28">
        <f t="shared" si="74"/>
        <v>23.186666666666667</v>
      </c>
      <c r="G396" s="28">
        <f t="shared" si="75"/>
        <v>8.7409060428711882</v>
      </c>
      <c r="H396" s="28">
        <f t="shared" si="76"/>
        <v>-2.7385196965562071</v>
      </c>
      <c r="I396" s="28">
        <f t="shared" si="77"/>
        <v>3.119674929235714</v>
      </c>
      <c r="J396" s="28">
        <f t="shared" si="78"/>
        <v>68.252743918461903</v>
      </c>
      <c r="K396" s="28">
        <f t="shared" si="79"/>
        <v>23.186666666666667</v>
      </c>
      <c r="L396" s="28">
        <f t="shared" si="80"/>
        <v>0</v>
      </c>
      <c r="M396" s="2" t="str">
        <f t="shared" si="81"/>
        <v/>
      </c>
      <c r="N396" s="2" t="str">
        <f t="shared" si="82"/>
        <v/>
      </c>
      <c r="O396" s="2">
        <f t="shared" ref="O396:O459" si="83">ABS(D396-D395)</f>
        <v>18</v>
      </c>
    </row>
    <row r="397" spans="1:15">
      <c r="A397" s="27">
        <v>387</v>
      </c>
      <c r="B397" s="27">
        <v>16</v>
      </c>
      <c r="C397" s="27">
        <v>1</v>
      </c>
      <c r="D397" s="28">
        <f t="shared" si="72"/>
        <v>16</v>
      </c>
      <c r="E397" s="28">
        <f t="shared" si="73"/>
        <v>37.632427290462147</v>
      </c>
      <c r="F397" s="28">
        <f t="shared" si="74"/>
        <v>23.186666666666667</v>
      </c>
      <c r="G397" s="28">
        <f t="shared" si="75"/>
        <v>8.7409060428711882</v>
      </c>
      <c r="H397" s="28">
        <f t="shared" si="76"/>
        <v>-1.4924793897308348</v>
      </c>
      <c r="I397" s="28">
        <f t="shared" si="77"/>
        <v>3.119674929235714</v>
      </c>
      <c r="J397" s="28">
        <f t="shared" si="78"/>
        <v>68.252743918461903</v>
      </c>
      <c r="K397" s="28">
        <f t="shared" si="79"/>
        <v>23.186666666666667</v>
      </c>
      <c r="L397" s="28">
        <f t="shared" si="80"/>
        <v>0</v>
      </c>
      <c r="M397" s="2" t="str">
        <f t="shared" si="81"/>
        <v/>
      </c>
      <c r="N397" s="2" t="str">
        <f t="shared" si="82"/>
        <v/>
      </c>
      <c r="O397" s="2">
        <f t="shared" si="83"/>
        <v>6</v>
      </c>
    </row>
    <row r="398" spans="1:15">
      <c r="A398" s="27">
        <v>388</v>
      </c>
      <c r="B398" s="27">
        <v>20</v>
      </c>
      <c r="C398" s="27">
        <v>1</v>
      </c>
      <c r="D398" s="28">
        <f t="shared" si="72"/>
        <v>20</v>
      </c>
      <c r="E398" s="28">
        <f t="shared" si="73"/>
        <v>37.632427290462147</v>
      </c>
      <c r="F398" s="28">
        <f t="shared" si="74"/>
        <v>23.186666666666667</v>
      </c>
      <c r="G398" s="28">
        <f t="shared" si="75"/>
        <v>8.7409060428711882</v>
      </c>
      <c r="H398" s="28">
        <f t="shared" si="76"/>
        <v>-0.66178585184725336</v>
      </c>
      <c r="I398" s="28">
        <f t="shared" si="77"/>
        <v>3.119674929235714</v>
      </c>
      <c r="J398" s="28">
        <f t="shared" si="78"/>
        <v>68.252743918461903</v>
      </c>
      <c r="K398" s="28">
        <f t="shared" si="79"/>
        <v>23.186666666666667</v>
      </c>
      <c r="L398" s="28">
        <f t="shared" si="80"/>
        <v>0</v>
      </c>
      <c r="M398" s="2" t="str">
        <f t="shared" si="81"/>
        <v/>
      </c>
      <c r="N398" s="2" t="str">
        <f t="shared" si="82"/>
        <v/>
      </c>
      <c r="O398" s="2">
        <f t="shared" si="83"/>
        <v>4</v>
      </c>
    </row>
    <row r="399" spans="1:15">
      <c r="A399" s="27">
        <v>389</v>
      </c>
      <c r="B399" s="27">
        <v>8</v>
      </c>
      <c r="C399" s="27">
        <v>1</v>
      </c>
      <c r="D399" s="28">
        <f t="shared" si="72"/>
        <v>8</v>
      </c>
      <c r="E399" s="28">
        <f t="shared" si="73"/>
        <v>37.632427290462147</v>
      </c>
      <c r="F399" s="28">
        <f t="shared" si="74"/>
        <v>23.186666666666667</v>
      </c>
      <c r="G399" s="28">
        <f t="shared" si="75"/>
        <v>8.7409060428711882</v>
      </c>
      <c r="H399" s="28">
        <f t="shared" si="76"/>
        <v>-3.1538664654979978</v>
      </c>
      <c r="I399" s="28">
        <f t="shared" si="77"/>
        <v>3.119674929235714</v>
      </c>
      <c r="J399" s="28">
        <f t="shared" si="78"/>
        <v>68.252743918461903</v>
      </c>
      <c r="K399" s="28">
        <f t="shared" si="79"/>
        <v>23.186666666666667</v>
      </c>
      <c r="L399" s="28">
        <f t="shared" si="80"/>
        <v>0</v>
      </c>
      <c r="M399" s="2" t="str">
        <f t="shared" si="81"/>
        <v>Y</v>
      </c>
      <c r="N399" s="2" t="str">
        <f t="shared" si="82"/>
        <v/>
      </c>
      <c r="O399" s="2">
        <f t="shared" si="83"/>
        <v>12</v>
      </c>
    </row>
    <row r="400" spans="1:15">
      <c r="A400" s="27">
        <v>390</v>
      </c>
      <c r="B400" s="27">
        <v>35</v>
      </c>
      <c r="C400" s="27">
        <v>1</v>
      </c>
      <c r="D400" s="28">
        <f t="shared" si="72"/>
        <v>35</v>
      </c>
      <c r="E400" s="28">
        <f t="shared" si="73"/>
        <v>37.632427290462147</v>
      </c>
      <c r="F400" s="28">
        <f t="shared" si="74"/>
        <v>23.186666666666667</v>
      </c>
      <c r="G400" s="28">
        <f t="shared" si="75"/>
        <v>8.7409060428711882</v>
      </c>
      <c r="H400" s="28">
        <f t="shared" si="76"/>
        <v>2.4533149152161773</v>
      </c>
      <c r="I400" s="28">
        <f t="shared" si="77"/>
        <v>3.119674929235714</v>
      </c>
      <c r="J400" s="28">
        <f t="shared" si="78"/>
        <v>68.252743918461903</v>
      </c>
      <c r="K400" s="28">
        <f t="shared" si="79"/>
        <v>23.186666666666667</v>
      </c>
      <c r="L400" s="28">
        <f t="shared" si="80"/>
        <v>0</v>
      </c>
      <c r="M400" s="2" t="str">
        <f t="shared" si="81"/>
        <v/>
      </c>
      <c r="N400" s="2" t="str">
        <f t="shared" si="82"/>
        <v/>
      </c>
      <c r="O400" s="2">
        <f t="shared" si="83"/>
        <v>27</v>
      </c>
    </row>
    <row r="401" spans="1:15">
      <c r="A401" s="27">
        <v>391</v>
      </c>
      <c r="B401" s="27">
        <v>25</v>
      </c>
      <c r="C401" s="27">
        <v>1</v>
      </c>
      <c r="D401" s="28">
        <f t="shared" si="72"/>
        <v>25</v>
      </c>
      <c r="E401" s="28">
        <f t="shared" si="73"/>
        <v>37.632427290462147</v>
      </c>
      <c r="F401" s="28">
        <f t="shared" si="74"/>
        <v>23.186666666666667</v>
      </c>
      <c r="G401" s="28">
        <f t="shared" si="75"/>
        <v>8.7409060428711882</v>
      </c>
      <c r="H401" s="28">
        <f t="shared" si="76"/>
        <v>0.37658107050722345</v>
      </c>
      <c r="I401" s="28">
        <f t="shared" si="77"/>
        <v>3.119674929235714</v>
      </c>
      <c r="J401" s="28">
        <f t="shared" si="78"/>
        <v>68.252743918461903</v>
      </c>
      <c r="K401" s="28">
        <f t="shared" si="79"/>
        <v>23.186666666666667</v>
      </c>
      <c r="L401" s="28">
        <f t="shared" si="80"/>
        <v>0</v>
      </c>
      <c r="M401" s="2" t="str">
        <f t="shared" si="81"/>
        <v/>
      </c>
      <c r="N401" s="2" t="str">
        <f t="shared" si="82"/>
        <v/>
      </c>
      <c r="O401" s="2">
        <f t="shared" si="83"/>
        <v>10</v>
      </c>
    </row>
    <row r="402" spans="1:15">
      <c r="A402" s="27">
        <v>392</v>
      </c>
      <c r="B402" s="27">
        <v>40</v>
      </c>
      <c r="C402" s="27">
        <v>1</v>
      </c>
      <c r="D402" s="28">
        <f t="shared" si="72"/>
        <v>40</v>
      </c>
      <c r="E402" s="28">
        <f t="shared" si="73"/>
        <v>37.632427290462147</v>
      </c>
      <c r="F402" s="28">
        <f t="shared" si="74"/>
        <v>23.186666666666667</v>
      </c>
      <c r="G402" s="28">
        <f t="shared" si="75"/>
        <v>8.7409060428711882</v>
      </c>
      <c r="H402" s="28">
        <f t="shared" si="76"/>
        <v>3.491681837570654</v>
      </c>
      <c r="I402" s="28">
        <f t="shared" si="77"/>
        <v>3.119674929235714</v>
      </c>
      <c r="J402" s="28">
        <f t="shared" si="78"/>
        <v>68.252743918461903</v>
      </c>
      <c r="K402" s="28">
        <f t="shared" si="79"/>
        <v>23.186666666666667</v>
      </c>
      <c r="L402" s="28">
        <f t="shared" si="80"/>
        <v>0</v>
      </c>
      <c r="M402" s="2" t="str">
        <f t="shared" si="81"/>
        <v>Y</v>
      </c>
      <c r="N402" s="2" t="str">
        <f t="shared" si="82"/>
        <v/>
      </c>
      <c r="O402" s="2">
        <f t="shared" si="83"/>
        <v>15</v>
      </c>
    </row>
    <row r="403" spans="1:15">
      <c r="A403" s="27">
        <v>393</v>
      </c>
      <c r="B403" s="27">
        <v>12</v>
      </c>
      <c r="C403" s="27">
        <v>1</v>
      </c>
      <c r="D403" s="28">
        <f t="shared" si="72"/>
        <v>12</v>
      </c>
      <c r="E403" s="28">
        <f t="shared" si="73"/>
        <v>37.632427290462147</v>
      </c>
      <c r="F403" s="28">
        <f t="shared" si="74"/>
        <v>23.186666666666667</v>
      </c>
      <c r="G403" s="28">
        <f t="shared" si="75"/>
        <v>8.7409060428711882</v>
      </c>
      <c r="H403" s="28">
        <f t="shared" si="76"/>
        <v>-2.3231729276144164</v>
      </c>
      <c r="I403" s="28">
        <f t="shared" si="77"/>
        <v>3.119674929235714</v>
      </c>
      <c r="J403" s="28">
        <f t="shared" si="78"/>
        <v>68.252743918461903</v>
      </c>
      <c r="K403" s="28">
        <f t="shared" si="79"/>
        <v>23.186666666666667</v>
      </c>
      <c r="L403" s="28">
        <f t="shared" si="80"/>
        <v>0</v>
      </c>
      <c r="M403" s="2" t="str">
        <f t="shared" si="81"/>
        <v/>
      </c>
      <c r="N403" s="2" t="str">
        <f t="shared" si="82"/>
        <v/>
      </c>
      <c r="O403" s="2">
        <f t="shared" si="83"/>
        <v>28</v>
      </c>
    </row>
    <row r="404" spans="1:15">
      <c r="A404" s="27">
        <v>394</v>
      </c>
      <c r="B404" s="27">
        <v>29</v>
      </c>
      <c r="C404" s="27">
        <v>1</v>
      </c>
      <c r="D404" s="28">
        <f t="shared" si="72"/>
        <v>29</v>
      </c>
      <c r="E404" s="28">
        <f t="shared" si="73"/>
        <v>37.632427290462147</v>
      </c>
      <c r="F404" s="28">
        <f t="shared" si="74"/>
        <v>23.186666666666667</v>
      </c>
      <c r="G404" s="28">
        <f t="shared" si="75"/>
        <v>8.7409060428711882</v>
      </c>
      <c r="H404" s="28">
        <f t="shared" si="76"/>
        <v>1.2072746083908048</v>
      </c>
      <c r="I404" s="28">
        <f t="shared" si="77"/>
        <v>3.119674929235714</v>
      </c>
      <c r="J404" s="28">
        <f t="shared" si="78"/>
        <v>68.252743918461903</v>
      </c>
      <c r="K404" s="28">
        <f t="shared" si="79"/>
        <v>23.186666666666667</v>
      </c>
      <c r="L404" s="28">
        <f t="shared" si="80"/>
        <v>0</v>
      </c>
      <c r="M404" s="2" t="str">
        <f t="shared" si="81"/>
        <v/>
      </c>
      <c r="N404" s="2" t="str">
        <f t="shared" si="82"/>
        <v/>
      </c>
      <c r="O404" s="2">
        <f t="shared" si="83"/>
        <v>17</v>
      </c>
    </row>
    <row r="405" spans="1:15">
      <c r="A405" s="27">
        <v>395</v>
      </c>
      <c r="B405" s="27">
        <v>18</v>
      </c>
      <c r="C405" s="27">
        <v>1</v>
      </c>
      <c r="D405" s="28">
        <f t="shared" si="72"/>
        <v>18</v>
      </c>
      <c r="E405" s="28">
        <f t="shared" si="73"/>
        <v>37.632427290462147</v>
      </c>
      <c r="F405" s="28">
        <f t="shared" si="74"/>
        <v>23.186666666666667</v>
      </c>
      <c r="G405" s="28">
        <f t="shared" si="75"/>
        <v>8.7409060428711882</v>
      </c>
      <c r="H405" s="28">
        <f t="shared" si="76"/>
        <v>-1.0771326207890441</v>
      </c>
      <c r="I405" s="28">
        <f t="shared" si="77"/>
        <v>3.119674929235714</v>
      </c>
      <c r="J405" s="28">
        <f t="shared" si="78"/>
        <v>68.252743918461903</v>
      </c>
      <c r="K405" s="28">
        <f t="shared" si="79"/>
        <v>23.186666666666667</v>
      </c>
      <c r="L405" s="28">
        <f t="shared" si="80"/>
        <v>0</v>
      </c>
      <c r="M405" s="2" t="str">
        <f t="shared" si="81"/>
        <v/>
      </c>
      <c r="N405" s="2" t="str">
        <f t="shared" si="82"/>
        <v/>
      </c>
      <c r="O405" s="2">
        <f t="shared" si="83"/>
        <v>11</v>
      </c>
    </row>
    <row r="406" spans="1:15">
      <c r="A406" s="27">
        <v>396</v>
      </c>
      <c r="B406" s="27">
        <v>17</v>
      </c>
      <c r="C406" s="27">
        <v>1</v>
      </c>
      <c r="D406" s="28">
        <f t="shared" si="72"/>
        <v>17</v>
      </c>
      <c r="E406" s="28">
        <f t="shared" si="73"/>
        <v>37.632427290462147</v>
      </c>
      <c r="F406" s="28">
        <f t="shared" si="74"/>
        <v>23.186666666666667</v>
      </c>
      <c r="G406" s="28">
        <f t="shared" si="75"/>
        <v>8.7409060428711882</v>
      </c>
      <c r="H406" s="28">
        <f t="shared" si="76"/>
        <v>-1.2848060052599395</v>
      </c>
      <c r="I406" s="28">
        <f t="shared" si="77"/>
        <v>3.119674929235714</v>
      </c>
      <c r="J406" s="28">
        <f t="shared" si="78"/>
        <v>68.252743918461903</v>
      </c>
      <c r="K406" s="28">
        <f t="shared" si="79"/>
        <v>23.186666666666667</v>
      </c>
      <c r="L406" s="28">
        <f t="shared" si="80"/>
        <v>0</v>
      </c>
      <c r="M406" s="2" t="str">
        <f t="shared" si="81"/>
        <v/>
      </c>
      <c r="N406" s="2" t="str">
        <f t="shared" si="82"/>
        <v/>
      </c>
      <c r="O406" s="2">
        <f t="shared" si="83"/>
        <v>1</v>
      </c>
    </row>
    <row r="407" spans="1:15">
      <c r="A407" s="27">
        <v>397</v>
      </c>
      <c r="B407" s="27">
        <v>46</v>
      </c>
      <c r="C407" s="27">
        <v>1</v>
      </c>
      <c r="D407" s="28">
        <f t="shared" si="72"/>
        <v>46</v>
      </c>
      <c r="E407" s="28">
        <f t="shared" si="73"/>
        <v>37.632427290462147</v>
      </c>
      <c r="F407" s="28">
        <f t="shared" si="74"/>
        <v>23.186666666666667</v>
      </c>
      <c r="G407" s="28">
        <f t="shared" si="75"/>
        <v>8.7409060428711882</v>
      </c>
      <c r="H407" s="28">
        <f t="shared" si="76"/>
        <v>4.7377221443960265</v>
      </c>
      <c r="I407" s="28">
        <f t="shared" si="77"/>
        <v>3.119674929235714</v>
      </c>
      <c r="J407" s="28">
        <f t="shared" si="78"/>
        <v>68.252743918461903</v>
      </c>
      <c r="K407" s="28">
        <f t="shared" si="79"/>
        <v>23.186666666666667</v>
      </c>
      <c r="L407" s="28">
        <f t="shared" si="80"/>
        <v>0</v>
      </c>
      <c r="M407" s="2" t="str">
        <f t="shared" si="81"/>
        <v>Y</v>
      </c>
      <c r="N407" s="2" t="str">
        <f t="shared" si="82"/>
        <v/>
      </c>
      <c r="O407" s="2">
        <f t="shared" si="83"/>
        <v>29</v>
      </c>
    </row>
    <row r="408" spans="1:15">
      <c r="A408" s="27">
        <v>398</v>
      </c>
      <c r="B408" s="27">
        <v>14</v>
      </c>
      <c r="C408" s="27">
        <v>1</v>
      </c>
      <c r="D408" s="28">
        <f t="shared" si="72"/>
        <v>14</v>
      </c>
      <c r="E408" s="28">
        <f t="shared" si="73"/>
        <v>37.632427290462147</v>
      </c>
      <c r="F408" s="28">
        <f t="shared" si="74"/>
        <v>23.186666666666667</v>
      </c>
      <c r="G408" s="28">
        <f t="shared" si="75"/>
        <v>8.7409060428711882</v>
      </c>
      <c r="H408" s="28">
        <f t="shared" si="76"/>
        <v>-1.9078261586726255</v>
      </c>
      <c r="I408" s="28">
        <f t="shared" si="77"/>
        <v>3.119674929235714</v>
      </c>
      <c r="J408" s="28">
        <f t="shared" si="78"/>
        <v>68.252743918461903</v>
      </c>
      <c r="K408" s="28">
        <f t="shared" si="79"/>
        <v>23.186666666666667</v>
      </c>
      <c r="L408" s="28">
        <f t="shared" si="80"/>
        <v>0</v>
      </c>
      <c r="M408" s="2" t="str">
        <f t="shared" si="81"/>
        <v/>
      </c>
      <c r="N408" s="2" t="str">
        <f t="shared" si="82"/>
        <v/>
      </c>
      <c r="O408" s="2">
        <f t="shared" si="83"/>
        <v>32</v>
      </c>
    </row>
    <row r="409" spans="1:15">
      <c r="A409" s="27">
        <v>399</v>
      </c>
      <c r="B409" s="27">
        <v>21</v>
      </c>
      <c r="C409" s="27">
        <v>1</v>
      </c>
      <c r="D409" s="28">
        <f t="shared" si="72"/>
        <v>21</v>
      </c>
      <c r="E409" s="28">
        <f t="shared" si="73"/>
        <v>37.632427290462147</v>
      </c>
      <c r="F409" s="28">
        <f t="shared" si="74"/>
        <v>23.186666666666667</v>
      </c>
      <c r="G409" s="28">
        <f t="shared" si="75"/>
        <v>8.7409060428711882</v>
      </c>
      <c r="H409" s="28">
        <f t="shared" si="76"/>
        <v>-0.45411246737635802</v>
      </c>
      <c r="I409" s="28">
        <f t="shared" si="77"/>
        <v>3.119674929235714</v>
      </c>
      <c r="J409" s="28">
        <f t="shared" si="78"/>
        <v>68.252743918461903</v>
      </c>
      <c r="K409" s="28">
        <f t="shared" si="79"/>
        <v>23.186666666666667</v>
      </c>
      <c r="L409" s="28">
        <f t="shared" si="80"/>
        <v>0</v>
      </c>
      <c r="M409" s="2" t="str">
        <f t="shared" si="81"/>
        <v/>
      </c>
      <c r="N409" s="2" t="str">
        <f t="shared" si="82"/>
        <v/>
      </c>
      <c r="O409" s="2">
        <f t="shared" si="83"/>
        <v>7</v>
      </c>
    </row>
    <row r="410" spans="1:15">
      <c r="A410" s="27">
        <v>400</v>
      </c>
      <c r="B410" s="27">
        <v>19</v>
      </c>
      <c r="C410" s="27">
        <v>1</v>
      </c>
      <c r="D410" s="28">
        <f t="shared" si="72"/>
        <v>19</v>
      </c>
      <c r="E410" s="28">
        <f t="shared" si="73"/>
        <v>37.632427290462147</v>
      </c>
      <c r="F410" s="28">
        <f t="shared" si="74"/>
        <v>23.186666666666667</v>
      </c>
      <c r="G410" s="28">
        <f t="shared" si="75"/>
        <v>8.7409060428711882</v>
      </c>
      <c r="H410" s="28">
        <f t="shared" si="76"/>
        <v>-0.8694592363181487</v>
      </c>
      <c r="I410" s="28">
        <f t="shared" si="77"/>
        <v>3.119674929235714</v>
      </c>
      <c r="J410" s="28">
        <f t="shared" si="78"/>
        <v>68.252743918461903</v>
      </c>
      <c r="K410" s="28">
        <f t="shared" si="79"/>
        <v>23.186666666666667</v>
      </c>
      <c r="L410" s="28">
        <f t="shared" si="80"/>
        <v>0</v>
      </c>
      <c r="M410" s="2" t="str">
        <f t="shared" si="81"/>
        <v/>
      </c>
      <c r="N410" s="2" t="str">
        <f t="shared" si="82"/>
        <v/>
      </c>
      <c r="O410" s="2">
        <f t="shared" si="83"/>
        <v>2</v>
      </c>
    </row>
    <row r="411" spans="1:15">
      <c r="A411" s="27">
        <v>401</v>
      </c>
      <c r="B411" s="27">
        <v>27</v>
      </c>
      <c r="C411" s="27">
        <v>1</v>
      </c>
      <c r="D411" s="28">
        <f t="shared" si="72"/>
        <v>27</v>
      </c>
      <c r="E411" s="28">
        <f t="shared" si="73"/>
        <v>37.632427290462147</v>
      </c>
      <c r="F411" s="28">
        <f t="shared" si="74"/>
        <v>23.186666666666667</v>
      </c>
      <c r="G411" s="28">
        <f t="shared" si="75"/>
        <v>8.7409060428711882</v>
      </c>
      <c r="H411" s="28">
        <f t="shared" si="76"/>
        <v>0.79192783944901413</v>
      </c>
      <c r="I411" s="28">
        <f t="shared" si="77"/>
        <v>3.119674929235714</v>
      </c>
      <c r="J411" s="28">
        <f t="shared" si="78"/>
        <v>68.252743918461903</v>
      </c>
      <c r="K411" s="28">
        <f t="shared" si="79"/>
        <v>23.186666666666667</v>
      </c>
      <c r="L411" s="28">
        <f t="shared" si="80"/>
        <v>0</v>
      </c>
      <c r="M411" s="2" t="str">
        <f t="shared" si="81"/>
        <v/>
      </c>
      <c r="N411" s="2" t="str">
        <f t="shared" si="82"/>
        <v/>
      </c>
      <c r="O411" s="2">
        <f t="shared" si="83"/>
        <v>8</v>
      </c>
    </row>
    <row r="412" spans="1:15">
      <c r="A412" s="27">
        <v>402</v>
      </c>
      <c r="B412" s="27">
        <v>16</v>
      </c>
      <c r="C412" s="27">
        <v>1</v>
      </c>
      <c r="D412" s="28">
        <f t="shared" si="72"/>
        <v>16</v>
      </c>
      <c r="E412" s="28">
        <f t="shared" si="73"/>
        <v>37.632427290462147</v>
      </c>
      <c r="F412" s="28">
        <f t="shared" si="74"/>
        <v>23.186666666666667</v>
      </c>
      <c r="G412" s="28">
        <f t="shared" si="75"/>
        <v>8.7409060428711882</v>
      </c>
      <c r="H412" s="28">
        <f t="shared" si="76"/>
        <v>-1.4924793897308348</v>
      </c>
      <c r="I412" s="28">
        <f t="shared" si="77"/>
        <v>3.119674929235714</v>
      </c>
      <c r="J412" s="28">
        <f t="shared" si="78"/>
        <v>68.252743918461903</v>
      </c>
      <c r="K412" s="28">
        <f t="shared" si="79"/>
        <v>23.186666666666667</v>
      </c>
      <c r="L412" s="28">
        <f t="shared" si="80"/>
        <v>0</v>
      </c>
      <c r="M412" s="2" t="str">
        <f t="shared" si="81"/>
        <v/>
      </c>
      <c r="N412" s="2" t="str">
        <f t="shared" si="82"/>
        <v/>
      </c>
      <c r="O412" s="2">
        <f t="shared" si="83"/>
        <v>11</v>
      </c>
    </row>
    <row r="413" spans="1:15">
      <c r="A413" s="27">
        <v>403</v>
      </c>
      <c r="B413" s="27">
        <v>14</v>
      </c>
      <c r="C413" s="27">
        <v>1</v>
      </c>
      <c r="D413" s="28">
        <f t="shared" si="72"/>
        <v>14</v>
      </c>
      <c r="E413" s="28">
        <f t="shared" si="73"/>
        <v>37.632427290462147</v>
      </c>
      <c r="F413" s="28">
        <f t="shared" si="74"/>
        <v>23.186666666666667</v>
      </c>
      <c r="G413" s="28">
        <f t="shared" si="75"/>
        <v>8.7409060428711882</v>
      </c>
      <c r="H413" s="28">
        <f t="shared" si="76"/>
        <v>-1.9078261586726255</v>
      </c>
      <c r="I413" s="28">
        <f t="shared" si="77"/>
        <v>3.119674929235714</v>
      </c>
      <c r="J413" s="28">
        <f t="shared" si="78"/>
        <v>68.252743918461903</v>
      </c>
      <c r="K413" s="28">
        <f t="shared" si="79"/>
        <v>23.186666666666667</v>
      </c>
      <c r="L413" s="28">
        <f t="shared" si="80"/>
        <v>0</v>
      </c>
      <c r="M413" s="2" t="str">
        <f t="shared" si="81"/>
        <v/>
      </c>
      <c r="N413" s="2" t="str">
        <f t="shared" si="82"/>
        <v/>
      </c>
      <c r="O413" s="2">
        <f t="shared" si="83"/>
        <v>2</v>
      </c>
    </row>
    <row r="414" spans="1:15">
      <c r="A414" s="27">
        <v>404</v>
      </c>
      <c r="B414" s="27">
        <v>20</v>
      </c>
      <c r="C414" s="27">
        <v>1</v>
      </c>
      <c r="D414" s="28">
        <f t="shared" si="72"/>
        <v>20</v>
      </c>
      <c r="E414" s="28">
        <f t="shared" si="73"/>
        <v>37.632427290462147</v>
      </c>
      <c r="F414" s="28">
        <f t="shared" si="74"/>
        <v>23.186666666666667</v>
      </c>
      <c r="G414" s="28">
        <f t="shared" si="75"/>
        <v>8.7409060428711882</v>
      </c>
      <c r="H414" s="28">
        <f t="shared" si="76"/>
        <v>-0.66178585184725336</v>
      </c>
      <c r="I414" s="28">
        <f t="shared" si="77"/>
        <v>3.119674929235714</v>
      </c>
      <c r="J414" s="28">
        <f t="shared" si="78"/>
        <v>68.252743918461903</v>
      </c>
      <c r="K414" s="28">
        <f t="shared" si="79"/>
        <v>23.186666666666667</v>
      </c>
      <c r="L414" s="28">
        <f t="shared" si="80"/>
        <v>0</v>
      </c>
      <c r="M414" s="2" t="str">
        <f t="shared" si="81"/>
        <v/>
      </c>
      <c r="N414" s="2" t="str">
        <f t="shared" si="82"/>
        <v/>
      </c>
      <c r="O414" s="2">
        <f t="shared" si="83"/>
        <v>6</v>
      </c>
    </row>
    <row r="415" spans="1:15">
      <c r="A415" s="27">
        <v>405</v>
      </c>
      <c r="B415" s="27">
        <v>7</v>
      </c>
      <c r="C415" s="27">
        <v>1</v>
      </c>
      <c r="D415" s="28">
        <f t="shared" si="72"/>
        <v>7</v>
      </c>
      <c r="E415" s="28">
        <f t="shared" si="73"/>
        <v>37.632427290462147</v>
      </c>
      <c r="F415" s="28">
        <f t="shared" si="74"/>
        <v>23.186666666666667</v>
      </c>
      <c r="G415" s="28">
        <f t="shared" si="75"/>
        <v>8.7409060428711882</v>
      </c>
      <c r="H415" s="28">
        <f t="shared" si="76"/>
        <v>-3.3615398499688931</v>
      </c>
      <c r="I415" s="28">
        <f t="shared" si="77"/>
        <v>3.119674929235714</v>
      </c>
      <c r="J415" s="28">
        <f t="shared" si="78"/>
        <v>68.252743918461903</v>
      </c>
      <c r="K415" s="28">
        <f t="shared" si="79"/>
        <v>23.186666666666667</v>
      </c>
      <c r="L415" s="28">
        <f t="shared" si="80"/>
        <v>0</v>
      </c>
      <c r="M415" s="2" t="str">
        <f t="shared" si="81"/>
        <v>Y</v>
      </c>
      <c r="N415" s="2" t="str">
        <f t="shared" si="82"/>
        <v/>
      </c>
      <c r="O415" s="2">
        <f t="shared" si="83"/>
        <v>13</v>
      </c>
    </row>
    <row r="416" spans="1:15">
      <c r="A416" s="27">
        <v>406</v>
      </c>
      <c r="B416" s="27">
        <v>17</v>
      </c>
      <c r="C416" s="27">
        <v>1</v>
      </c>
      <c r="D416" s="28">
        <f t="shared" si="72"/>
        <v>17</v>
      </c>
      <c r="E416" s="28">
        <f t="shared" si="73"/>
        <v>37.632427290462147</v>
      </c>
      <c r="F416" s="28">
        <f t="shared" si="74"/>
        <v>23.186666666666667</v>
      </c>
      <c r="G416" s="28">
        <f t="shared" si="75"/>
        <v>8.7409060428711882</v>
      </c>
      <c r="H416" s="28">
        <f t="shared" si="76"/>
        <v>-1.2848060052599395</v>
      </c>
      <c r="I416" s="28">
        <f t="shared" si="77"/>
        <v>3.119674929235714</v>
      </c>
      <c r="J416" s="28">
        <f t="shared" si="78"/>
        <v>68.252743918461903</v>
      </c>
      <c r="K416" s="28">
        <f t="shared" si="79"/>
        <v>23.186666666666667</v>
      </c>
      <c r="L416" s="28">
        <f t="shared" si="80"/>
        <v>0</v>
      </c>
      <c r="M416" s="2" t="str">
        <f t="shared" si="81"/>
        <v/>
      </c>
      <c r="N416" s="2" t="str">
        <f t="shared" si="82"/>
        <v/>
      </c>
      <c r="O416" s="2">
        <f t="shared" si="83"/>
        <v>10</v>
      </c>
    </row>
    <row r="417" spans="1:15">
      <c r="A417" s="27">
        <v>407</v>
      </c>
      <c r="B417" s="27">
        <v>18</v>
      </c>
      <c r="C417" s="27">
        <v>1</v>
      </c>
      <c r="D417" s="28">
        <f t="shared" si="72"/>
        <v>18</v>
      </c>
      <c r="E417" s="28">
        <f t="shared" si="73"/>
        <v>37.632427290462147</v>
      </c>
      <c r="F417" s="28">
        <f t="shared" si="74"/>
        <v>23.186666666666667</v>
      </c>
      <c r="G417" s="28">
        <f t="shared" si="75"/>
        <v>8.7409060428711882</v>
      </c>
      <c r="H417" s="28">
        <f t="shared" si="76"/>
        <v>-1.0771326207890441</v>
      </c>
      <c r="I417" s="28">
        <f t="shared" si="77"/>
        <v>3.119674929235714</v>
      </c>
      <c r="J417" s="28">
        <f t="shared" si="78"/>
        <v>68.252743918461903</v>
      </c>
      <c r="K417" s="28">
        <f t="shared" si="79"/>
        <v>23.186666666666667</v>
      </c>
      <c r="L417" s="28">
        <f t="shared" si="80"/>
        <v>0</v>
      </c>
      <c r="M417" s="2" t="str">
        <f t="shared" si="81"/>
        <v/>
      </c>
      <c r="N417" s="2" t="str">
        <f t="shared" si="82"/>
        <v/>
      </c>
      <c r="O417" s="2">
        <f t="shared" si="83"/>
        <v>1</v>
      </c>
    </row>
    <row r="418" spans="1:15">
      <c r="A418" s="27">
        <v>408</v>
      </c>
      <c r="B418" s="27">
        <v>9</v>
      </c>
      <c r="C418" s="27">
        <v>1</v>
      </c>
      <c r="D418" s="28">
        <f t="shared" si="72"/>
        <v>9</v>
      </c>
      <c r="E418" s="28">
        <f t="shared" si="73"/>
        <v>37.632427290462147</v>
      </c>
      <c r="F418" s="28">
        <f t="shared" si="74"/>
        <v>23.186666666666667</v>
      </c>
      <c r="G418" s="28">
        <f t="shared" si="75"/>
        <v>8.7409060428711882</v>
      </c>
      <c r="H418" s="28">
        <f t="shared" si="76"/>
        <v>-2.9461930810271024</v>
      </c>
      <c r="I418" s="28">
        <f t="shared" si="77"/>
        <v>3.119674929235714</v>
      </c>
      <c r="J418" s="28">
        <f t="shared" si="78"/>
        <v>68.252743918461903</v>
      </c>
      <c r="K418" s="28">
        <f t="shared" si="79"/>
        <v>23.186666666666667</v>
      </c>
      <c r="L418" s="28">
        <f t="shared" si="80"/>
        <v>0</v>
      </c>
      <c r="M418" s="2" t="str">
        <f t="shared" si="81"/>
        <v/>
      </c>
      <c r="N418" s="2" t="str">
        <f t="shared" si="82"/>
        <v/>
      </c>
      <c r="O418" s="2">
        <f t="shared" si="83"/>
        <v>9</v>
      </c>
    </row>
    <row r="419" spans="1:15">
      <c r="A419" s="27">
        <v>409</v>
      </c>
      <c r="B419" s="27">
        <v>10</v>
      </c>
      <c r="C419" s="27">
        <v>1</v>
      </c>
      <c r="D419" s="28">
        <f t="shared" si="72"/>
        <v>10</v>
      </c>
      <c r="E419" s="28">
        <f t="shared" si="73"/>
        <v>37.632427290462147</v>
      </c>
      <c r="F419" s="28">
        <f t="shared" si="74"/>
        <v>23.186666666666667</v>
      </c>
      <c r="G419" s="28">
        <f t="shared" si="75"/>
        <v>8.7409060428711882</v>
      </c>
      <c r="H419" s="28">
        <f t="shared" si="76"/>
        <v>-2.7385196965562071</v>
      </c>
      <c r="I419" s="28">
        <f t="shared" si="77"/>
        <v>3.119674929235714</v>
      </c>
      <c r="J419" s="28">
        <f t="shared" si="78"/>
        <v>68.252743918461903</v>
      </c>
      <c r="K419" s="28">
        <f t="shared" si="79"/>
        <v>23.186666666666667</v>
      </c>
      <c r="L419" s="28">
        <f t="shared" si="80"/>
        <v>0</v>
      </c>
      <c r="M419" s="2" t="str">
        <f t="shared" si="81"/>
        <v/>
      </c>
      <c r="N419" s="2" t="str">
        <f t="shared" si="82"/>
        <v/>
      </c>
      <c r="O419" s="2">
        <f t="shared" si="83"/>
        <v>1</v>
      </c>
    </row>
    <row r="420" spans="1:15">
      <c r="A420" s="27">
        <v>410</v>
      </c>
      <c r="B420" s="27">
        <v>14</v>
      </c>
      <c r="C420" s="27">
        <v>1</v>
      </c>
      <c r="D420" s="28">
        <f t="shared" si="72"/>
        <v>14</v>
      </c>
      <c r="E420" s="28">
        <f t="shared" si="73"/>
        <v>37.632427290462147</v>
      </c>
      <c r="F420" s="28">
        <f t="shared" si="74"/>
        <v>23.186666666666667</v>
      </c>
      <c r="G420" s="28">
        <f t="shared" si="75"/>
        <v>8.7409060428711882</v>
      </c>
      <c r="H420" s="28">
        <f t="shared" si="76"/>
        <v>-1.9078261586726255</v>
      </c>
      <c r="I420" s="28">
        <f t="shared" si="77"/>
        <v>3.119674929235714</v>
      </c>
      <c r="J420" s="28">
        <f t="shared" si="78"/>
        <v>68.252743918461903</v>
      </c>
      <c r="K420" s="28">
        <f t="shared" si="79"/>
        <v>23.186666666666667</v>
      </c>
      <c r="L420" s="28">
        <f t="shared" si="80"/>
        <v>0</v>
      </c>
      <c r="M420" s="2" t="str">
        <f t="shared" si="81"/>
        <v/>
      </c>
      <c r="N420" s="2" t="str">
        <f t="shared" si="82"/>
        <v/>
      </c>
      <c r="O420" s="2">
        <f t="shared" si="83"/>
        <v>4</v>
      </c>
    </row>
    <row r="421" spans="1:15">
      <c r="A421" s="27">
        <v>411</v>
      </c>
      <c r="B421" s="27">
        <v>15</v>
      </c>
      <c r="C421" s="27">
        <v>1</v>
      </c>
      <c r="D421" s="28">
        <f t="shared" si="72"/>
        <v>15</v>
      </c>
      <c r="E421" s="28">
        <f t="shared" si="73"/>
        <v>37.632427290462147</v>
      </c>
      <c r="F421" s="28">
        <f t="shared" si="74"/>
        <v>23.186666666666667</v>
      </c>
      <c r="G421" s="28">
        <f t="shared" si="75"/>
        <v>8.7409060428711882</v>
      </c>
      <c r="H421" s="28">
        <f t="shared" si="76"/>
        <v>-1.7001527742017302</v>
      </c>
      <c r="I421" s="28">
        <f t="shared" si="77"/>
        <v>3.119674929235714</v>
      </c>
      <c r="J421" s="28">
        <f t="shared" si="78"/>
        <v>68.252743918461903</v>
      </c>
      <c r="K421" s="28">
        <f t="shared" si="79"/>
        <v>23.186666666666667</v>
      </c>
      <c r="L421" s="28">
        <f t="shared" si="80"/>
        <v>0</v>
      </c>
      <c r="M421" s="2" t="str">
        <f t="shared" si="81"/>
        <v/>
      </c>
      <c r="N421" s="2" t="str">
        <f t="shared" si="82"/>
        <v/>
      </c>
      <c r="O421" s="2">
        <f t="shared" si="83"/>
        <v>1</v>
      </c>
    </row>
    <row r="422" spans="1:15">
      <c r="A422" s="27">
        <v>412</v>
      </c>
      <c r="B422" s="27">
        <v>14</v>
      </c>
      <c r="C422" s="27">
        <v>1</v>
      </c>
      <c r="D422" s="28">
        <f t="shared" si="72"/>
        <v>14</v>
      </c>
      <c r="E422" s="28">
        <f t="shared" si="73"/>
        <v>37.632427290462147</v>
      </c>
      <c r="F422" s="28">
        <f t="shared" si="74"/>
        <v>23.186666666666667</v>
      </c>
      <c r="G422" s="28">
        <f t="shared" si="75"/>
        <v>8.7409060428711882</v>
      </c>
      <c r="H422" s="28">
        <f t="shared" si="76"/>
        <v>-1.9078261586726255</v>
      </c>
      <c r="I422" s="28">
        <f t="shared" si="77"/>
        <v>3.119674929235714</v>
      </c>
      <c r="J422" s="28">
        <f t="shared" si="78"/>
        <v>68.252743918461903</v>
      </c>
      <c r="K422" s="28">
        <f t="shared" si="79"/>
        <v>23.186666666666667</v>
      </c>
      <c r="L422" s="28">
        <f t="shared" si="80"/>
        <v>0</v>
      </c>
      <c r="M422" s="2" t="str">
        <f t="shared" si="81"/>
        <v/>
      </c>
      <c r="N422" s="2" t="str">
        <f t="shared" si="82"/>
        <v/>
      </c>
      <c r="O422" s="2">
        <f t="shared" si="83"/>
        <v>1</v>
      </c>
    </row>
    <row r="423" spans="1:15">
      <c r="A423" s="27">
        <v>413</v>
      </c>
      <c r="B423" s="27">
        <v>27</v>
      </c>
      <c r="C423" s="27">
        <v>1</v>
      </c>
      <c r="D423" s="28">
        <f t="shared" si="72"/>
        <v>27</v>
      </c>
      <c r="E423" s="28">
        <f t="shared" si="73"/>
        <v>37.632427290462147</v>
      </c>
      <c r="F423" s="28">
        <f t="shared" si="74"/>
        <v>23.186666666666667</v>
      </c>
      <c r="G423" s="28">
        <f t="shared" si="75"/>
        <v>8.7409060428711882</v>
      </c>
      <c r="H423" s="28">
        <f t="shared" si="76"/>
        <v>0.79192783944901413</v>
      </c>
      <c r="I423" s="28">
        <f t="shared" si="77"/>
        <v>3.119674929235714</v>
      </c>
      <c r="J423" s="28">
        <f t="shared" si="78"/>
        <v>68.252743918461903</v>
      </c>
      <c r="K423" s="28">
        <f t="shared" si="79"/>
        <v>23.186666666666667</v>
      </c>
      <c r="L423" s="28">
        <f t="shared" si="80"/>
        <v>0</v>
      </c>
      <c r="M423" s="2" t="str">
        <f t="shared" si="81"/>
        <v/>
      </c>
      <c r="N423" s="2" t="str">
        <f t="shared" si="82"/>
        <v/>
      </c>
      <c r="O423" s="2">
        <f t="shared" si="83"/>
        <v>13</v>
      </c>
    </row>
    <row r="424" spans="1:15">
      <c r="A424" s="27">
        <v>414</v>
      </c>
      <c r="B424" s="27">
        <v>59</v>
      </c>
      <c r="C424" s="27">
        <v>1</v>
      </c>
      <c r="D424" s="28">
        <f t="shared" si="72"/>
        <v>59</v>
      </c>
      <c r="E424" s="28">
        <f t="shared" si="73"/>
        <v>37.632427290462147</v>
      </c>
      <c r="F424" s="28">
        <f t="shared" si="74"/>
        <v>23.186666666666667</v>
      </c>
      <c r="G424" s="28">
        <f t="shared" si="75"/>
        <v>8.7409060428711882</v>
      </c>
      <c r="H424" s="28">
        <f t="shared" si="76"/>
        <v>7.4374761425176654</v>
      </c>
      <c r="I424" s="28">
        <f t="shared" si="77"/>
        <v>3.119674929235714</v>
      </c>
      <c r="J424" s="28">
        <f t="shared" si="78"/>
        <v>68.252743918461903</v>
      </c>
      <c r="K424" s="28">
        <f t="shared" si="79"/>
        <v>23.186666666666667</v>
      </c>
      <c r="L424" s="28">
        <f t="shared" si="80"/>
        <v>0</v>
      </c>
      <c r="M424" s="2" t="str">
        <f t="shared" si="81"/>
        <v>Y</v>
      </c>
      <c r="N424" s="2" t="str">
        <f t="shared" si="82"/>
        <v/>
      </c>
      <c r="O424" s="2">
        <f t="shared" si="83"/>
        <v>32</v>
      </c>
    </row>
    <row r="425" spans="1:15">
      <c r="A425" s="27">
        <v>415</v>
      </c>
      <c r="B425" s="27">
        <v>18</v>
      </c>
      <c r="C425" s="27">
        <v>1</v>
      </c>
      <c r="D425" s="28">
        <f t="shared" si="72"/>
        <v>18</v>
      </c>
      <c r="E425" s="28">
        <f t="shared" si="73"/>
        <v>37.632427290462147</v>
      </c>
      <c r="F425" s="28">
        <f t="shared" si="74"/>
        <v>23.186666666666667</v>
      </c>
      <c r="G425" s="28">
        <f t="shared" si="75"/>
        <v>8.7409060428711882</v>
      </c>
      <c r="H425" s="28">
        <f t="shared" si="76"/>
        <v>-1.0771326207890441</v>
      </c>
      <c r="I425" s="28">
        <f t="shared" si="77"/>
        <v>3.119674929235714</v>
      </c>
      <c r="J425" s="28">
        <f t="shared" si="78"/>
        <v>68.252743918461903</v>
      </c>
      <c r="K425" s="28">
        <f t="shared" si="79"/>
        <v>23.186666666666667</v>
      </c>
      <c r="L425" s="28">
        <f t="shared" si="80"/>
        <v>0</v>
      </c>
      <c r="M425" s="2" t="str">
        <f t="shared" si="81"/>
        <v/>
      </c>
      <c r="N425" s="2" t="str">
        <f t="shared" si="82"/>
        <v/>
      </c>
      <c r="O425" s="2">
        <f t="shared" si="83"/>
        <v>41</v>
      </c>
    </row>
    <row r="426" spans="1:15">
      <c r="A426" s="27">
        <v>416</v>
      </c>
      <c r="B426" s="27">
        <v>24</v>
      </c>
      <c r="C426" s="27">
        <v>1</v>
      </c>
      <c r="D426" s="28">
        <f t="shared" si="72"/>
        <v>24</v>
      </c>
      <c r="E426" s="28">
        <f t="shared" si="73"/>
        <v>37.632427290462147</v>
      </c>
      <c r="F426" s="28">
        <f t="shared" si="74"/>
        <v>23.186666666666667</v>
      </c>
      <c r="G426" s="28">
        <f t="shared" si="75"/>
        <v>8.7409060428711882</v>
      </c>
      <c r="H426" s="28">
        <f t="shared" si="76"/>
        <v>0.16890768603632808</v>
      </c>
      <c r="I426" s="28">
        <f t="shared" si="77"/>
        <v>3.119674929235714</v>
      </c>
      <c r="J426" s="28">
        <f t="shared" si="78"/>
        <v>68.252743918461903</v>
      </c>
      <c r="K426" s="28">
        <f t="shared" si="79"/>
        <v>23.186666666666667</v>
      </c>
      <c r="L426" s="28">
        <f t="shared" si="80"/>
        <v>0</v>
      </c>
      <c r="M426" s="2" t="str">
        <f t="shared" si="81"/>
        <v/>
      </c>
      <c r="N426" s="2" t="str">
        <f t="shared" si="82"/>
        <v/>
      </c>
      <c r="O426" s="2">
        <f t="shared" si="83"/>
        <v>6</v>
      </c>
    </row>
    <row r="427" spans="1:15">
      <c r="A427" s="27">
        <v>417</v>
      </c>
      <c r="B427" s="27">
        <v>17</v>
      </c>
      <c r="C427" s="27">
        <v>1</v>
      </c>
      <c r="D427" s="28">
        <f t="shared" si="72"/>
        <v>17</v>
      </c>
      <c r="E427" s="28">
        <f t="shared" si="73"/>
        <v>37.632427290462147</v>
      </c>
      <c r="F427" s="28">
        <f t="shared" si="74"/>
        <v>23.186666666666667</v>
      </c>
      <c r="G427" s="28">
        <f t="shared" si="75"/>
        <v>8.7409060428711882</v>
      </c>
      <c r="H427" s="28">
        <f t="shared" si="76"/>
        <v>-1.2848060052599395</v>
      </c>
      <c r="I427" s="28">
        <f t="shared" si="77"/>
        <v>3.119674929235714</v>
      </c>
      <c r="J427" s="28">
        <f t="shared" si="78"/>
        <v>68.252743918461903</v>
      </c>
      <c r="K427" s="28">
        <f t="shared" si="79"/>
        <v>23.186666666666667</v>
      </c>
      <c r="L427" s="28">
        <f t="shared" si="80"/>
        <v>0</v>
      </c>
      <c r="M427" s="2" t="str">
        <f t="shared" si="81"/>
        <v/>
      </c>
      <c r="N427" s="2" t="str">
        <f t="shared" si="82"/>
        <v/>
      </c>
      <c r="O427" s="2">
        <f t="shared" si="83"/>
        <v>7</v>
      </c>
    </row>
    <row r="428" spans="1:15">
      <c r="A428" s="27">
        <v>418</v>
      </c>
      <c r="B428" s="27">
        <v>18</v>
      </c>
      <c r="C428" s="27">
        <v>1</v>
      </c>
      <c r="D428" s="28">
        <f t="shared" si="72"/>
        <v>18</v>
      </c>
      <c r="E428" s="28">
        <f t="shared" si="73"/>
        <v>37.632427290462147</v>
      </c>
      <c r="F428" s="28">
        <f t="shared" si="74"/>
        <v>23.186666666666667</v>
      </c>
      <c r="G428" s="28">
        <f t="shared" si="75"/>
        <v>8.7409060428711882</v>
      </c>
      <c r="H428" s="28">
        <f t="shared" si="76"/>
        <v>-1.0771326207890441</v>
      </c>
      <c r="I428" s="28">
        <f t="shared" si="77"/>
        <v>3.119674929235714</v>
      </c>
      <c r="J428" s="28">
        <f t="shared" si="78"/>
        <v>68.252743918461903</v>
      </c>
      <c r="K428" s="28">
        <f t="shared" si="79"/>
        <v>23.186666666666667</v>
      </c>
      <c r="L428" s="28">
        <f t="shared" si="80"/>
        <v>0</v>
      </c>
      <c r="M428" s="2" t="str">
        <f t="shared" si="81"/>
        <v/>
      </c>
      <c r="N428" s="2" t="str">
        <f t="shared" si="82"/>
        <v/>
      </c>
      <c r="O428" s="2">
        <f t="shared" si="83"/>
        <v>1</v>
      </c>
    </row>
    <row r="429" spans="1:15">
      <c r="A429" s="27">
        <v>419</v>
      </c>
      <c r="B429" s="27">
        <v>10</v>
      </c>
      <c r="C429" s="27">
        <v>1</v>
      </c>
      <c r="D429" s="28">
        <f t="shared" si="72"/>
        <v>10</v>
      </c>
      <c r="E429" s="28">
        <f t="shared" si="73"/>
        <v>37.632427290462147</v>
      </c>
      <c r="F429" s="28">
        <f t="shared" si="74"/>
        <v>23.186666666666667</v>
      </c>
      <c r="G429" s="28">
        <f t="shared" si="75"/>
        <v>8.7409060428711882</v>
      </c>
      <c r="H429" s="28">
        <f t="shared" si="76"/>
        <v>-2.7385196965562071</v>
      </c>
      <c r="I429" s="28">
        <f t="shared" si="77"/>
        <v>3.119674929235714</v>
      </c>
      <c r="J429" s="28">
        <f t="shared" si="78"/>
        <v>68.252743918461903</v>
      </c>
      <c r="K429" s="28">
        <f t="shared" si="79"/>
        <v>23.186666666666667</v>
      </c>
      <c r="L429" s="28">
        <f t="shared" si="80"/>
        <v>0</v>
      </c>
      <c r="M429" s="2" t="str">
        <f t="shared" si="81"/>
        <v/>
      </c>
      <c r="N429" s="2" t="str">
        <f t="shared" si="82"/>
        <v/>
      </c>
      <c r="O429" s="2">
        <f t="shared" si="83"/>
        <v>8</v>
      </c>
    </row>
    <row r="430" spans="1:15">
      <c r="A430" s="27">
        <v>420</v>
      </c>
      <c r="B430" s="27">
        <v>10</v>
      </c>
      <c r="C430" s="27">
        <v>1</v>
      </c>
      <c r="D430" s="28">
        <f t="shared" si="72"/>
        <v>10</v>
      </c>
      <c r="E430" s="28">
        <f t="shared" si="73"/>
        <v>37.632427290462147</v>
      </c>
      <c r="F430" s="28">
        <f t="shared" si="74"/>
        <v>23.186666666666667</v>
      </c>
      <c r="G430" s="28">
        <f t="shared" si="75"/>
        <v>8.7409060428711882</v>
      </c>
      <c r="H430" s="28">
        <f t="shared" si="76"/>
        <v>-2.7385196965562071</v>
      </c>
      <c r="I430" s="28">
        <f t="shared" si="77"/>
        <v>3.119674929235714</v>
      </c>
      <c r="J430" s="28">
        <f t="shared" si="78"/>
        <v>68.252743918461903</v>
      </c>
      <c r="K430" s="28">
        <f t="shared" si="79"/>
        <v>23.186666666666667</v>
      </c>
      <c r="L430" s="28">
        <f t="shared" si="80"/>
        <v>0</v>
      </c>
      <c r="M430" s="2" t="str">
        <f t="shared" si="81"/>
        <v/>
      </c>
      <c r="N430" s="2" t="str">
        <f t="shared" si="82"/>
        <v/>
      </c>
      <c r="O430" s="2">
        <f t="shared" si="83"/>
        <v>0</v>
      </c>
    </row>
    <row r="431" spans="1:15">
      <c r="A431" s="27">
        <v>421</v>
      </c>
      <c r="B431" s="27">
        <v>14</v>
      </c>
      <c r="C431" s="27">
        <v>1</v>
      </c>
      <c r="D431" s="28">
        <f t="shared" si="72"/>
        <v>14</v>
      </c>
      <c r="E431" s="28">
        <f t="shared" si="73"/>
        <v>37.632427290462147</v>
      </c>
      <c r="F431" s="28">
        <f t="shared" si="74"/>
        <v>23.186666666666667</v>
      </c>
      <c r="G431" s="28">
        <f t="shared" si="75"/>
        <v>8.7409060428711882</v>
      </c>
      <c r="H431" s="28">
        <f t="shared" si="76"/>
        <v>-1.9078261586726255</v>
      </c>
      <c r="I431" s="28">
        <f t="shared" si="77"/>
        <v>3.119674929235714</v>
      </c>
      <c r="J431" s="28">
        <f t="shared" si="78"/>
        <v>68.252743918461903</v>
      </c>
      <c r="K431" s="28">
        <f t="shared" si="79"/>
        <v>23.186666666666667</v>
      </c>
      <c r="L431" s="28">
        <f t="shared" si="80"/>
        <v>0</v>
      </c>
      <c r="M431" s="2" t="str">
        <f t="shared" si="81"/>
        <v/>
      </c>
      <c r="N431" s="2" t="str">
        <f t="shared" si="82"/>
        <v/>
      </c>
      <c r="O431" s="2">
        <f t="shared" si="83"/>
        <v>4</v>
      </c>
    </row>
    <row r="432" spans="1:15">
      <c r="A432" s="27">
        <v>422</v>
      </c>
      <c r="B432" s="27">
        <v>15</v>
      </c>
      <c r="C432" s="27">
        <v>1</v>
      </c>
      <c r="D432" s="28">
        <f t="shared" si="72"/>
        <v>15</v>
      </c>
      <c r="E432" s="28">
        <f t="shared" si="73"/>
        <v>37.632427290462147</v>
      </c>
      <c r="F432" s="28">
        <f t="shared" si="74"/>
        <v>23.186666666666667</v>
      </c>
      <c r="G432" s="28">
        <f t="shared" si="75"/>
        <v>8.7409060428711882</v>
      </c>
      <c r="H432" s="28">
        <f t="shared" si="76"/>
        <v>-1.7001527742017302</v>
      </c>
      <c r="I432" s="28">
        <f t="shared" si="77"/>
        <v>3.119674929235714</v>
      </c>
      <c r="J432" s="28">
        <f t="shared" si="78"/>
        <v>68.252743918461903</v>
      </c>
      <c r="K432" s="28">
        <f t="shared" si="79"/>
        <v>23.186666666666667</v>
      </c>
      <c r="L432" s="28">
        <f t="shared" si="80"/>
        <v>0</v>
      </c>
      <c r="M432" s="2" t="str">
        <f t="shared" si="81"/>
        <v/>
      </c>
      <c r="N432" s="2" t="str">
        <f t="shared" si="82"/>
        <v/>
      </c>
      <c r="O432" s="2">
        <f t="shared" si="83"/>
        <v>1</v>
      </c>
    </row>
    <row r="433" spans="1:15">
      <c r="A433" s="27">
        <v>423</v>
      </c>
      <c r="B433" s="27">
        <v>14</v>
      </c>
      <c r="C433" s="27">
        <v>1</v>
      </c>
      <c r="D433" s="28">
        <f t="shared" si="72"/>
        <v>14</v>
      </c>
      <c r="E433" s="28">
        <f t="shared" si="73"/>
        <v>37.632427290462147</v>
      </c>
      <c r="F433" s="28">
        <f t="shared" si="74"/>
        <v>23.186666666666667</v>
      </c>
      <c r="G433" s="28">
        <f t="shared" si="75"/>
        <v>8.7409060428711882</v>
      </c>
      <c r="H433" s="28">
        <f t="shared" si="76"/>
        <v>-1.9078261586726255</v>
      </c>
      <c r="I433" s="28">
        <f t="shared" si="77"/>
        <v>3.119674929235714</v>
      </c>
      <c r="J433" s="28">
        <f t="shared" si="78"/>
        <v>68.252743918461903</v>
      </c>
      <c r="K433" s="28">
        <f t="shared" si="79"/>
        <v>23.186666666666667</v>
      </c>
      <c r="L433" s="28">
        <f t="shared" si="80"/>
        <v>0</v>
      </c>
      <c r="M433" s="2" t="str">
        <f t="shared" si="81"/>
        <v/>
      </c>
      <c r="N433" s="2" t="str">
        <f t="shared" si="82"/>
        <v/>
      </c>
      <c r="O433" s="2">
        <f t="shared" si="83"/>
        <v>1</v>
      </c>
    </row>
    <row r="434" spans="1:15">
      <c r="A434" s="27">
        <v>424</v>
      </c>
      <c r="B434" s="27">
        <v>21</v>
      </c>
      <c r="C434" s="27">
        <v>1</v>
      </c>
      <c r="D434" s="28">
        <f t="shared" si="72"/>
        <v>21</v>
      </c>
      <c r="E434" s="28">
        <f t="shared" si="73"/>
        <v>37.632427290462147</v>
      </c>
      <c r="F434" s="28">
        <f t="shared" si="74"/>
        <v>23.186666666666667</v>
      </c>
      <c r="G434" s="28">
        <f t="shared" si="75"/>
        <v>8.7409060428711882</v>
      </c>
      <c r="H434" s="28">
        <f t="shared" si="76"/>
        <v>-0.45411246737635802</v>
      </c>
      <c r="I434" s="28">
        <f t="shared" si="77"/>
        <v>3.119674929235714</v>
      </c>
      <c r="J434" s="28">
        <f t="shared" si="78"/>
        <v>68.252743918461903</v>
      </c>
      <c r="K434" s="28">
        <f t="shared" si="79"/>
        <v>23.186666666666667</v>
      </c>
      <c r="L434" s="28">
        <f t="shared" si="80"/>
        <v>0</v>
      </c>
      <c r="M434" s="2" t="str">
        <f t="shared" si="81"/>
        <v/>
      </c>
      <c r="N434" s="2" t="str">
        <f t="shared" si="82"/>
        <v/>
      </c>
      <c r="O434" s="2">
        <f t="shared" si="83"/>
        <v>7</v>
      </c>
    </row>
    <row r="435" spans="1:15">
      <c r="A435" s="27">
        <v>425</v>
      </c>
      <c r="B435" s="27">
        <v>25</v>
      </c>
      <c r="C435" s="27">
        <v>1</v>
      </c>
      <c r="D435" s="28">
        <f t="shared" si="72"/>
        <v>25</v>
      </c>
      <c r="E435" s="28">
        <f t="shared" si="73"/>
        <v>37.632427290462147</v>
      </c>
      <c r="F435" s="28">
        <f t="shared" si="74"/>
        <v>23.186666666666667</v>
      </c>
      <c r="G435" s="28">
        <f t="shared" si="75"/>
        <v>8.7409060428711882</v>
      </c>
      <c r="H435" s="28">
        <f t="shared" si="76"/>
        <v>0.37658107050722345</v>
      </c>
      <c r="I435" s="28">
        <f t="shared" si="77"/>
        <v>3.119674929235714</v>
      </c>
      <c r="J435" s="28">
        <f t="shared" si="78"/>
        <v>68.252743918461903</v>
      </c>
      <c r="K435" s="28">
        <f t="shared" si="79"/>
        <v>23.186666666666667</v>
      </c>
      <c r="L435" s="28">
        <f t="shared" si="80"/>
        <v>0</v>
      </c>
      <c r="M435" s="2" t="str">
        <f t="shared" si="81"/>
        <v/>
      </c>
      <c r="N435" s="2" t="str">
        <f t="shared" si="82"/>
        <v/>
      </c>
      <c r="O435" s="2">
        <f t="shared" si="83"/>
        <v>4</v>
      </c>
    </row>
    <row r="436" spans="1:15">
      <c r="A436" s="27">
        <v>426</v>
      </c>
      <c r="B436" s="27">
        <v>28</v>
      </c>
      <c r="C436" s="27">
        <v>1</v>
      </c>
      <c r="D436" s="28">
        <f t="shared" si="72"/>
        <v>28</v>
      </c>
      <c r="E436" s="28">
        <f t="shared" si="73"/>
        <v>37.632427290462147</v>
      </c>
      <c r="F436" s="28">
        <f t="shared" si="74"/>
        <v>23.186666666666667</v>
      </c>
      <c r="G436" s="28">
        <f t="shared" si="75"/>
        <v>8.7409060428711882</v>
      </c>
      <c r="H436" s="28">
        <f t="shared" si="76"/>
        <v>0.99960122391990958</v>
      </c>
      <c r="I436" s="28">
        <f t="shared" si="77"/>
        <v>3.119674929235714</v>
      </c>
      <c r="J436" s="28">
        <f t="shared" si="78"/>
        <v>68.252743918461903</v>
      </c>
      <c r="K436" s="28">
        <f t="shared" si="79"/>
        <v>23.186666666666667</v>
      </c>
      <c r="L436" s="28">
        <f t="shared" si="80"/>
        <v>0</v>
      </c>
      <c r="M436" s="2" t="str">
        <f t="shared" si="81"/>
        <v/>
      </c>
      <c r="N436" s="2" t="str">
        <f t="shared" si="82"/>
        <v/>
      </c>
      <c r="O436" s="2">
        <f t="shared" si="83"/>
        <v>3</v>
      </c>
    </row>
    <row r="437" spans="1:15">
      <c r="A437" s="27">
        <v>427</v>
      </c>
      <c r="B437" s="27">
        <v>26</v>
      </c>
      <c r="C437" s="27">
        <v>1</v>
      </c>
      <c r="D437" s="28">
        <f t="shared" si="72"/>
        <v>26</v>
      </c>
      <c r="E437" s="28">
        <f t="shared" si="73"/>
        <v>37.632427290462147</v>
      </c>
      <c r="F437" s="28">
        <f t="shared" si="74"/>
        <v>23.186666666666667</v>
      </c>
      <c r="G437" s="28">
        <f t="shared" si="75"/>
        <v>8.7409060428711882</v>
      </c>
      <c r="H437" s="28">
        <f t="shared" si="76"/>
        <v>0.58425445497811879</v>
      </c>
      <c r="I437" s="28">
        <f t="shared" si="77"/>
        <v>3.119674929235714</v>
      </c>
      <c r="J437" s="28">
        <f t="shared" si="78"/>
        <v>68.252743918461903</v>
      </c>
      <c r="K437" s="28">
        <f t="shared" si="79"/>
        <v>23.186666666666667</v>
      </c>
      <c r="L437" s="28">
        <f t="shared" si="80"/>
        <v>0</v>
      </c>
      <c r="M437" s="2" t="str">
        <f t="shared" si="81"/>
        <v/>
      </c>
      <c r="N437" s="2" t="str">
        <f t="shared" si="82"/>
        <v/>
      </c>
      <c r="O437" s="2">
        <f t="shared" si="83"/>
        <v>2</v>
      </c>
    </row>
    <row r="438" spans="1:15">
      <c r="A438" s="27">
        <v>428</v>
      </c>
      <c r="B438" s="27">
        <v>12</v>
      </c>
      <c r="C438" s="27">
        <v>1</v>
      </c>
      <c r="D438" s="28">
        <f t="shared" si="72"/>
        <v>12</v>
      </c>
      <c r="E438" s="28">
        <f t="shared" si="73"/>
        <v>37.632427290462147</v>
      </c>
      <c r="F438" s="28">
        <f t="shared" si="74"/>
        <v>23.186666666666667</v>
      </c>
      <c r="G438" s="28">
        <f t="shared" si="75"/>
        <v>8.7409060428711882</v>
      </c>
      <c r="H438" s="28">
        <f t="shared" si="76"/>
        <v>-2.3231729276144164</v>
      </c>
      <c r="I438" s="28">
        <f t="shared" si="77"/>
        <v>3.119674929235714</v>
      </c>
      <c r="J438" s="28">
        <f t="shared" si="78"/>
        <v>68.252743918461903</v>
      </c>
      <c r="K438" s="28">
        <f t="shared" si="79"/>
        <v>23.186666666666667</v>
      </c>
      <c r="L438" s="28">
        <f t="shared" si="80"/>
        <v>0</v>
      </c>
      <c r="M438" s="2" t="str">
        <f t="shared" si="81"/>
        <v/>
      </c>
      <c r="N438" s="2" t="str">
        <f t="shared" si="82"/>
        <v/>
      </c>
      <c r="O438" s="2">
        <f t="shared" si="83"/>
        <v>14</v>
      </c>
    </row>
    <row r="439" spans="1:15">
      <c r="A439" s="27">
        <v>429</v>
      </c>
      <c r="B439" s="27">
        <v>11</v>
      </c>
      <c r="C439" s="27">
        <v>1</v>
      </c>
      <c r="D439" s="28">
        <f t="shared" si="72"/>
        <v>11</v>
      </c>
      <c r="E439" s="28">
        <f t="shared" si="73"/>
        <v>37.632427290462147</v>
      </c>
      <c r="F439" s="28">
        <f t="shared" si="74"/>
        <v>23.186666666666667</v>
      </c>
      <c r="G439" s="28">
        <f t="shared" si="75"/>
        <v>8.7409060428711882</v>
      </c>
      <c r="H439" s="28">
        <f t="shared" si="76"/>
        <v>-2.5308463120853117</v>
      </c>
      <c r="I439" s="28">
        <f t="shared" si="77"/>
        <v>3.119674929235714</v>
      </c>
      <c r="J439" s="28">
        <f t="shared" si="78"/>
        <v>68.252743918461903</v>
      </c>
      <c r="K439" s="28">
        <f t="shared" si="79"/>
        <v>23.186666666666667</v>
      </c>
      <c r="L439" s="28">
        <f t="shared" si="80"/>
        <v>0</v>
      </c>
      <c r="M439" s="2" t="str">
        <f t="shared" si="81"/>
        <v/>
      </c>
      <c r="N439" s="2" t="str">
        <f t="shared" si="82"/>
        <v/>
      </c>
      <c r="O439" s="2">
        <f t="shared" si="83"/>
        <v>1</v>
      </c>
    </row>
    <row r="440" spans="1:15">
      <c r="A440" s="27">
        <v>430</v>
      </c>
      <c r="B440" s="27">
        <v>25</v>
      </c>
      <c r="C440" s="27">
        <v>1</v>
      </c>
      <c r="D440" s="28">
        <f t="shared" si="72"/>
        <v>25</v>
      </c>
      <c r="E440" s="28">
        <f t="shared" si="73"/>
        <v>37.632427290462147</v>
      </c>
      <c r="F440" s="28">
        <f t="shared" si="74"/>
        <v>23.186666666666667</v>
      </c>
      <c r="G440" s="28">
        <f t="shared" si="75"/>
        <v>8.7409060428711882</v>
      </c>
      <c r="H440" s="28">
        <f t="shared" si="76"/>
        <v>0.37658107050722345</v>
      </c>
      <c r="I440" s="28">
        <f t="shared" si="77"/>
        <v>3.119674929235714</v>
      </c>
      <c r="J440" s="28">
        <f t="shared" si="78"/>
        <v>68.252743918461903</v>
      </c>
      <c r="K440" s="28">
        <f t="shared" si="79"/>
        <v>23.186666666666667</v>
      </c>
      <c r="L440" s="28">
        <f t="shared" si="80"/>
        <v>0</v>
      </c>
      <c r="M440" s="2" t="str">
        <f t="shared" si="81"/>
        <v/>
      </c>
      <c r="N440" s="2" t="str">
        <f t="shared" si="82"/>
        <v/>
      </c>
      <c r="O440" s="2">
        <f t="shared" si="83"/>
        <v>14</v>
      </c>
    </row>
    <row r="441" spans="1:15">
      <c r="A441" s="27">
        <v>431</v>
      </c>
      <c r="B441" s="27">
        <v>8</v>
      </c>
      <c r="C441" s="27">
        <v>1</v>
      </c>
      <c r="D441" s="28">
        <f t="shared" si="72"/>
        <v>8</v>
      </c>
      <c r="E441" s="28">
        <f t="shared" si="73"/>
        <v>37.632427290462147</v>
      </c>
      <c r="F441" s="28">
        <f t="shared" si="74"/>
        <v>23.186666666666667</v>
      </c>
      <c r="G441" s="28">
        <f t="shared" si="75"/>
        <v>8.7409060428711882</v>
      </c>
      <c r="H441" s="28">
        <f t="shared" si="76"/>
        <v>-3.1538664654979978</v>
      </c>
      <c r="I441" s="28">
        <f t="shared" si="77"/>
        <v>3.119674929235714</v>
      </c>
      <c r="J441" s="28">
        <f t="shared" si="78"/>
        <v>68.252743918461903</v>
      </c>
      <c r="K441" s="28">
        <f t="shared" si="79"/>
        <v>23.186666666666667</v>
      </c>
      <c r="L441" s="28">
        <f t="shared" si="80"/>
        <v>0</v>
      </c>
      <c r="M441" s="2" t="str">
        <f t="shared" si="81"/>
        <v>Y</v>
      </c>
      <c r="N441" s="2" t="str">
        <f t="shared" si="82"/>
        <v/>
      </c>
      <c r="O441" s="2">
        <f t="shared" si="83"/>
        <v>17</v>
      </c>
    </row>
    <row r="442" spans="1:15">
      <c r="A442" s="27">
        <v>432</v>
      </c>
      <c r="B442" s="27">
        <v>11</v>
      </c>
      <c r="C442" s="27">
        <v>1</v>
      </c>
      <c r="D442" s="28">
        <f t="shared" si="72"/>
        <v>11</v>
      </c>
      <c r="E442" s="28">
        <f t="shared" si="73"/>
        <v>37.632427290462147</v>
      </c>
      <c r="F442" s="28">
        <f t="shared" si="74"/>
        <v>23.186666666666667</v>
      </c>
      <c r="G442" s="28">
        <f t="shared" si="75"/>
        <v>8.7409060428711882</v>
      </c>
      <c r="H442" s="28">
        <f t="shared" si="76"/>
        <v>-2.5308463120853117</v>
      </c>
      <c r="I442" s="28">
        <f t="shared" si="77"/>
        <v>3.119674929235714</v>
      </c>
      <c r="J442" s="28">
        <f t="shared" si="78"/>
        <v>68.252743918461903</v>
      </c>
      <c r="K442" s="28">
        <f t="shared" si="79"/>
        <v>23.186666666666667</v>
      </c>
      <c r="L442" s="28">
        <f t="shared" si="80"/>
        <v>0</v>
      </c>
      <c r="M442" s="2" t="str">
        <f t="shared" si="81"/>
        <v/>
      </c>
      <c r="N442" s="2" t="str">
        <f t="shared" si="82"/>
        <v/>
      </c>
      <c r="O442" s="2">
        <f t="shared" si="83"/>
        <v>3</v>
      </c>
    </row>
    <row r="443" spans="1:15">
      <c r="A443" s="27">
        <v>433</v>
      </c>
      <c r="B443" s="27">
        <v>14</v>
      </c>
      <c r="C443" s="27">
        <v>1</v>
      </c>
      <c r="D443" s="28">
        <f t="shared" si="72"/>
        <v>14</v>
      </c>
      <c r="E443" s="28">
        <f t="shared" si="73"/>
        <v>37.632427290462147</v>
      </c>
      <c r="F443" s="28">
        <f t="shared" si="74"/>
        <v>23.186666666666667</v>
      </c>
      <c r="G443" s="28">
        <f t="shared" si="75"/>
        <v>8.7409060428711882</v>
      </c>
      <c r="H443" s="28">
        <f t="shared" si="76"/>
        <v>-1.9078261586726255</v>
      </c>
      <c r="I443" s="28">
        <f t="shared" si="77"/>
        <v>3.119674929235714</v>
      </c>
      <c r="J443" s="28">
        <f t="shared" si="78"/>
        <v>68.252743918461903</v>
      </c>
      <c r="K443" s="28">
        <f t="shared" si="79"/>
        <v>23.186666666666667</v>
      </c>
      <c r="L443" s="28">
        <f t="shared" si="80"/>
        <v>0</v>
      </c>
      <c r="M443" s="2" t="str">
        <f t="shared" si="81"/>
        <v/>
      </c>
      <c r="N443" s="2" t="str">
        <f t="shared" si="82"/>
        <v/>
      </c>
      <c r="O443" s="2">
        <f t="shared" si="83"/>
        <v>3</v>
      </c>
    </row>
    <row r="444" spans="1:15">
      <c r="A444" s="27">
        <v>434</v>
      </c>
      <c r="B444" s="27">
        <v>14</v>
      </c>
      <c r="C444" s="27">
        <v>1</v>
      </c>
      <c r="D444" s="28">
        <f t="shared" si="72"/>
        <v>14</v>
      </c>
      <c r="E444" s="28">
        <f t="shared" si="73"/>
        <v>37.632427290462147</v>
      </c>
      <c r="F444" s="28">
        <f t="shared" si="74"/>
        <v>23.186666666666667</v>
      </c>
      <c r="G444" s="28">
        <f t="shared" si="75"/>
        <v>8.7409060428711882</v>
      </c>
      <c r="H444" s="28">
        <f t="shared" si="76"/>
        <v>-1.9078261586726255</v>
      </c>
      <c r="I444" s="28">
        <f t="shared" si="77"/>
        <v>3.119674929235714</v>
      </c>
      <c r="J444" s="28">
        <f t="shared" si="78"/>
        <v>68.252743918461903</v>
      </c>
      <c r="K444" s="28">
        <f t="shared" si="79"/>
        <v>23.186666666666667</v>
      </c>
      <c r="L444" s="28">
        <f t="shared" si="80"/>
        <v>0</v>
      </c>
      <c r="M444" s="2" t="str">
        <f t="shared" si="81"/>
        <v/>
      </c>
      <c r="N444" s="2" t="str">
        <f t="shared" si="82"/>
        <v/>
      </c>
      <c r="O444" s="2">
        <f t="shared" si="83"/>
        <v>0</v>
      </c>
    </row>
    <row r="445" spans="1:15">
      <c r="A445" s="27">
        <v>435</v>
      </c>
      <c r="B445" s="27">
        <v>13</v>
      </c>
      <c r="C445" s="27">
        <v>1</v>
      </c>
      <c r="D445" s="28">
        <f t="shared" si="72"/>
        <v>13</v>
      </c>
      <c r="E445" s="28">
        <f t="shared" si="73"/>
        <v>37.632427290462147</v>
      </c>
      <c r="F445" s="28">
        <f t="shared" si="74"/>
        <v>23.186666666666667</v>
      </c>
      <c r="G445" s="28">
        <f t="shared" si="75"/>
        <v>8.7409060428711882</v>
      </c>
      <c r="H445" s="28">
        <f t="shared" si="76"/>
        <v>-2.1154995431435211</v>
      </c>
      <c r="I445" s="28">
        <f t="shared" si="77"/>
        <v>3.119674929235714</v>
      </c>
      <c r="J445" s="28">
        <f t="shared" si="78"/>
        <v>68.252743918461903</v>
      </c>
      <c r="K445" s="28">
        <f t="shared" si="79"/>
        <v>23.186666666666667</v>
      </c>
      <c r="L445" s="28">
        <f t="shared" si="80"/>
        <v>0</v>
      </c>
      <c r="M445" s="2" t="str">
        <f t="shared" si="81"/>
        <v/>
      </c>
      <c r="N445" s="2" t="str">
        <f t="shared" si="82"/>
        <v/>
      </c>
      <c r="O445" s="2">
        <f t="shared" si="83"/>
        <v>1</v>
      </c>
    </row>
    <row r="446" spans="1:15">
      <c r="A446" s="27">
        <v>436</v>
      </c>
      <c r="B446" s="27">
        <v>32</v>
      </c>
      <c r="C446" s="27">
        <v>1</v>
      </c>
      <c r="D446" s="28">
        <f t="shared" si="72"/>
        <v>32</v>
      </c>
      <c r="E446" s="28">
        <f t="shared" si="73"/>
        <v>37.632427290462147</v>
      </c>
      <c r="F446" s="28">
        <f t="shared" si="74"/>
        <v>23.186666666666667</v>
      </c>
      <c r="G446" s="28">
        <f t="shared" si="75"/>
        <v>8.7409060428711882</v>
      </c>
      <c r="H446" s="28">
        <f t="shared" si="76"/>
        <v>1.830294761803491</v>
      </c>
      <c r="I446" s="28">
        <f t="shared" si="77"/>
        <v>3.119674929235714</v>
      </c>
      <c r="J446" s="28">
        <f t="shared" si="78"/>
        <v>68.252743918461903</v>
      </c>
      <c r="K446" s="28">
        <f t="shared" si="79"/>
        <v>23.186666666666667</v>
      </c>
      <c r="L446" s="28">
        <f t="shared" si="80"/>
        <v>0</v>
      </c>
      <c r="M446" s="2" t="str">
        <f t="shared" si="81"/>
        <v/>
      </c>
      <c r="N446" s="2" t="str">
        <f t="shared" si="82"/>
        <v/>
      </c>
      <c r="O446" s="2">
        <f t="shared" si="83"/>
        <v>19</v>
      </c>
    </row>
    <row r="447" spans="1:15">
      <c r="A447" s="27">
        <v>437</v>
      </c>
      <c r="B447" s="27">
        <v>23</v>
      </c>
      <c r="C447" s="27">
        <v>1</v>
      </c>
      <c r="D447" s="28">
        <f t="shared" si="72"/>
        <v>23</v>
      </c>
      <c r="E447" s="28">
        <f t="shared" si="73"/>
        <v>37.632427290462147</v>
      </c>
      <c r="F447" s="28">
        <f t="shared" si="74"/>
        <v>23.186666666666667</v>
      </c>
      <c r="G447" s="28">
        <f t="shared" si="75"/>
        <v>8.7409060428711882</v>
      </c>
      <c r="H447" s="28">
        <f t="shared" si="76"/>
        <v>-3.8765698434567293E-2</v>
      </c>
      <c r="I447" s="28">
        <f t="shared" si="77"/>
        <v>3.119674929235714</v>
      </c>
      <c r="J447" s="28">
        <f t="shared" si="78"/>
        <v>68.252743918461903</v>
      </c>
      <c r="K447" s="28">
        <f t="shared" si="79"/>
        <v>23.186666666666667</v>
      </c>
      <c r="L447" s="28">
        <f t="shared" si="80"/>
        <v>0</v>
      </c>
      <c r="M447" s="2" t="str">
        <f t="shared" si="81"/>
        <v/>
      </c>
      <c r="N447" s="2" t="str">
        <f t="shared" si="82"/>
        <v/>
      </c>
      <c r="O447" s="2">
        <f t="shared" si="83"/>
        <v>9</v>
      </c>
    </row>
    <row r="448" spans="1:15">
      <c r="A448" s="27">
        <v>438</v>
      </c>
      <c r="B448" s="27">
        <v>35</v>
      </c>
      <c r="C448" s="27">
        <v>1</v>
      </c>
      <c r="D448" s="28">
        <f t="shared" si="72"/>
        <v>35</v>
      </c>
      <c r="E448" s="28">
        <f t="shared" si="73"/>
        <v>37.632427290462147</v>
      </c>
      <c r="F448" s="28">
        <f t="shared" si="74"/>
        <v>23.186666666666667</v>
      </c>
      <c r="G448" s="28">
        <f t="shared" si="75"/>
        <v>8.7409060428711882</v>
      </c>
      <c r="H448" s="28">
        <f t="shared" si="76"/>
        <v>2.4533149152161773</v>
      </c>
      <c r="I448" s="28">
        <f t="shared" si="77"/>
        <v>3.119674929235714</v>
      </c>
      <c r="J448" s="28">
        <f t="shared" si="78"/>
        <v>68.252743918461903</v>
      </c>
      <c r="K448" s="28">
        <f t="shared" si="79"/>
        <v>23.186666666666667</v>
      </c>
      <c r="L448" s="28">
        <f t="shared" si="80"/>
        <v>0</v>
      </c>
      <c r="M448" s="2" t="str">
        <f t="shared" si="81"/>
        <v/>
      </c>
      <c r="N448" s="2" t="str">
        <f t="shared" si="82"/>
        <v/>
      </c>
      <c r="O448" s="2">
        <f t="shared" si="83"/>
        <v>12</v>
      </c>
    </row>
    <row r="449" spans="1:15">
      <c r="A449" s="27">
        <v>439</v>
      </c>
      <c r="B449" s="27">
        <v>30</v>
      </c>
      <c r="C449" s="27">
        <v>1</v>
      </c>
      <c r="D449" s="28">
        <f t="shared" si="72"/>
        <v>30</v>
      </c>
      <c r="E449" s="28">
        <f t="shared" si="73"/>
        <v>37.632427290462147</v>
      </c>
      <c r="F449" s="28">
        <f t="shared" si="74"/>
        <v>23.186666666666667</v>
      </c>
      <c r="G449" s="28">
        <f t="shared" si="75"/>
        <v>8.7409060428711882</v>
      </c>
      <c r="H449" s="28">
        <f t="shared" si="76"/>
        <v>1.4149479928617004</v>
      </c>
      <c r="I449" s="28">
        <f t="shared" si="77"/>
        <v>3.119674929235714</v>
      </c>
      <c r="J449" s="28">
        <f t="shared" si="78"/>
        <v>68.252743918461903</v>
      </c>
      <c r="K449" s="28">
        <f t="shared" si="79"/>
        <v>23.186666666666667</v>
      </c>
      <c r="L449" s="28">
        <f t="shared" si="80"/>
        <v>0</v>
      </c>
      <c r="M449" s="2" t="str">
        <f t="shared" si="81"/>
        <v/>
      </c>
      <c r="N449" s="2" t="str">
        <f t="shared" si="82"/>
        <v/>
      </c>
      <c r="O449" s="2">
        <f t="shared" si="83"/>
        <v>5</v>
      </c>
    </row>
    <row r="450" spans="1:15">
      <c r="A450" s="27">
        <v>440</v>
      </c>
      <c r="B450" s="27">
        <v>36</v>
      </c>
      <c r="C450" s="27">
        <v>1</v>
      </c>
      <c r="D450" s="28">
        <f t="shared" si="72"/>
        <v>36</v>
      </c>
      <c r="E450" s="28">
        <f t="shared" si="73"/>
        <v>37.632427290462147</v>
      </c>
      <c r="F450" s="28">
        <f t="shared" si="74"/>
        <v>23.186666666666667</v>
      </c>
      <c r="G450" s="28">
        <f t="shared" si="75"/>
        <v>8.7409060428711882</v>
      </c>
      <c r="H450" s="28">
        <f t="shared" si="76"/>
        <v>2.6609882996870726</v>
      </c>
      <c r="I450" s="28">
        <f t="shared" si="77"/>
        <v>3.119674929235714</v>
      </c>
      <c r="J450" s="28">
        <f t="shared" si="78"/>
        <v>68.252743918461903</v>
      </c>
      <c r="K450" s="28">
        <f t="shared" si="79"/>
        <v>23.186666666666667</v>
      </c>
      <c r="L450" s="28">
        <f t="shared" si="80"/>
        <v>0</v>
      </c>
      <c r="M450" s="2" t="str">
        <f t="shared" si="81"/>
        <v/>
      </c>
      <c r="N450" s="2" t="str">
        <f t="shared" si="82"/>
        <v/>
      </c>
      <c r="O450" s="2">
        <f t="shared" si="83"/>
        <v>6</v>
      </c>
    </row>
    <row r="451" spans="1:15">
      <c r="A451" s="27">
        <v>441</v>
      </c>
      <c r="B451" s="27">
        <v>41</v>
      </c>
      <c r="C451" s="27">
        <v>1</v>
      </c>
      <c r="D451" s="28">
        <f t="shared" si="72"/>
        <v>41</v>
      </c>
      <c r="E451" s="28">
        <f t="shared" si="73"/>
        <v>37.632427290462147</v>
      </c>
      <c r="F451" s="28">
        <f t="shared" si="74"/>
        <v>23.186666666666667</v>
      </c>
      <c r="G451" s="28">
        <f t="shared" si="75"/>
        <v>8.7409060428711882</v>
      </c>
      <c r="H451" s="28">
        <f t="shared" si="76"/>
        <v>3.6993552220415493</v>
      </c>
      <c r="I451" s="28">
        <f t="shared" si="77"/>
        <v>3.119674929235714</v>
      </c>
      <c r="J451" s="28">
        <f t="shared" si="78"/>
        <v>68.252743918461903</v>
      </c>
      <c r="K451" s="28">
        <f t="shared" si="79"/>
        <v>23.186666666666667</v>
      </c>
      <c r="L451" s="28">
        <f t="shared" si="80"/>
        <v>0</v>
      </c>
      <c r="M451" s="2" t="str">
        <f t="shared" si="81"/>
        <v>Y</v>
      </c>
      <c r="N451" s="2" t="str">
        <f t="shared" si="82"/>
        <v/>
      </c>
      <c r="O451" s="2">
        <f t="shared" si="83"/>
        <v>5</v>
      </c>
    </row>
    <row r="452" spans="1:15">
      <c r="A452" s="27">
        <v>442</v>
      </c>
      <c r="B452" s="27">
        <v>55</v>
      </c>
      <c r="C452" s="27">
        <v>1</v>
      </c>
      <c r="D452" s="28">
        <f t="shared" si="72"/>
        <v>55</v>
      </c>
      <c r="E452" s="28">
        <f t="shared" si="73"/>
        <v>37.632427290462147</v>
      </c>
      <c r="F452" s="28">
        <f t="shared" si="74"/>
        <v>23.186666666666667</v>
      </c>
      <c r="G452" s="28">
        <f t="shared" si="75"/>
        <v>8.7409060428711882</v>
      </c>
      <c r="H452" s="28">
        <f t="shared" si="76"/>
        <v>6.6067826046340841</v>
      </c>
      <c r="I452" s="28">
        <f t="shared" si="77"/>
        <v>3.119674929235714</v>
      </c>
      <c r="J452" s="28">
        <f t="shared" si="78"/>
        <v>68.252743918461903</v>
      </c>
      <c r="K452" s="28">
        <f t="shared" si="79"/>
        <v>23.186666666666667</v>
      </c>
      <c r="L452" s="28">
        <f t="shared" si="80"/>
        <v>0</v>
      </c>
      <c r="M452" s="2" t="str">
        <f t="shared" si="81"/>
        <v>Y</v>
      </c>
      <c r="N452" s="2" t="str">
        <f t="shared" si="82"/>
        <v/>
      </c>
      <c r="O452" s="2">
        <f t="shared" si="83"/>
        <v>14</v>
      </c>
    </row>
    <row r="453" spans="1:15">
      <c r="A453" s="27">
        <v>443</v>
      </c>
      <c r="B453" s="27">
        <v>54</v>
      </c>
      <c r="C453" s="27">
        <v>1</v>
      </c>
      <c r="D453" s="28">
        <f t="shared" si="72"/>
        <v>54</v>
      </c>
      <c r="E453" s="28">
        <f t="shared" si="73"/>
        <v>37.632427290462147</v>
      </c>
      <c r="F453" s="28">
        <f t="shared" si="74"/>
        <v>23.186666666666667</v>
      </c>
      <c r="G453" s="28">
        <f t="shared" si="75"/>
        <v>8.7409060428711882</v>
      </c>
      <c r="H453" s="28">
        <f t="shared" si="76"/>
        <v>6.3991092201631892</v>
      </c>
      <c r="I453" s="28">
        <f t="shared" si="77"/>
        <v>3.119674929235714</v>
      </c>
      <c r="J453" s="28">
        <f t="shared" si="78"/>
        <v>68.252743918461903</v>
      </c>
      <c r="K453" s="28">
        <f t="shared" si="79"/>
        <v>23.186666666666667</v>
      </c>
      <c r="L453" s="28">
        <f t="shared" si="80"/>
        <v>0</v>
      </c>
      <c r="M453" s="2" t="str">
        <f t="shared" si="81"/>
        <v>Y</v>
      </c>
      <c r="N453" s="2" t="str">
        <f t="shared" si="82"/>
        <v/>
      </c>
      <c r="O453" s="2">
        <f t="shared" si="83"/>
        <v>1</v>
      </c>
    </row>
    <row r="454" spans="1:15">
      <c r="A454" s="27">
        <v>444</v>
      </c>
      <c r="B454" s="27">
        <v>27</v>
      </c>
      <c r="C454" s="27">
        <v>1</v>
      </c>
      <c r="D454" s="28">
        <f t="shared" si="72"/>
        <v>27</v>
      </c>
      <c r="E454" s="28">
        <f t="shared" si="73"/>
        <v>37.632427290462147</v>
      </c>
      <c r="F454" s="28">
        <f t="shared" si="74"/>
        <v>23.186666666666667</v>
      </c>
      <c r="G454" s="28">
        <f t="shared" si="75"/>
        <v>8.7409060428711882</v>
      </c>
      <c r="H454" s="28">
        <f t="shared" si="76"/>
        <v>0.79192783944901413</v>
      </c>
      <c r="I454" s="28">
        <f t="shared" si="77"/>
        <v>3.119674929235714</v>
      </c>
      <c r="J454" s="28">
        <f t="shared" si="78"/>
        <v>68.252743918461903</v>
      </c>
      <c r="K454" s="28">
        <f t="shared" si="79"/>
        <v>23.186666666666667</v>
      </c>
      <c r="L454" s="28">
        <f t="shared" si="80"/>
        <v>0</v>
      </c>
      <c r="M454" s="2" t="str">
        <f t="shared" si="81"/>
        <v/>
      </c>
      <c r="N454" s="2" t="str">
        <f t="shared" si="82"/>
        <v/>
      </c>
      <c r="O454" s="2">
        <f t="shared" si="83"/>
        <v>27</v>
      </c>
    </row>
    <row r="455" spans="1:15">
      <c r="A455" s="27">
        <v>445</v>
      </c>
      <c r="B455" s="27">
        <v>25</v>
      </c>
      <c r="C455" s="27">
        <v>1</v>
      </c>
      <c r="D455" s="28">
        <f t="shared" si="72"/>
        <v>25</v>
      </c>
      <c r="E455" s="28">
        <f t="shared" si="73"/>
        <v>37.632427290462147</v>
      </c>
      <c r="F455" s="28">
        <f t="shared" si="74"/>
        <v>23.186666666666667</v>
      </c>
      <c r="G455" s="28">
        <f t="shared" si="75"/>
        <v>8.7409060428711882</v>
      </c>
      <c r="H455" s="28">
        <f t="shared" si="76"/>
        <v>0.37658107050722345</v>
      </c>
      <c r="I455" s="28">
        <f t="shared" si="77"/>
        <v>3.119674929235714</v>
      </c>
      <c r="J455" s="28">
        <f t="shared" si="78"/>
        <v>68.252743918461903</v>
      </c>
      <c r="K455" s="28">
        <f t="shared" si="79"/>
        <v>23.186666666666667</v>
      </c>
      <c r="L455" s="28">
        <f t="shared" si="80"/>
        <v>0</v>
      </c>
      <c r="M455" s="2" t="str">
        <f t="shared" si="81"/>
        <v/>
      </c>
      <c r="N455" s="2" t="str">
        <f t="shared" si="82"/>
        <v/>
      </c>
      <c r="O455" s="2">
        <f t="shared" si="83"/>
        <v>2</v>
      </c>
    </row>
    <row r="456" spans="1:15">
      <c r="A456" s="27">
        <v>446</v>
      </c>
      <c r="B456" s="27">
        <v>21</v>
      </c>
      <c r="C456" s="27">
        <v>1</v>
      </c>
      <c r="D456" s="28">
        <f t="shared" si="72"/>
        <v>21</v>
      </c>
      <c r="E456" s="28">
        <f t="shared" si="73"/>
        <v>37.632427290462147</v>
      </c>
      <c r="F456" s="28">
        <f t="shared" si="74"/>
        <v>23.186666666666667</v>
      </c>
      <c r="G456" s="28">
        <f t="shared" si="75"/>
        <v>8.7409060428711882</v>
      </c>
      <c r="H456" s="28">
        <f t="shared" si="76"/>
        <v>-0.45411246737635802</v>
      </c>
      <c r="I456" s="28">
        <f t="shared" si="77"/>
        <v>3.119674929235714</v>
      </c>
      <c r="J456" s="28">
        <f t="shared" si="78"/>
        <v>68.252743918461903</v>
      </c>
      <c r="K456" s="28">
        <f t="shared" si="79"/>
        <v>23.186666666666667</v>
      </c>
      <c r="L456" s="28">
        <f t="shared" si="80"/>
        <v>0</v>
      </c>
      <c r="M456" s="2" t="str">
        <f t="shared" si="81"/>
        <v/>
      </c>
      <c r="N456" s="2" t="str">
        <f t="shared" si="82"/>
        <v/>
      </c>
      <c r="O456" s="2">
        <f t="shared" si="83"/>
        <v>4</v>
      </c>
    </row>
    <row r="457" spans="1:15">
      <c r="A457" s="27">
        <v>447</v>
      </c>
      <c r="B457" s="27">
        <v>37</v>
      </c>
      <c r="C457" s="27">
        <v>1</v>
      </c>
      <c r="D457" s="28">
        <f t="shared" si="72"/>
        <v>37</v>
      </c>
      <c r="E457" s="28">
        <f t="shared" si="73"/>
        <v>37.632427290462147</v>
      </c>
      <c r="F457" s="28">
        <f t="shared" si="74"/>
        <v>23.186666666666667</v>
      </c>
      <c r="G457" s="28">
        <f t="shared" si="75"/>
        <v>8.7409060428711882</v>
      </c>
      <c r="H457" s="28">
        <f t="shared" si="76"/>
        <v>2.868661684157968</v>
      </c>
      <c r="I457" s="28">
        <f t="shared" si="77"/>
        <v>3.119674929235714</v>
      </c>
      <c r="J457" s="28">
        <f t="shared" si="78"/>
        <v>68.252743918461903</v>
      </c>
      <c r="K457" s="28">
        <f t="shared" si="79"/>
        <v>23.186666666666667</v>
      </c>
      <c r="L457" s="28">
        <f t="shared" si="80"/>
        <v>0</v>
      </c>
      <c r="M457" s="2" t="str">
        <f t="shared" si="81"/>
        <v/>
      </c>
      <c r="N457" s="2" t="str">
        <f t="shared" si="82"/>
        <v/>
      </c>
      <c r="O457" s="2">
        <f t="shared" si="83"/>
        <v>16</v>
      </c>
    </row>
    <row r="458" spans="1:15">
      <c r="A458" s="27">
        <v>448</v>
      </c>
      <c r="B458" s="27">
        <v>32</v>
      </c>
      <c r="C458" s="27">
        <v>1</v>
      </c>
      <c r="D458" s="28">
        <f t="shared" si="72"/>
        <v>32</v>
      </c>
      <c r="E458" s="28">
        <f t="shared" si="73"/>
        <v>37.632427290462147</v>
      </c>
      <c r="F458" s="28">
        <f t="shared" si="74"/>
        <v>23.186666666666667</v>
      </c>
      <c r="G458" s="28">
        <f t="shared" si="75"/>
        <v>8.7409060428711882</v>
      </c>
      <c r="H458" s="28">
        <f t="shared" si="76"/>
        <v>1.830294761803491</v>
      </c>
      <c r="I458" s="28">
        <f t="shared" si="77"/>
        <v>3.119674929235714</v>
      </c>
      <c r="J458" s="28">
        <f t="shared" si="78"/>
        <v>68.252743918461903</v>
      </c>
      <c r="K458" s="28">
        <f t="shared" si="79"/>
        <v>23.186666666666667</v>
      </c>
      <c r="L458" s="28">
        <f t="shared" si="80"/>
        <v>0</v>
      </c>
      <c r="M458" s="2" t="str">
        <f t="shared" si="81"/>
        <v/>
      </c>
      <c r="N458" s="2" t="str">
        <f t="shared" si="82"/>
        <v/>
      </c>
      <c r="O458" s="2">
        <f t="shared" si="83"/>
        <v>5</v>
      </c>
    </row>
    <row r="459" spans="1:15">
      <c r="A459" s="27">
        <v>449</v>
      </c>
      <c r="B459" s="27">
        <v>74</v>
      </c>
      <c r="C459" s="27">
        <v>1</v>
      </c>
      <c r="D459" s="28">
        <f t="shared" ref="D459:D522" si="84">IF(C459=0,"",B459/C459)</f>
        <v>74</v>
      </c>
      <c r="E459" s="28">
        <f t="shared" ref="E459:E522" si="85">IF(C459=0,"",$F$5+3*SQRT($F$5/C459))</f>
        <v>37.632427290462147</v>
      </c>
      <c r="F459" s="28">
        <f t="shared" ref="F459:F522" si="86">$F$5</f>
        <v>23.186666666666667</v>
      </c>
      <c r="G459" s="28">
        <f t="shared" ref="G459:G522" si="87">IF(C459=0,"",MAX(0,$F$5-3*SQRT($F$5/C459)))</f>
        <v>8.7409060428711882</v>
      </c>
      <c r="H459" s="28">
        <f t="shared" ref="H459:H522" si="88">IF(C459=0,"",(D459-$F$5)/SQRT($F$5/C459))</f>
        <v>10.552576909581097</v>
      </c>
      <c r="I459" s="28">
        <f t="shared" ref="I459:I522" si="89">$F$6</f>
        <v>3.119674929235714</v>
      </c>
      <c r="J459" s="28">
        <f t="shared" ref="J459:J522" si="90">IF(C459=0,"",$F$5+3*$F$6*SQRT($F$5/C459))</f>
        <v>68.252743918461903</v>
      </c>
      <c r="K459" s="28">
        <f t="shared" ref="K459:K522" si="91">$F$5</f>
        <v>23.186666666666667</v>
      </c>
      <c r="L459" s="28">
        <f t="shared" ref="L459:L522" si="92">IF(C459=0,"",MAX(0,$F$5-3*$F$6*SQRT($F$5/C459)))</f>
        <v>0</v>
      </c>
      <c r="M459" s="2" t="str">
        <f t="shared" ref="M459:M522" si="93">IF(OR(D459&gt;E459,D459&lt;G459),"Y","")</f>
        <v>Y</v>
      </c>
      <c r="N459" s="2" t="str">
        <f t="shared" ref="N459:N522" si="94">IF(OR(D459&gt;J459,D459&lt;L459),"Y","")</f>
        <v>Y</v>
      </c>
      <c r="O459" s="2">
        <f t="shared" si="83"/>
        <v>42</v>
      </c>
    </row>
    <row r="460" spans="1:15">
      <c r="A460" s="27">
        <v>450</v>
      </c>
      <c r="B460" s="27">
        <v>19</v>
      </c>
      <c r="C460" s="27">
        <v>1</v>
      </c>
      <c r="D460" s="28">
        <f t="shared" si="84"/>
        <v>19</v>
      </c>
      <c r="E460" s="28">
        <f t="shared" si="85"/>
        <v>37.632427290462147</v>
      </c>
      <c r="F460" s="28">
        <f t="shared" si="86"/>
        <v>23.186666666666667</v>
      </c>
      <c r="G460" s="28">
        <f t="shared" si="87"/>
        <v>8.7409060428711882</v>
      </c>
      <c r="H460" s="28">
        <f t="shared" si="88"/>
        <v>-0.8694592363181487</v>
      </c>
      <c r="I460" s="28">
        <f t="shared" si="89"/>
        <v>3.119674929235714</v>
      </c>
      <c r="J460" s="28">
        <f t="shared" si="90"/>
        <v>68.252743918461903</v>
      </c>
      <c r="K460" s="28">
        <f t="shared" si="91"/>
        <v>23.186666666666667</v>
      </c>
      <c r="L460" s="28">
        <f t="shared" si="92"/>
        <v>0</v>
      </c>
      <c r="M460" s="2" t="str">
        <f t="shared" si="93"/>
        <v/>
      </c>
      <c r="N460" s="2" t="str">
        <f t="shared" si="94"/>
        <v/>
      </c>
      <c r="O460" s="2">
        <f t="shared" ref="O460:O523" si="95">ABS(D460-D459)</f>
        <v>55</v>
      </c>
    </row>
    <row r="461" spans="1:15">
      <c r="A461" s="27">
        <v>451</v>
      </c>
      <c r="B461" s="27">
        <v>29</v>
      </c>
      <c r="C461" s="27">
        <v>1</v>
      </c>
      <c r="D461" s="28">
        <f t="shared" si="84"/>
        <v>29</v>
      </c>
      <c r="E461" s="28">
        <f t="shared" si="85"/>
        <v>37.632427290462147</v>
      </c>
      <c r="F461" s="28">
        <f t="shared" si="86"/>
        <v>23.186666666666667</v>
      </c>
      <c r="G461" s="28">
        <f t="shared" si="87"/>
        <v>8.7409060428711882</v>
      </c>
      <c r="H461" s="28">
        <f t="shared" si="88"/>
        <v>1.2072746083908048</v>
      </c>
      <c r="I461" s="28">
        <f t="shared" si="89"/>
        <v>3.119674929235714</v>
      </c>
      <c r="J461" s="28">
        <f t="shared" si="90"/>
        <v>68.252743918461903</v>
      </c>
      <c r="K461" s="28">
        <f t="shared" si="91"/>
        <v>23.186666666666667</v>
      </c>
      <c r="L461" s="28">
        <f t="shared" si="92"/>
        <v>0</v>
      </c>
      <c r="M461" s="2" t="str">
        <f t="shared" si="93"/>
        <v/>
      </c>
      <c r="N461" s="2" t="str">
        <f t="shared" si="94"/>
        <v/>
      </c>
      <c r="O461" s="2">
        <f t="shared" si="95"/>
        <v>10</v>
      </c>
    </row>
    <row r="462" spans="1:15">
      <c r="A462" s="27">
        <v>452</v>
      </c>
      <c r="B462" s="27">
        <v>15</v>
      </c>
      <c r="C462" s="27">
        <v>1</v>
      </c>
      <c r="D462" s="28">
        <f t="shared" si="84"/>
        <v>15</v>
      </c>
      <c r="E462" s="28">
        <f t="shared" si="85"/>
        <v>37.632427290462147</v>
      </c>
      <c r="F462" s="28">
        <f t="shared" si="86"/>
        <v>23.186666666666667</v>
      </c>
      <c r="G462" s="28">
        <f t="shared" si="87"/>
        <v>8.7409060428711882</v>
      </c>
      <c r="H462" s="28">
        <f t="shared" si="88"/>
        <v>-1.7001527742017302</v>
      </c>
      <c r="I462" s="28">
        <f t="shared" si="89"/>
        <v>3.119674929235714</v>
      </c>
      <c r="J462" s="28">
        <f t="shared" si="90"/>
        <v>68.252743918461903</v>
      </c>
      <c r="K462" s="28">
        <f t="shared" si="91"/>
        <v>23.186666666666667</v>
      </c>
      <c r="L462" s="28">
        <f t="shared" si="92"/>
        <v>0</v>
      </c>
      <c r="M462" s="2" t="str">
        <f t="shared" si="93"/>
        <v/>
      </c>
      <c r="N462" s="2" t="str">
        <f t="shared" si="94"/>
        <v/>
      </c>
      <c r="O462" s="2">
        <f t="shared" si="95"/>
        <v>14</v>
      </c>
    </row>
    <row r="463" spans="1:15">
      <c r="A463" s="27">
        <v>453</v>
      </c>
      <c r="B463" s="27">
        <v>12</v>
      </c>
      <c r="C463" s="27">
        <v>1</v>
      </c>
      <c r="D463" s="28">
        <f t="shared" si="84"/>
        <v>12</v>
      </c>
      <c r="E463" s="28">
        <f t="shared" si="85"/>
        <v>37.632427290462147</v>
      </c>
      <c r="F463" s="28">
        <f t="shared" si="86"/>
        <v>23.186666666666667</v>
      </c>
      <c r="G463" s="28">
        <f t="shared" si="87"/>
        <v>8.7409060428711882</v>
      </c>
      <c r="H463" s="28">
        <f t="shared" si="88"/>
        <v>-2.3231729276144164</v>
      </c>
      <c r="I463" s="28">
        <f t="shared" si="89"/>
        <v>3.119674929235714</v>
      </c>
      <c r="J463" s="28">
        <f t="shared" si="90"/>
        <v>68.252743918461903</v>
      </c>
      <c r="K463" s="28">
        <f t="shared" si="91"/>
        <v>23.186666666666667</v>
      </c>
      <c r="L463" s="28">
        <f t="shared" si="92"/>
        <v>0</v>
      </c>
      <c r="M463" s="2" t="str">
        <f t="shared" si="93"/>
        <v/>
      </c>
      <c r="N463" s="2" t="str">
        <f t="shared" si="94"/>
        <v/>
      </c>
      <c r="O463" s="2">
        <f t="shared" si="95"/>
        <v>3</v>
      </c>
    </row>
    <row r="464" spans="1:15">
      <c r="A464" s="27">
        <v>454</v>
      </c>
      <c r="B464" s="27">
        <v>8</v>
      </c>
      <c r="C464" s="27">
        <v>1</v>
      </c>
      <c r="D464" s="28">
        <f t="shared" si="84"/>
        <v>8</v>
      </c>
      <c r="E464" s="28">
        <f t="shared" si="85"/>
        <v>37.632427290462147</v>
      </c>
      <c r="F464" s="28">
        <f t="shared" si="86"/>
        <v>23.186666666666667</v>
      </c>
      <c r="G464" s="28">
        <f t="shared" si="87"/>
        <v>8.7409060428711882</v>
      </c>
      <c r="H464" s="28">
        <f t="shared" si="88"/>
        <v>-3.1538664654979978</v>
      </c>
      <c r="I464" s="28">
        <f t="shared" si="89"/>
        <v>3.119674929235714</v>
      </c>
      <c r="J464" s="28">
        <f t="shared" si="90"/>
        <v>68.252743918461903</v>
      </c>
      <c r="K464" s="28">
        <f t="shared" si="91"/>
        <v>23.186666666666667</v>
      </c>
      <c r="L464" s="28">
        <f t="shared" si="92"/>
        <v>0</v>
      </c>
      <c r="M464" s="2" t="str">
        <f t="shared" si="93"/>
        <v>Y</v>
      </c>
      <c r="N464" s="2" t="str">
        <f t="shared" si="94"/>
        <v/>
      </c>
      <c r="O464" s="2">
        <f t="shared" si="95"/>
        <v>4</v>
      </c>
    </row>
    <row r="465" spans="1:15">
      <c r="A465" s="27">
        <v>455</v>
      </c>
      <c r="B465" s="27">
        <v>20</v>
      </c>
      <c r="C465" s="27">
        <v>1</v>
      </c>
      <c r="D465" s="28">
        <f t="shared" si="84"/>
        <v>20</v>
      </c>
      <c r="E465" s="28">
        <f t="shared" si="85"/>
        <v>37.632427290462147</v>
      </c>
      <c r="F465" s="28">
        <f t="shared" si="86"/>
        <v>23.186666666666667</v>
      </c>
      <c r="G465" s="28">
        <f t="shared" si="87"/>
        <v>8.7409060428711882</v>
      </c>
      <c r="H465" s="28">
        <f t="shared" si="88"/>
        <v>-0.66178585184725336</v>
      </c>
      <c r="I465" s="28">
        <f t="shared" si="89"/>
        <v>3.119674929235714</v>
      </c>
      <c r="J465" s="28">
        <f t="shared" si="90"/>
        <v>68.252743918461903</v>
      </c>
      <c r="K465" s="28">
        <f t="shared" si="91"/>
        <v>23.186666666666667</v>
      </c>
      <c r="L465" s="28">
        <f t="shared" si="92"/>
        <v>0</v>
      </c>
      <c r="M465" s="2" t="str">
        <f t="shared" si="93"/>
        <v/>
      </c>
      <c r="N465" s="2" t="str">
        <f t="shared" si="94"/>
        <v/>
      </c>
      <c r="O465" s="2">
        <f t="shared" si="95"/>
        <v>12</v>
      </c>
    </row>
    <row r="466" spans="1:15">
      <c r="A466" s="27">
        <v>456</v>
      </c>
      <c r="B466" s="27">
        <v>17</v>
      </c>
      <c r="C466" s="27">
        <v>1</v>
      </c>
      <c r="D466" s="28">
        <f t="shared" si="84"/>
        <v>17</v>
      </c>
      <c r="E466" s="28">
        <f t="shared" si="85"/>
        <v>37.632427290462147</v>
      </c>
      <c r="F466" s="28">
        <f t="shared" si="86"/>
        <v>23.186666666666667</v>
      </c>
      <c r="G466" s="28">
        <f t="shared" si="87"/>
        <v>8.7409060428711882</v>
      </c>
      <c r="H466" s="28">
        <f t="shared" si="88"/>
        <v>-1.2848060052599395</v>
      </c>
      <c r="I466" s="28">
        <f t="shared" si="89"/>
        <v>3.119674929235714</v>
      </c>
      <c r="J466" s="28">
        <f t="shared" si="90"/>
        <v>68.252743918461903</v>
      </c>
      <c r="K466" s="28">
        <f t="shared" si="91"/>
        <v>23.186666666666667</v>
      </c>
      <c r="L466" s="28">
        <f t="shared" si="92"/>
        <v>0</v>
      </c>
      <c r="M466" s="2" t="str">
        <f t="shared" si="93"/>
        <v/>
      </c>
      <c r="N466" s="2" t="str">
        <f t="shared" si="94"/>
        <v/>
      </c>
      <c r="O466" s="2">
        <f t="shared" si="95"/>
        <v>3</v>
      </c>
    </row>
    <row r="467" spans="1:15">
      <c r="A467" s="27">
        <v>457</v>
      </c>
      <c r="B467" s="27">
        <v>18</v>
      </c>
      <c r="C467" s="27">
        <v>1</v>
      </c>
      <c r="D467" s="28">
        <f t="shared" si="84"/>
        <v>18</v>
      </c>
      <c r="E467" s="28">
        <f t="shared" si="85"/>
        <v>37.632427290462147</v>
      </c>
      <c r="F467" s="28">
        <f t="shared" si="86"/>
        <v>23.186666666666667</v>
      </c>
      <c r="G467" s="28">
        <f t="shared" si="87"/>
        <v>8.7409060428711882</v>
      </c>
      <c r="H467" s="28">
        <f t="shared" si="88"/>
        <v>-1.0771326207890441</v>
      </c>
      <c r="I467" s="28">
        <f t="shared" si="89"/>
        <v>3.119674929235714</v>
      </c>
      <c r="J467" s="28">
        <f t="shared" si="90"/>
        <v>68.252743918461903</v>
      </c>
      <c r="K467" s="28">
        <f t="shared" si="91"/>
        <v>23.186666666666667</v>
      </c>
      <c r="L467" s="28">
        <f t="shared" si="92"/>
        <v>0</v>
      </c>
      <c r="M467" s="2" t="str">
        <f t="shared" si="93"/>
        <v/>
      </c>
      <c r="N467" s="2" t="str">
        <f t="shared" si="94"/>
        <v/>
      </c>
      <c r="O467" s="2">
        <f t="shared" si="95"/>
        <v>1</v>
      </c>
    </row>
    <row r="468" spans="1:15">
      <c r="A468" s="27">
        <v>458</v>
      </c>
      <c r="B468" s="27">
        <v>13</v>
      </c>
      <c r="C468" s="27">
        <v>1</v>
      </c>
      <c r="D468" s="28">
        <f t="shared" si="84"/>
        <v>13</v>
      </c>
      <c r="E468" s="28">
        <f t="shared" si="85"/>
        <v>37.632427290462147</v>
      </c>
      <c r="F468" s="28">
        <f t="shared" si="86"/>
        <v>23.186666666666667</v>
      </c>
      <c r="G468" s="28">
        <f t="shared" si="87"/>
        <v>8.7409060428711882</v>
      </c>
      <c r="H468" s="28">
        <f t="shared" si="88"/>
        <v>-2.1154995431435211</v>
      </c>
      <c r="I468" s="28">
        <f t="shared" si="89"/>
        <v>3.119674929235714</v>
      </c>
      <c r="J468" s="28">
        <f t="shared" si="90"/>
        <v>68.252743918461903</v>
      </c>
      <c r="K468" s="28">
        <f t="shared" si="91"/>
        <v>23.186666666666667</v>
      </c>
      <c r="L468" s="28">
        <f t="shared" si="92"/>
        <v>0</v>
      </c>
      <c r="M468" s="2" t="str">
        <f t="shared" si="93"/>
        <v/>
      </c>
      <c r="N468" s="2" t="str">
        <f t="shared" si="94"/>
        <v/>
      </c>
      <c r="O468" s="2">
        <f t="shared" si="95"/>
        <v>5</v>
      </c>
    </row>
    <row r="469" spans="1:15">
      <c r="A469" s="27">
        <v>459</v>
      </c>
      <c r="B469" s="27">
        <v>12</v>
      </c>
      <c r="C469" s="27">
        <v>1</v>
      </c>
      <c r="D469" s="28">
        <f t="shared" si="84"/>
        <v>12</v>
      </c>
      <c r="E469" s="28">
        <f t="shared" si="85"/>
        <v>37.632427290462147</v>
      </c>
      <c r="F469" s="28">
        <f t="shared" si="86"/>
        <v>23.186666666666667</v>
      </c>
      <c r="G469" s="28">
        <f t="shared" si="87"/>
        <v>8.7409060428711882</v>
      </c>
      <c r="H469" s="28">
        <f t="shared" si="88"/>
        <v>-2.3231729276144164</v>
      </c>
      <c r="I469" s="28">
        <f t="shared" si="89"/>
        <v>3.119674929235714</v>
      </c>
      <c r="J469" s="28">
        <f t="shared" si="90"/>
        <v>68.252743918461903</v>
      </c>
      <c r="K469" s="28">
        <f t="shared" si="91"/>
        <v>23.186666666666667</v>
      </c>
      <c r="L469" s="28">
        <f t="shared" si="92"/>
        <v>0</v>
      </c>
      <c r="M469" s="2" t="str">
        <f t="shared" si="93"/>
        <v/>
      </c>
      <c r="N469" s="2" t="str">
        <f t="shared" si="94"/>
        <v/>
      </c>
      <c r="O469" s="2">
        <f t="shared" si="95"/>
        <v>1</v>
      </c>
    </row>
    <row r="470" spans="1:15">
      <c r="A470" s="27">
        <v>460</v>
      </c>
      <c r="B470" s="27">
        <v>10</v>
      </c>
      <c r="C470" s="27">
        <v>1</v>
      </c>
      <c r="D470" s="28">
        <f t="shared" si="84"/>
        <v>10</v>
      </c>
      <c r="E470" s="28">
        <f t="shared" si="85"/>
        <v>37.632427290462147</v>
      </c>
      <c r="F470" s="28">
        <f t="shared" si="86"/>
        <v>23.186666666666667</v>
      </c>
      <c r="G470" s="28">
        <f t="shared" si="87"/>
        <v>8.7409060428711882</v>
      </c>
      <c r="H470" s="28">
        <f t="shared" si="88"/>
        <v>-2.7385196965562071</v>
      </c>
      <c r="I470" s="28">
        <f t="shared" si="89"/>
        <v>3.119674929235714</v>
      </c>
      <c r="J470" s="28">
        <f t="shared" si="90"/>
        <v>68.252743918461903</v>
      </c>
      <c r="K470" s="28">
        <f t="shared" si="91"/>
        <v>23.186666666666667</v>
      </c>
      <c r="L470" s="28">
        <f t="shared" si="92"/>
        <v>0</v>
      </c>
      <c r="M470" s="2" t="str">
        <f t="shared" si="93"/>
        <v/>
      </c>
      <c r="N470" s="2" t="str">
        <f t="shared" si="94"/>
        <v/>
      </c>
      <c r="O470" s="2">
        <f t="shared" si="95"/>
        <v>2</v>
      </c>
    </row>
    <row r="471" spans="1:15">
      <c r="A471" s="27">
        <v>461</v>
      </c>
      <c r="B471" s="27">
        <v>24</v>
      </c>
      <c r="C471" s="27">
        <v>1</v>
      </c>
      <c r="D471" s="28">
        <f t="shared" si="84"/>
        <v>24</v>
      </c>
      <c r="E471" s="28">
        <f t="shared" si="85"/>
        <v>37.632427290462147</v>
      </c>
      <c r="F471" s="28">
        <f t="shared" si="86"/>
        <v>23.186666666666667</v>
      </c>
      <c r="G471" s="28">
        <f t="shared" si="87"/>
        <v>8.7409060428711882</v>
      </c>
      <c r="H471" s="28">
        <f t="shared" si="88"/>
        <v>0.16890768603632808</v>
      </c>
      <c r="I471" s="28">
        <f t="shared" si="89"/>
        <v>3.119674929235714</v>
      </c>
      <c r="J471" s="28">
        <f t="shared" si="90"/>
        <v>68.252743918461903</v>
      </c>
      <c r="K471" s="28">
        <f t="shared" si="91"/>
        <v>23.186666666666667</v>
      </c>
      <c r="L471" s="28">
        <f t="shared" si="92"/>
        <v>0</v>
      </c>
      <c r="M471" s="2" t="str">
        <f t="shared" si="93"/>
        <v/>
      </c>
      <c r="N471" s="2" t="str">
        <f t="shared" si="94"/>
        <v/>
      </c>
      <c r="O471" s="2">
        <f t="shared" si="95"/>
        <v>14</v>
      </c>
    </row>
    <row r="472" spans="1:15">
      <c r="A472" s="27">
        <v>462</v>
      </c>
      <c r="B472" s="27">
        <v>17</v>
      </c>
      <c r="C472" s="27">
        <v>1</v>
      </c>
      <c r="D472" s="28">
        <f t="shared" si="84"/>
        <v>17</v>
      </c>
      <c r="E472" s="28">
        <f t="shared" si="85"/>
        <v>37.632427290462147</v>
      </c>
      <c r="F472" s="28">
        <f t="shared" si="86"/>
        <v>23.186666666666667</v>
      </c>
      <c r="G472" s="28">
        <f t="shared" si="87"/>
        <v>8.7409060428711882</v>
      </c>
      <c r="H472" s="28">
        <f t="shared" si="88"/>
        <v>-1.2848060052599395</v>
      </c>
      <c r="I472" s="28">
        <f t="shared" si="89"/>
        <v>3.119674929235714</v>
      </c>
      <c r="J472" s="28">
        <f t="shared" si="90"/>
        <v>68.252743918461903</v>
      </c>
      <c r="K472" s="28">
        <f t="shared" si="91"/>
        <v>23.186666666666667</v>
      </c>
      <c r="L472" s="28">
        <f t="shared" si="92"/>
        <v>0</v>
      </c>
      <c r="M472" s="2" t="str">
        <f t="shared" si="93"/>
        <v/>
      </c>
      <c r="N472" s="2" t="str">
        <f t="shared" si="94"/>
        <v/>
      </c>
      <c r="O472" s="2">
        <f t="shared" si="95"/>
        <v>7</v>
      </c>
    </row>
    <row r="473" spans="1:15">
      <c r="A473" s="27">
        <v>463</v>
      </c>
      <c r="B473" s="27">
        <v>8</v>
      </c>
      <c r="C473" s="27">
        <v>1</v>
      </c>
      <c r="D473" s="28">
        <f t="shared" si="84"/>
        <v>8</v>
      </c>
      <c r="E473" s="28">
        <f t="shared" si="85"/>
        <v>37.632427290462147</v>
      </c>
      <c r="F473" s="28">
        <f t="shared" si="86"/>
        <v>23.186666666666667</v>
      </c>
      <c r="G473" s="28">
        <f t="shared" si="87"/>
        <v>8.7409060428711882</v>
      </c>
      <c r="H473" s="28">
        <f t="shared" si="88"/>
        <v>-3.1538664654979978</v>
      </c>
      <c r="I473" s="28">
        <f t="shared" si="89"/>
        <v>3.119674929235714</v>
      </c>
      <c r="J473" s="28">
        <f t="shared" si="90"/>
        <v>68.252743918461903</v>
      </c>
      <c r="K473" s="28">
        <f t="shared" si="91"/>
        <v>23.186666666666667</v>
      </c>
      <c r="L473" s="28">
        <f t="shared" si="92"/>
        <v>0</v>
      </c>
      <c r="M473" s="2" t="str">
        <f t="shared" si="93"/>
        <v>Y</v>
      </c>
      <c r="N473" s="2" t="str">
        <f t="shared" si="94"/>
        <v/>
      </c>
      <c r="O473" s="2">
        <f t="shared" si="95"/>
        <v>9</v>
      </c>
    </row>
    <row r="474" spans="1:15">
      <c r="A474" s="27">
        <v>464</v>
      </c>
      <c r="B474" s="27">
        <v>17</v>
      </c>
      <c r="C474" s="27">
        <v>1</v>
      </c>
      <c r="D474" s="28">
        <f t="shared" si="84"/>
        <v>17</v>
      </c>
      <c r="E474" s="28">
        <f t="shared" si="85"/>
        <v>37.632427290462147</v>
      </c>
      <c r="F474" s="28">
        <f t="shared" si="86"/>
        <v>23.186666666666667</v>
      </c>
      <c r="G474" s="28">
        <f t="shared" si="87"/>
        <v>8.7409060428711882</v>
      </c>
      <c r="H474" s="28">
        <f t="shared" si="88"/>
        <v>-1.2848060052599395</v>
      </c>
      <c r="I474" s="28">
        <f t="shared" si="89"/>
        <v>3.119674929235714</v>
      </c>
      <c r="J474" s="28">
        <f t="shared" si="90"/>
        <v>68.252743918461903</v>
      </c>
      <c r="K474" s="28">
        <f t="shared" si="91"/>
        <v>23.186666666666667</v>
      </c>
      <c r="L474" s="28">
        <f t="shared" si="92"/>
        <v>0</v>
      </c>
      <c r="M474" s="2" t="str">
        <f t="shared" si="93"/>
        <v/>
      </c>
      <c r="N474" s="2" t="str">
        <f t="shared" si="94"/>
        <v/>
      </c>
      <c r="O474" s="2">
        <f t="shared" si="95"/>
        <v>9</v>
      </c>
    </row>
    <row r="475" spans="1:15">
      <c r="A475" s="27">
        <v>465</v>
      </c>
      <c r="B475" s="27">
        <v>10</v>
      </c>
      <c r="C475" s="27">
        <v>1</v>
      </c>
      <c r="D475" s="28">
        <f t="shared" si="84"/>
        <v>10</v>
      </c>
      <c r="E475" s="28">
        <f t="shared" si="85"/>
        <v>37.632427290462147</v>
      </c>
      <c r="F475" s="28">
        <f t="shared" si="86"/>
        <v>23.186666666666667</v>
      </c>
      <c r="G475" s="28">
        <f t="shared" si="87"/>
        <v>8.7409060428711882</v>
      </c>
      <c r="H475" s="28">
        <f t="shared" si="88"/>
        <v>-2.7385196965562071</v>
      </c>
      <c r="I475" s="28">
        <f t="shared" si="89"/>
        <v>3.119674929235714</v>
      </c>
      <c r="J475" s="28">
        <f t="shared" si="90"/>
        <v>68.252743918461903</v>
      </c>
      <c r="K475" s="28">
        <f t="shared" si="91"/>
        <v>23.186666666666667</v>
      </c>
      <c r="L475" s="28">
        <f t="shared" si="92"/>
        <v>0</v>
      </c>
      <c r="M475" s="2" t="str">
        <f t="shared" si="93"/>
        <v/>
      </c>
      <c r="N475" s="2" t="str">
        <f t="shared" si="94"/>
        <v/>
      </c>
      <c r="O475" s="2">
        <f t="shared" si="95"/>
        <v>7</v>
      </c>
    </row>
    <row r="476" spans="1:15">
      <c r="A476" s="27">
        <v>466</v>
      </c>
      <c r="B476" s="27">
        <v>37</v>
      </c>
      <c r="C476" s="27">
        <v>1</v>
      </c>
      <c r="D476" s="28">
        <f t="shared" si="84"/>
        <v>37</v>
      </c>
      <c r="E476" s="28">
        <f t="shared" si="85"/>
        <v>37.632427290462147</v>
      </c>
      <c r="F476" s="28">
        <f t="shared" si="86"/>
        <v>23.186666666666667</v>
      </c>
      <c r="G476" s="28">
        <f t="shared" si="87"/>
        <v>8.7409060428711882</v>
      </c>
      <c r="H476" s="28">
        <f t="shared" si="88"/>
        <v>2.868661684157968</v>
      </c>
      <c r="I476" s="28">
        <f t="shared" si="89"/>
        <v>3.119674929235714</v>
      </c>
      <c r="J476" s="28">
        <f t="shared" si="90"/>
        <v>68.252743918461903</v>
      </c>
      <c r="K476" s="28">
        <f t="shared" si="91"/>
        <v>23.186666666666667</v>
      </c>
      <c r="L476" s="28">
        <f t="shared" si="92"/>
        <v>0</v>
      </c>
      <c r="M476" s="2" t="str">
        <f t="shared" si="93"/>
        <v/>
      </c>
      <c r="N476" s="2" t="str">
        <f t="shared" si="94"/>
        <v/>
      </c>
      <c r="O476" s="2">
        <f t="shared" si="95"/>
        <v>27</v>
      </c>
    </row>
    <row r="477" spans="1:15">
      <c r="A477" s="27">
        <v>467</v>
      </c>
      <c r="B477" s="27">
        <v>25</v>
      </c>
      <c r="C477" s="27">
        <v>1</v>
      </c>
      <c r="D477" s="28">
        <f t="shared" si="84"/>
        <v>25</v>
      </c>
      <c r="E477" s="28">
        <f t="shared" si="85"/>
        <v>37.632427290462147</v>
      </c>
      <c r="F477" s="28">
        <f t="shared" si="86"/>
        <v>23.186666666666667</v>
      </c>
      <c r="G477" s="28">
        <f t="shared" si="87"/>
        <v>8.7409060428711882</v>
      </c>
      <c r="H477" s="28">
        <f t="shared" si="88"/>
        <v>0.37658107050722345</v>
      </c>
      <c r="I477" s="28">
        <f t="shared" si="89"/>
        <v>3.119674929235714</v>
      </c>
      <c r="J477" s="28">
        <f t="shared" si="90"/>
        <v>68.252743918461903</v>
      </c>
      <c r="K477" s="28">
        <f t="shared" si="91"/>
        <v>23.186666666666667</v>
      </c>
      <c r="L477" s="28">
        <f t="shared" si="92"/>
        <v>0</v>
      </c>
      <c r="M477" s="2" t="str">
        <f t="shared" si="93"/>
        <v/>
      </c>
      <c r="N477" s="2" t="str">
        <f t="shared" si="94"/>
        <v/>
      </c>
      <c r="O477" s="2">
        <f t="shared" si="95"/>
        <v>12</v>
      </c>
    </row>
    <row r="478" spans="1:15">
      <c r="A478" s="27">
        <v>468</v>
      </c>
      <c r="B478" s="27">
        <v>105</v>
      </c>
      <c r="C478" s="27">
        <v>1</v>
      </c>
      <c r="D478" s="28">
        <f t="shared" si="84"/>
        <v>105</v>
      </c>
      <c r="E478" s="28">
        <f t="shared" si="85"/>
        <v>37.632427290462147</v>
      </c>
      <c r="F478" s="28">
        <f t="shared" si="86"/>
        <v>23.186666666666667</v>
      </c>
      <c r="G478" s="28">
        <f t="shared" si="87"/>
        <v>8.7409060428711882</v>
      </c>
      <c r="H478" s="28">
        <f t="shared" si="88"/>
        <v>16.990451828178852</v>
      </c>
      <c r="I478" s="28">
        <f t="shared" si="89"/>
        <v>3.119674929235714</v>
      </c>
      <c r="J478" s="28">
        <f t="shared" si="90"/>
        <v>68.252743918461903</v>
      </c>
      <c r="K478" s="28">
        <f t="shared" si="91"/>
        <v>23.186666666666667</v>
      </c>
      <c r="L478" s="28">
        <f t="shared" si="92"/>
        <v>0</v>
      </c>
      <c r="M478" s="2" t="str">
        <f t="shared" si="93"/>
        <v>Y</v>
      </c>
      <c r="N478" s="2" t="str">
        <f t="shared" si="94"/>
        <v>Y</v>
      </c>
      <c r="O478" s="2">
        <f t="shared" si="95"/>
        <v>80</v>
      </c>
    </row>
    <row r="479" spans="1:15">
      <c r="A479" s="27">
        <v>469</v>
      </c>
      <c r="B479" s="27">
        <v>122</v>
      </c>
      <c r="C479" s="27">
        <v>1</v>
      </c>
      <c r="D479" s="28">
        <f t="shared" si="84"/>
        <v>122</v>
      </c>
      <c r="E479" s="28">
        <f t="shared" si="85"/>
        <v>37.632427290462147</v>
      </c>
      <c r="F479" s="28">
        <f t="shared" si="86"/>
        <v>23.186666666666667</v>
      </c>
      <c r="G479" s="28">
        <f t="shared" si="87"/>
        <v>8.7409060428711882</v>
      </c>
      <c r="H479" s="28">
        <f t="shared" si="88"/>
        <v>20.520899364184075</v>
      </c>
      <c r="I479" s="28">
        <f t="shared" si="89"/>
        <v>3.119674929235714</v>
      </c>
      <c r="J479" s="28">
        <f t="shared" si="90"/>
        <v>68.252743918461903</v>
      </c>
      <c r="K479" s="28">
        <f t="shared" si="91"/>
        <v>23.186666666666667</v>
      </c>
      <c r="L479" s="28">
        <f t="shared" si="92"/>
        <v>0</v>
      </c>
      <c r="M479" s="2" t="str">
        <f t="shared" si="93"/>
        <v>Y</v>
      </c>
      <c r="N479" s="2" t="str">
        <f t="shared" si="94"/>
        <v>Y</v>
      </c>
      <c r="O479" s="2">
        <f t="shared" si="95"/>
        <v>17</v>
      </c>
    </row>
    <row r="480" spans="1:15">
      <c r="A480" s="27">
        <v>470</v>
      </c>
      <c r="B480" s="27">
        <v>128</v>
      </c>
      <c r="C480" s="27">
        <v>1</v>
      </c>
      <c r="D480" s="28">
        <f t="shared" si="84"/>
        <v>128</v>
      </c>
      <c r="E480" s="28">
        <f t="shared" si="85"/>
        <v>37.632427290462147</v>
      </c>
      <c r="F480" s="28">
        <f t="shared" si="86"/>
        <v>23.186666666666667</v>
      </c>
      <c r="G480" s="28">
        <f t="shared" si="87"/>
        <v>8.7409060428711882</v>
      </c>
      <c r="H480" s="28">
        <f t="shared" si="88"/>
        <v>21.766939671009446</v>
      </c>
      <c r="I480" s="28">
        <f t="shared" si="89"/>
        <v>3.119674929235714</v>
      </c>
      <c r="J480" s="28">
        <f t="shared" si="90"/>
        <v>68.252743918461903</v>
      </c>
      <c r="K480" s="28">
        <f t="shared" si="91"/>
        <v>23.186666666666667</v>
      </c>
      <c r="L480" s="28">
        <f t="shared" si="92"/>
        <v>0</v>
      </c>
      <c r="M480" s="2" t="str">
        <f t="shared" si="93"/>
        <v>Y</v>
      </c>
      <c r="N480" s="2" t="str">
        <f t="shared" si="94"/>
        <v>Y</v>
      </c>
      <c r="O480" s="2">
        <f t="shared" si="95"/>
        <v>6</v>
      </c>
    </row>
    <row r="481" spans="1:15">
      <c r="A481" s="27">
        <v>471</v>
      </c>
      <c r="B481" s="27">
        <v>90</v>
      </c>
      <c r="C481" s="27">
        <v>1</v>
      </c>
      <c r="D481" s="28">
        <f t="shared" si="84"/>
        <v>90</v>
      </c>
      <c r="E481" s="28">
        <f t="shared" si="85"/>
        <v>37.632427290462147</v>
      </c>
      <c r="F481" s="28">
        <f t="shared" si="86"/>
        <v>23.186666666666667</v>
      </c>
      <c r="G481" s="28">
        <f t="shared" si="87"/>
        <v>8.7409060428711882</v>
      </c>
      <c r="H481" s="28">
        <f t="shared" si="88"/>
        <v>13.875351061115422</v>
      </c>
      <c r="I481" s="28">
        <f t="shared" si="89"/>
        <v>3.119674929235714</v>
      </c>
      <c r="J481" s="28">
        <f t="shared" si="90"/>
        <v>68.252743918461903</v>
      </c>
      <c r="K481" s="28">
        <f t="shared" si="91"/>
        <v>23.186666666666667</v>
      </c>
      <c r="L481" s="28">
        <f t="shared" si="92"/>
        <v>0</v>
      </c>
      <c r="M481" s="2" t="str">
        <f t="shared" si="93"/>
        <v>Y</v>
      </c>
      <c r="N481" s="2" t="str">
        <f t="shared" si="94"/>
        <v>Y</v>
      </c>
      <c r="O481" s="2">
        <f t="shared" si="95"/>
        <v>38</v>
      </c>
    </row>
    <row r="482" spans="1:15">
      <c r="A482" s="27">
        <v>472</v>
      </c>
      <c r="B482" s="27">
        <v>93</v>
      </c>
      <c r="C482" s="27">
        <v>1</v>
      </c>
      <c r="D482" s="28">
        <f t="shared" si="84"/>
        <v>93</v>
      </c>
      <c r="E482" s="28">
        <f t="shared" si="85"/>
        <v>37.632427290462147</v>
      </c>
      <c r="F482" s="28">
        <f t="shared" si="86"/>
        <v>23.186666666666667</v>
      </c>
      <c r="G482" s="28">
        <f t="shared" si="87"/>
        <v>8.7409060428711882</v>
      </c>
      <c r="H482" s="28">
        <f t="shared" si="88"/>
        <v>14.498371214528108</v>
      </c>
      <c r="I482" s="28">
        <f t="shared" si="89"/>
        <v>3.119674929235714</v>
      </c>
      <c r="J482" s="28">
        <f t="shared" si="90"/>
        <v>68.252743918461903</v>
      </c>
      <c r="K482" s="28">
        <f t="shared" si="91"/>
        <v>23.186666666666667</v>
      </c>
      <c r="L482" s="28">
        <f t="shared" si="92"/>
        <v>0</v>
      </c>
      <c r="M482" s="2" t="str">
        <f t="shared" si="93"/>
        <v>Y</v>
      </c>
      <c r="N482" s="2" t="str">
        <f t="shared" si="94"/>
        <v>Y</v>
      </c>
      <c r="O482" s="2">
        <f t="shared" si="95"/>
        <v>3</v>
      </c>
    </row>
    <row r="483" spans="1:15">
      <c r="A483" s="27">
        <v>473</v>
      </c>
      <c r="B483" s="27">
        <v>36</v>
      </c>
      <c r="C483" s="27">
        <v>1</v>
      </c>
      <c r="D483" s="28">
        <f t="shared" si="84"/>
        <v>36</v>
      </c>
      <c r="E483" s="28">
        <f t="shared" si="85"/>
        <v>37.632427290462147</v>
      </c>
      <c r="F483" s="28">
        <f t="shared" si="86"/>
        <v>23.186666666666667</v>
      </c>
      <c r="G483" s="28">
        <f t="shared" si="87"/>
        <v>8.7409060428711882</v>
      </c>
      <c r="H483" s="28">
        <f t="shared" si="88"/>
        <v>2.6609882996870726</v>
      </c>
      <c r="I483" s="28">
        <f t="shared" si="89"/>
        <v>3.119674929235714</v>
      </c>
      <c r="J483" s="28">
        <f t="shared" si="90"/>
        <v>68.252743918461903</v>
      </c>
      <c r="K483" s="28">
        <f t="shared" si="91"/>
        <v>23.186666666666667</v>
      </c>
      <c r="L483" s="28">
        <f t="shared" si="92"/>
        <v>0</v>
      </c>
      <c r="M483" s="2" t="str">
        <f t="shared" si="93"/>
        <v/>
      </c>
      <c r="N483" s="2" t="str">
        <f t="shared" si="94"/>
        <v/>
      </c>
      <c r="O483" s="2">
        <f t="shared" si="95"/>
        <v>57</v>
      </c>
    </row>
    <row r="484" spans="1:15">
      <c r="A484" s="27">
        <v>474</v>
      </c>
      <c r="B484" s="27">
        <v>39</v>
      </c>
      <c r="C484" s="27">
        <v>1</v>
      </c>
      <c r="D484" s="28">
        <f t="shared" si="84"/>
        <v>39</v>
      </c>
      <c r="E484" s="28">
        <f t="shared" si="85"/>
        <v>37.632427290462147</v>
      </c>
      <c r="F484" s="28">
        <f t="shared" si="86"/>
        <v>23.186666666666667</v>
      </c>
      <c r="G484" s="28">
        <f t="shared" si="87"/>
        <v>8.7409060428711882</v>
      </c>
      <c r="H484" s="28">
        <f t="shared" si="88"/>
        <v>3.2840084530997586</v>
      </c>
      <c r="I484" s="28">
        <f t="shared" si="89"/>
        <v>3.119674929235714</v>
      </c>
      <c r="J484" s="28">
        <f t="shared" si="90"/>
        <v>68.252743918461903</v>
      </c>
      <c r="K484" s="28">
        <f t="shared" si="91"/>
        <v>23.186666666666667</v>
      </c>
      <c r="L484" s="28">
        <f t="shared" si="92"/>
        <v>0</v>
      </c>
      <c r="M484" s="2" t="str">
        <f t="shared" si="93"/>
        <v>Y</v>
      </c>
      <c r="N484" s="2" t="str">
        <f t="shared" si="94"/>
        <v/>
      </c>
      <c r="O484" s="2">
        <f t="shared" si="95"/>
        <v>3</v>
      </c>
    </row>
    <row r="485" spans="1:15">
      <c r="A485" s="27">
        <v>475</v>
      </c>
      <c r="B485" s="27">
        <v>25</v>
      </c>
      <c r="C485" s="27">
        <v>1</v>
      </c>
      <c r="D485" s="28">
        <f t="shared" si="84"/>
        <v>25</v>
      </c>
      <c r="E485" s="28">
        <f t="shared" si="85"/>
        <v>37.632427290462147</v>
      </c>
      <c r="F485" s="28">
        <f t="shared" si="86"/>
        <v>23.186666666666667</v>
      </c>
      <c r="G485" s="28">
        <f t="shared" si="87"/>
        <v>8.7409060428711882</v>
      </c>
      <c r="H485" s="28">
        <f t="shared" si="88"/>
        <v>0.37658107050722345</v>
      </c>
      <c r="I485" s="28">
        <f t="shared" si="89"/>
        <v>3.119674929235714</v>
      </c>
      <c r="J485" s="28">
        <f t="shared" si="90"/>
        <v>68.252743918461903</v>
      </c>
      <c r="K485" s="28">
        <f t="shared" si="91"/>
        <v>23.186666666666667</v>
      </c>
      <c r="L485" s="28">
        <f t="shared" si="92"/>
        <v>0</v>
      </c>
      <c r="M485" s="2" t="str">
        <f t="shared" si="93"/>
        <v/>
      </c>
      <c r="N485" s="2" t="str">
        <f t="shared" si="94"/>
        <v/>
      </c>
      <c r="O485" s="2">
        <f t="shared" si="95"/>
        <v>14</v>
      </c>
    </row>
    <row r="486" spans="1:15">
      <c r="A486" s="27">
        <v>476</v>
      </c>
      <c r="B486" s="27">
        <v>18</v>
      </c>
      <c r="C486" s="27">
        <v>1</v>
      </c>
      <c r="D486" s="28">
        <f t="shared" si="84"/>
        <v>18</v>
      </c>
      <c r="E486" s="28">
        <f t="shared" si="85"/>
        <v>37.632427290462147</v>
      </c>
      <c r="F486" s="28">
        <f t="shared" si="86"/>
        <v>23.186666666666667</v>
      </c>
      <c r="G486" s="28">
        <f t="shared" si="87"/>
        <v>8.7409060428711882</v>
      </c>
      <c r="H486" s="28">
        <f t="shared" si="88"/>
        <v>-1.0771326207890441</v>
      </c>
      <c r="I486" s="28">
        <f t="shared" si="89"/>
        <v>3.119674929235714</v>
      </c>
      <c r="J486" s="28">
        <f t="shared" si="90"/>
        <v>68.252743918461903</v>
      </c>
      <c r="K486" s="28">
        <f t="shared" si="91"/>
        <v>23.186666666666667</v>
      </c>
      <c r="L486" s="28">
        <f t="shared" si="92"/>
        <v>0</v>
      </c>
      <c r="M486" s="2" t="str">
        <f t="shared" si="93"/>
        <v/>
      </c>
      <c r="N486" s="2" t="str">
        <f t="shared" si="94"/>
        <v/>
      </c>
      <c r="O486" s="2">
        <f t="shared" si="95"/>
        <v>7</v>
      </c>
    </row>
    <row r="487" spans="1:15">
      <c r="A487" s="27">
        <v>477</v>
      </c>
      <c r="B487" s="27">
        <v>46</v>
      </c>
      <c r="C487" s="27">
        <v>1</v>
      </c>
      <c r="D487" s="28">
        <f t="shared" si="84"/>
        <v>46</v>
      </c>
      <c r="E487" s="28">
        <f t="shared" si="85"/>
        <v>37.632427290462147</v>
      </c>
      <c r="F487" s="28">
        <f t="shared" si="86"/>
        <v>23.186666666666667</v>
      </c>
      <c r="G487" s="28">
        <f t="shared" si="87"/>
        <v>8.7409060428711882</v>
      </c>
      <c r="H487" s="28">
        <f t="shared" si="88"/>
        <v>4.7377221443960265</v>
      </c>
      <c r="I487" s="28">
        <f t="shared" si="89"/>
        <v>3.119674929235714</v>
      </c>
      <c r="J487" s="28">
        <f t="shared" si="90"/>
        <v>68.252743918461903</v>
      </c>
      <c r="K487" s="28">
        <f t="shared" si="91"/>
        <v>23.186666666666667</v>
      </c>
      <c r="L487" s="28">
        <f t="shared" si="92"/>
        <v>0</v>
      </c>
      <c r="M487" s="2" t="str">
        <f t="shared" si="93"/>
        <v>Y</v>
      </c>
      <c r="N487" s="2" t="str">
        <f t="shared" si="94"/>
        <v/>
      </c>
      <c r="O487" s="2">
        <f t="shared" si="95"/>
        <v>28</v>
      </c>
    </row>
    <row r="488" spans="1:15">
      <c r="A488" s="27">
        <v>478</v>
      </c>
      <c r="B488" s="27">
        <v>20</v>
      </c>
      <c r="C488" s="27">
        <v>1</v>
      </c>
      <c r="D488" s="28">
        <f t="shared" si="84"/>
        <v>20</v>
      </c>
      <c r="E488" s="28">
        <f t="shared" si="85"/>
        <v>37.632427290462147</v>
      </c>
      <c r="F488" s="28">
        <f t="shared" si="86"/>
        <v>23.186666666666667</v>
      </c>
      <c r="G488" s="28">
        <f t="shared" si="87"/>
        <v>8.7409060428711882</v>
      </c>
      <c r="H488" s="28">
        <f t="shared" si="88"/>
        <v>-0.66178585184725336</v>
      </c>
      <c r="I488" s="28">
        <f t="shared" si="89"/>
        <v>3.119674929235714</v>
      </c>
      <c r="J488" s="28">
        <f t="shared" si="90"/>
        <v>68.252743918461903</v>
      </c>
      <c r="K488" s="28">
        <f t="shared" si="91"/>
        <v>23.186666666666667</v>
      </c>
      <c r="L488" s="28">
        <f t="shared" si="92"/>
        <v>0</v>
      </c>
      <c r="M488" s="2" t="str">
        <f t="shared" si="93"/>
        <v/>
      </c>
      <c r="N488" s="2" t="str">
        <f t="shared" si="94"/>
        <v/>
      </c>
      <c r="O488" s="2">
        <f t="shared" si="95"/>
        <v>26</v>
      </c>
    </row>
    <row r="489" spans="1:15">
      <c r="A489" s="27">
        <v>479</v>
      </c>
      <c r="B489" s="27">
        <v>21</v>
      </c>
      <c r="C489" s="27">
        <v>1</v>
      </c>
      <c r="D489" s="28">
        <f t="shared" si="84"/>
        <v>21</v>
      </c>
      <c r="E489" s="28">
        <f t="shared" si="85"/>
        <v>37.632427290462147</v>
      </c>
      <c r="F489" s="28">
        <f t="shared" si="86"/>
        <v>23.186666666666667</v>
      </c>
      <c r="G489" s="28">
        <f t="shared" si="87"/>
        <v>8.7409060428711882</v>
      </c>
      <c r="H489" s="28">
        <f t="shared" si="88"/>
        <v>-0.45411246737635802</v>
      </c>
      <c r="I489" s="28">
        <f t="shared" si="89"/>
        <v>3.119674929235714</v>
      </c>
      <c r="J489" s="28">
        <f t="shared" si="90"/>
        <v>68.252743918461903</v>
      </c>
      <c r="K489" s="28">
        <f t="shared" si="91"/>
        <v>23.186666666666667</v>
      </c>
      <c r="L489" s="28">
        <f t="shared" si="92"/>
        <v>0</v>
      </c>
      <c r="M489" s="2" t="str">
        <f t="shared" si="93"/>
        <v/>
      </c>
      <c r="N489" s="2" t="str">
        <f t="shared" si="94"/>
        <v/>
      </c>
      <c r="O489" s="2">
        <f t="shared" si="95"/>
        <v>1</v>
      </c>
    </row>
    <row r="490" spans="1:15">
      <c r="A490" s="27">
        <v>480</v>
      </c>
      <c r="B490" s="27">
        <v>23</v>
      </c>
      <c r="C490" s="27">
        <v>1</v>
      </c>
      <c r="D490" s="28">
        <f t="shared" si="84"/>
        <v>23</v>
      </c>
      <c r="E490" s="28">
        <f t="shared" si="85"/>
        <v>37.632427290462147</v>
      </c>
      <c r="F490" s="28">
        <f t="shared" si="86"/>
        <v>23.186666666666667</v>
      </c>
      <c r="G490" s="28">
        <f t="shared" si="87"/>
        <v>8.7409060428711882</v>
      </c>
      <c r="H490" s="28">
        <f t="shared" si="88"/>
        <v>-3.8765698434567293E-2</v>
      </c>
      <c r="I490" s="28">
        <f t="shared" si="89"/>
        <v>3.119674929235714</v>
      </c>
      <c r="J490" s="28">
        <f t="shared" si="90"/>
        <v>68.252743918461903</v>
      </c>
      <c r="K490" s="28">
        <f t="shared" si="91"/>
        <v>23.186666666666667</v>
      </c>
      <c r="L490" s="28">
        <f t="shared" si="92"/>
        <v>0</v>
      </c>
      <c r="M490" s="2" t="str">
        <f t="shared" si="93"/>
        <v/>
      </c>
      <c r="N490" s="2" t="str">
        <f t="shared" si="94"/>
        <v/>
      </c>
      <c r="O490" s="2">
        <f t="shared" si="95"/>
        <v>2</v>
      </c>
    </row>
    <row r="491" spans="1:15">
      <c r="A491" s="27">
        <v>481</v>
      </c>
      <c r="B491" s="27">
        <v>49</v>
      </c>
      <c r="C491" s="27">
        <v>1</v>
      </c>
      <c r="D491" s="28">
        <f t="shared" si="84"/>
        <v>49</v>
      </c>
      <c r="E491" s="28">
        <f t="shared" si="85"/>
        <v>37.632427290462147</v>
      </c>
      <c r="F491" s="28">
        <f t="shared" si="86"/>
        <v>23.186666666666667</v>
      </c>
      <c r="G491" s="28">
        <f t="shared" si="87"/>
        <v>8.7409060428711882</v>
      </c>
      <c r="H491" s="28">
        <f t="shared" si="88"/>
        <v>5.360742297808712</v>
      </c>
      <c r="I491" s="28">
        <f t="shared" si="89"/>
        <v>3.119674929235714</v>
      </c>
      <c r="J491" s="28">
        <f t="shared" si="90"/>
        <v>68.252743918461903</v>
      </c>
      <c r="K491" s="28">
        <f t="shared" si="91"/>
        <v>23.186666666666667</v>
      </c>
      <c r="L491" s="28">
        <f t="shared" si="92"/>
        <v>0</v>
      </c>
      <c r="M491" s="2" t="str">
        <f t="shared" si="93"/>
        <v>Y</v>
      </c>
      <c r="N491" s="2" t="str">
        <f t="shared" si="94"/>
        <v/>
      </c>
      <c r="O491" s="2">
        <f t="shared" si="95"/>
        <v>26</v>
      </c>
    </row>
    <row r="492" spans="1:15">
      <c r="A492" s="27">
        <v>482</v>
      </c>
      <c r="B492" s="27">
        <v>32</v>
      </c>
      <c r="C492" s="27">
        <v>1</v>
      </c>
      <c r="D492" s="28">
        <f t="shared" si="84"/>
        <v>32</v>
      </c>
      <c r="E492" s="28">
        <f t="shared" si="85"/>
        <v>37.632427290462147</v>
      </c>
      <c r="F492" s="28">
        <f t="shared" si="86"/>
        <v>23.186666666666667</v>
      </c>
      <c r="G492" s="28">
        <f t="shared" si="87"/>
        <v>8.7409060428711882</v>
      </c>
      <c r="H492" s="28">
        <f t="shared" si="88"/>
        <v>1.830294761803491</v>
      </c>
      <c r="I492" s="28">
        <f t="shared" si="89"/>
        <v>3.119674929235714</v>
      </c>
      <c r="J492" s="28">
        <f t="shared" si="90"/>
        <v>68.252743918461903</v>
      </c>
      <c r="K492" s="28">
        <f t="shared" si="91"/>
        <v>23.186666666666667</v>
      </c>
      <c r="L492" s="28">
        <f t="shared" si="92"/>
        <v>0</v>
      </c>
      <c r="M492" s="2" t="str">
        <f t="shared" si="93"/>
        <v/>
      </c>
      <c r="N492" s="2" t="str">
        <f t="shared" si="94"/>
        <v/>
      </c>
      <c r="O492" s="2">
        <f t="shared" si="95"/>
        <v>17</v>
      </c>
    </row>
    <row r="493" spans="1:15">
      <c r="A493" s="27">
        <v>483</v>
      </c>
      <c r="B493" s="27">
        <v>33</v>
      </c>
      <c r="C493" s="27">
        <v>1</v>
      </c>
      <c r="D493" s="28">
        <f t="shared" si="84"/>
        <v>33</v>
      </c>
      <c r="E493" s="28">
        <f t="shared" si="85"/>
        <v>37.632427290462147</v>
      </c>
      <c r="F493" s="28">
        <f t="shared" si="86"/>
        <v>23.186666666666667</v>
      </c>
      <c r="G493" s="28">
        <f t="shared" si="87"/>
        <v>8.7409060428711882</v>
      </c>
      <c r="H493" s="28">
        <f t="shared" si="88"/>
        <v>2.0379681462743862</v>
      </c>
      <c r="I493" s="28">
        <f t="shared" si="89"/>
        <v>3.119674929235714</v>
      </c>
      <c r="J493" s="28">
        <f t="shared" si="90"/>
        <v>68.252743918461903</v>
      </c>
      <c r="K493" s="28">
        <f t="shared" si="91"/>
        <v>23.186666666666667</v>
      </c>
      <c r="L493" s="28">
        <f t="shared" si="92"/>
        <v>0</v>
      </c>
      <c r="M493" s="2" t="str">
        <f t="shared" si="93"/>
        <v/>
      </c>
      <c r="N493" s="2" t="str">
        <f t="shared" si="94"/>
        <v/>
      </c>
      <c r="O493" s="2">
        <f t="shared" si="95"/>
        <v>1</v>
      </c>
    </row>
    <row r="494" spans="1:15">
      <c r="A494" s="27">
        <v>484</v>
      </c>
      <c r="B494" s="27">
        <v>27</v>
      </c>
      <c r="C494" s="27">
        <v>1</v>
      </c>
      <c r="D494" s="28">
        <f t="shared" si="84"/>
        <v>27</v>
      </c>
      <c r="E494" s="28">
        <f t="shared" si="85"/>
        <v>37.632427290462147</v>
      </c>
      <c r="F494" s="28">
        <f t="shared" si="86"/>
        <v>23.186666666666667</v>
      </c>
      <c r="G494" s="28">
        <f t="shared" si="87"/>
        <v>8.7409060428711882</v>
      </c>
      <c r="H494" s="28">
        <f t="shared" si="88"/>
        <v>0.79192783944901413</v>
      </c>
      <c r="I494" s="28">
        <f t="shared" si="89"/>
        <v>3.119674929235714</v>
      </c>
      <c r="J494" s="28">
        <f t="shared" si="90"/>
        <v>68.252743918461903</v>
      </c>
      <c r="K494" s="28">
        <f t="shared" si="91"/>
        <v>23.186666666666667</v>
      </c>
      <c r="L494" s="28">
        <f t="shared" si="92"/>
        <v>0</v>
      </c>
      <c r="M494" s="2" t="str">
        <f t="shared" si="93"/>
        <v/>
      </c>
      <c r="N494" s="2" t="str">
        <f t="shared" si="94"/>
        <v/>
      </c>
      <c r="O494" s="2">
        <f t="shared" si="95"/>
        <v>6</v>
      </c>
    </row>
    <row r="495" spans="1:15">
      <c r="A495" s="27">
        <v>485</v>
      </c>
      <c r="B495" s="27">
        <v>29</v>
      </c>
      <c r="C495" s="27">
        <v>1</v>
      </c>
      <c r="D495" s="28">
        <f t="shared" si="84"/>
        <v>29</v>
      </c>
      <c r="E495" s="28">
        <f t="shared" si="85"/>
        <v>37.632427290462147</v>
      </c>
      <c r="F495" s="28">
        <f t="shared" si="86"/>
        <v>23.186666666666667</v>
      </c>
      <c r="G495" s="28">
        <f t="shared" si="87"/>
        <v>8.7409060428711882</v>
      </c>
      <c r="H495" s="28">
        <f t="shared" si="88"/>
        <v>1.2072746083908048</v>
      </c>
      <c r="I495" s="28">
        <f t="shared" si="89"/>
        <v>3.119674929235714</v>
      </c>
      <c r="J495" s="28">
        <f t="shared" si="90"/>
        <v>68.252743918461903</v>
      </c>
      <c r="K495" s="28">
        <f t="shared" si="91"/>
        <v>23.186666666666667</v>
      </c>
      <c r="L495" s="28">
        <f t="shared" si="92"/>
        <v>0</v>
      </c>
      <c r="M495" s="2" t="str">
        <f t="shared" si="93"/>
        <v/>
      </c>
      <c r="N495" s="2" t="str">
        <f t="shared" si="94"/>
        <v/>
      </c>
      <c r="O495" s="2">
        <f t="shared" si="95"/>
        <v>2</v>
      </c>
    </row>
    <row r="496" spans="1:15">
      <c r="A496" s="27">
        <v>486</v>
      </c>
      <c r="B496" s="27">
        <v>15</v>
      </c>
      <c r="C496" s="27">
        <v>1</v>
      </c>
      <c r="D496" s="28">
        <f t="shared" si="84"/>
        <v>15</v>
      </c>
      <c r="E496" s="28">
        <f t="shared" si="85"/>
        <v>37.632427290462147</v>
      </c>
      <c r="F496" s="28">
        <f t="shared" si="86"/>
        <v>23.186666666666667</v>
      </c>
      <c r="G496" s="28">
        <f t="shared" si="87"/>
        <v>8.7409060428711882</v>
      </c>
      <c r="H496" s="28">
        <f t="shared" si="88"/>
        <v>-1.7001527742017302</v>
      </c>
      <c r="I496" s="28">
        <f t="shared" si="89"/>
        <v>3.119674929235714</v>
      </c>
      <c r="J496" s="28">
        <f t="shared" si="90"/>
        <v>68.252743918461903</v>
      </c>
      <c r="K496" s="28">
        <f t="shared" si="91"/>
        <v>23.186666666666667</v>
      </c>
      <c r="L496" s="28">
        <f t="shared" si="92"/>
        <v>0</v>
      </c>
      <c r="M496" s="2" t="str">
        <f t="shared" si="93"/>
        <v/>
      </c>
      <c r="N496" s="2" t="str">
        <f t="shared" si="94"/>
        <v/>
      </c>
      <c r="O496" s="2">
        <f t="shared" si="95"/>
        <v>14</v>
      </c>
    </row>
    <row r="497" spans="1:15">
      <c r="A497" s="27">
        <v>487</v>
      </c>
      <c r="B497" s="27">
        <v>19</v>
      </c>
      <c r="C497" s="27">
        <v>1</v>
      </c>
      <c r="D497" s="28">
        <f t="shared" si="84"/>
        <v>19</v>
      </c>
      <c r="E497" s="28">
        <f t="shared" si="85"/>
        <v>37.632427290462147</v>
      </c>
      <c r="F497" s="28">
        <f t="shared" si="86"/>
        <v>23.186666666666667</v>
      </c>
      <c r="G497" s="28">
        <f t="shared" si="87"/>
        <v>8.7409060428711882</v>
      </c>
      <c r="H497" s="28">
        <f t="shared" si="88"/>
        <v>-0.8694592363181487</v>
      </c>
      <c r="I497" s="28">
        <f t="shared" si="89"/>
        <v>3.119674929235714</v>
      </c>
      <c r="J497" s="28">
        <f t="shared" si="90"/>
        <v>68.252743918461903</v>
      </c>
      <c r="K497" s="28">
        <f t="shared" si="91"/>
        <v>23.186666666666667</v>
      </c>
      <c r="L497" s="28">
        <f t="shared" si="92"/>
        <v>0</v>
      </c>
      <c r="M497" s="2" t="str">
        <f t="shared" si="93"/>
        <v/>
      </c>
      <c r="N497" s="2" t="str">
        <f t="shared" si="94"/>
        <v/>
      </c>
      <c r="O497" s="2">
        <f t="shared" si="95"/>
        <v>4</v>
      </c>
    </row>
    <row r="498" spans="1:15">
      <c r="A498" s="27">
        <v>488</v>
      </c>
      <c r="B498" s="27">
        <v>46</v>
      </c>
      <c r="C498" s="27">
        <v>1</v>
      </c>
      <c r="D498" s="28">
        <f t="shared" si="84"/>
        <v>46</v>
      </c>
      <c r="E498" s="28">
        <f t="shared" si="85"/>
        <v>37.632427290462147</v>
      </c>
      <c r="F498" s="28">
        <f t="shared" si="86"/>
        <v>23.186666666666667</v>
      </c>
      <c r="G498" s="28">
        <f t="shared" si="87"/>
        <v>8.7409060428711882</v>
      </c>
      <c r="H498" s="28">
        <f t="shared" si="88"/>
        <v>4.7377221443960265</v>
      </c>
      <c r="I498" s="28">
        <f t="shared" si="89"/>
        <v>3.119674929235714</v>
      </c>
      <c r="J498" s="28">
        <f t="shared" si="90"/>
        <v>68.252743918461903</v>
      </c>
      <c r="K498" s="28">
        <f t="shared" si="91"/>
        <v>23.186666666666667</v>
      </c>
      <c r="L498" s="28">
        <f t="shared" si="92"/>
        <v>0</v>
      </c>
      <c r="M498" s="2" t="str">
        <f t="shared" si="93"/>
        <v>Y</v>
      </c>
      <c r="N498" s="2" t="str">
        <f t="shared" si="94"/>
        <v/>
      </c>
      <c r="O498" s="2">
        <f t="shared" si="95"/>
        <v>27</v>
      </c>
    </row>
    <row r="499" spans="1:15">
      <c r="A499" s="27">
        <v>489</v>
      </c>
      <c r="B499" s="27">
        <v>23</v>
      </c>
      <c r="C499" s="27">
        <v>1</v>
      </c>
      <c r="D499" s="28">
        <f t="shared" si="84"/>
        <v>23</v>
      </c>
      <c r="E499" s="28">
        <f t="shared" si="85"/>
        <v>37.632427290462147</v>
      </c>
      <c r="F499" s="28">
        <f t="shared" si="86"/>
        <v>23.186666666666667</v>
      </c>
      <c r="G499" s="28">
        <f t="shared" si="87"/>
        <v>8.7409060428711882</v>
      </c>
      <c r="H499" s="28">
        <f t="shared" si="88"/>
        <v>-3.8765698434567293E-2</v>
      </c>
      <c r="I499" s="28">
        <f t="shared" si="89"/>
        <v>3.119674929235714</v>
      </c>
      <c r="J499" s="28">
        <f t="shared" si="90"/>
        <v>68.252743918461903</v>
      </c>
      <c r="K499" s="28">
        <f t="shared" si="91"/>
        <v>23.186666666666667</v>
      </c>
      <c r="L499" s="28">
        <f t="shared" si="92"/>
        <v>0</v>
      </c>
      <c r="M499" s="2" t="str">
        <f t="shared" si="93"/>
        <v/>
      </c>
      <c r="N499" s="2" t="str">
        <f t="shared" si="94"/>
        <v/>
      </c>
      <c r="O499" s="2">
        <f t="shared" si="95"/>
        <v>23</v>
      </c>
    </row>
    <row r="500" spans="1:15">
      <c r="A500" s="27">
        <v>490</v>
      </c>
      <c r="B500" s="27">
        <v>17</v>
      </c>
      <c r="C500" s="27">
        <v>1</v>
      </c>
      <c r="D500" s="28">
        <f t="shared" si="84"/>
        <v>17</v>
      </c>
      <c r="E500" s="28">
        <f t="shared" si="85"/>
        <v>37.632427290462147</v>
      </c>
      <c r="F500" s="28">
        <f t="shared" si="86"/>
        <v>23.186666666666667</v>
      </c>
      <c r="G500" s="28">
        <f t="shared" si="87"/>
        <v>8.7409060428711882</v>
      </c>
      <c r="H500" s="28">
        <f t="shared" si="88"/>
        <v>-1.2848060052599395</v>
      </c>
      <c r="I500" s="28">
        <f t="shared" si="89"/>
        <v>3.119674929235714</v>
      </c>
      <c r="J500" s="28">
        <f t="shared" si="90"/>
        <v>68.252743918461903</v>
      </c>
      <c r="K500" s="28">
        <f t="shared" si="91"/>
        <v>23.186666666666667</v>
      </c>
      <c r="L500" s="28">
        <f t="shared" si="92"/>
        <v>0</v>
      </c>
      <c r="M500" s="2" t="str">
        <f t="shared" si="93"/>
        <v/>
      </c>
      <c r="N500" s="2" t="str">
        <f t="shared" si="94"/>
        <v/>
      </c>
      <c r="O500" s="2">
        <f t="shared" si="95"/>
        <v>6</v>
      </c>
    </row>
    <row r="501" spans="1:15">
      <c r="A501" s="27">
        <v>491</v>
      </c>
      <c r="B501" s="27">
        <v>36</v>
      </c>
      <c r="C501" s="27">
        <v>1</v>
      </c>
      <c r="D501" s="28">
        <f t="shared" si="84"/>
        <v>36</v>
      </c>
      <c r="E501" s="28">
        <f t="shared" si="85"/>
        <v>37.632427290462147</v>
      </c>
      <c r="F501" s="28">
        <f t="shared" si="86"/>
        <v>23.186666666666667</v>
      </c>
      <c r="G501" s="28">
        <f t="shared" si="87"/>
        <v>8.7409060428711882</v>
      </c>
      <c r="H501" s="28">
        <f t="shared" si="88"/>
        <v>2.6609882996870726</v>
      </c>
      <c r="I501" s="28">
        <f t="shared" si="89"/>
        <v>3.119674929235714</v>
      </c>
      <c r="J501" s="28">
        <f t="shared" si="90"/>
        <v>68.252743918461903</v>
      </c>
      <c r="K501" s="28">
        <f t="shared" si="91"/>
        <v>23.186666666666667</v>
      </c>
      <c r="L501" s="28">
        <f t="shared" si="92"/>
        <v>0</v>
      </c>
      <c r="M501" s="2" t="str">
        <f t="shared" si="93"/>
        <v/>
      </c>
      <c r="N501" s="2" t="str">
        <f t="shared" si="94"/>
        <v/>
      </c>
      <c r="O501" s="2">
        <f t="shared" si="95"/>
        <v>19</v>
      </c>
    </row>
    <row r="502" spans="1:15">
      <c r="A502" s="27">
        <v>492</v>
      </c>
      <c r="B502" s="27">
        <v>30</v>
      </c>
      <c r="C502" s="27">
        <v>1</v>
      </c>
      <c r="D502" s="28">
        <f t="shared" si="84"/>
        <v>30</v>
      </c>
      <c r="E502" s="28">
        <f t="shared" si="85"/>
        <v>37.632427290462147</v>
      </c>
      <c r="F502" s="28">
        <f t="shared" si="86"/>
        <v>23.186666666666667</v>
      </c>
      <c r="G502" s="28">
        <f t="shared" si="87"/>
        <v>8.7409060428711882</v>
      </c>
      <c r="H502" s="28">
        <f t="shared" si="88"/>
        <v>1.4149479928617004</v>
      </c>
      <c r="I502" s="28">
        <f t="shared" si="89"/>
        <v>3.119674929235714</v>
      </c>
      <c r="J502" s="28">
        <f t="shared" si="90"/>
        <v>68.252743918461903</v>
      </c>
      <c r="K502" s="28">
        <f t="shared" si="91"/>
        <v>23.186666666666667</v>
      </c>
      <c r="L502" s="28">
        <f t="shared" si="92"/>
        <v>0</v>
      </c>
      <c r="M502" s="2" t="str">
        <f t="shared" si="93"/>
        <v/>
      </c>
      <c r="N502" s="2" t="str">
        <f t="shared" si="94"/>
        <v/>
      </c>
      <c r="O502" s="2">
        <f t="shared" si="95"/>
        <v>6</v>
      </c>
    </row>
    <row r="503" spans="1:15">
      <c r="A503" s="27">
        <v>493</v>
      </c>
      <c r="B503" s="27">
        <v>18</v>
      </c>
      <c r="C503" s="27">
        <v>1</v>
      </c>
      <c r="D503" s="28">
        <f t="shared" si="84"/>
        <v>18</v>
      </c>
      <c r="E503" s="28">
        <f t="shared" si="85"/>
        <v>37.632427290462147</v>
      </c>
      <c r="F503" s="28">
        <f t="shared" si="86"/>
        <v>23.186666666666667</v>
      </c>
      <c r="G503" s="28">
        <f t="shared" si="87"/>
        <v>8.7409060428711882</v>
      </c>
      <c r="H503" s="28">
        <f t="shared" si="88"/>
        <v>-1.0771326207890441</v>
      </c>
      <c r="I503" s="28">
        <f t="shared" si="89"/>
        <v>3.119674929235714</v>
      </c>
      <c r="J503" s="28">
        <f t="shared" si="90"/>
        <v>68.252743918461903</v>
      </c>
      <c r="K503" s="28">
        <f t="shared" si="91"/>
        <v>23.186666666666667</v>
      </c>
      <c r="L503" s="28">
        <f t="shared" si="92"/>
        <v>0</v>
      </c>
      <c r="M503" s="2" t="str">
        <f t="shared" si="93"/>
        <v/>
      </c>
      <c r="N503" s="2" t="str">
        <f t="shared" si="94"/>
        <v/>
      </c>
      <c r="O503" s="2">
        <f t="shared" si="95"/>
        <v>12</v>
      </c>
    </row>
    <row r="504" spans="1:15">
      <c r="A504" s="27">
        <v>494</v>
      </c>
      <c r="B504" s="27">
        <v>37</v>
      </c>
      <c r="C504" s="27">
        <v>1</v>
      </c>
      <c r="D504" s="28">
        <f t="shared" si="84"/>
        <v>37</v>
      </c>
      <c r="E504" s="28">
        <f t="shared" si="85"/>
        <v>37.632427290462147</v>
      </c>
      <c r="F504" s="28">
        <f t="shared" si="86"/>
        <v>23.186666666666667</v>
      </c>
      <c r="G504" s="28">
        <f t="shared" si="87"/>
        <v>8.7409060428711882</v>
      </c>
      <c r="H504" s="28">
        <f t="shared" si="88"/>
        <v>2.868661684157968</v>
      </c>
      <c r="I504" s="28">
        <f t="shared" si="89"/>
        <v>3.119674929235714</v>
      </c>
      <c r="J504" s="28">
        <f t="shared" si="90"/>
        <v>68.252743918461903</v>
      </c>
      <c r="K504" s="28">
        <f t="shared" si="91"/>
        <v>23.186666666666667</v>
      </c>
      <c r="L504" s="28">
        <f t="shared" si="92"/>
        <v>0</v>
      </c>
      <c r="M504" s="2" t="str">
        <f t="shared" si="93"/>
        <v/>
      </c>
      <c r="N504" s="2" t="str">
        <f t="shared" si="94"/>
        <v/>
      </c>
      <c r="O504" s="2">
        <f t="shared" si="95"/>
        <v>19</v>
      </c>
    </row>
    <row r="505" spans="1:15">
      <c r="A505" s="27">
        <v>495</v>
      </c>
      <c r="B505" s="27">
        <v>27</v>
      </c>
      <c r="C505" s="27">
        <v>1</v>
      </c>
      <c r="D505" s="28">
        <f t="shared" si="84"/>
        <v>27</v>
      </c>
      <c r="E505" s="28">
        <f t="shared" si="85"/>
        <v>37.632427290462147</v>
      </c>
      <c r="F505" s="28">
        <f t="shared" si="86"/>
        <v>23.186666666666667</v>
      </c>
      <c r="G505" s="28">
        <f t="shared" si="87"/>
        <v>8.7409060428711882</v>
      </c>
      <c r="H505" s="28">
        <f t="shared" si="88"/>
        <v>0.79192783944901413</v>
      </c>
      <c r="I505" s="28">
        <f t="shared" si="89"/>
        <v>3.119674929235714</v>
      </c>
      <c r="J505" s="28">
        <f t="shared" si="90"/>
        <v>68.252743918461903</v>
      </c>
      <c r="K505" s="28">
        <f t="shared" si="91"/>
        <v>23.186666666666667</v>
      </c>
      <c r="L505" s="28">
        <f t="shared" si="92"/>
        <v>0</v>
      </c>
      <c r="M505" s="2" t="str">
        <f t="shared" si="93"/>
        <v/>
      </c>
      <c r="N505" s="2" t="str">
        <f t="shared" si="94"/>
        <v/>
      </c>
      <c r="O505" s="2">
        <f t="shared" si="95"/>
        <v>10</v>
      </c>
    </row>
    <row r="506" spans="1:15">
      <c r="A506" s="27">
        <v>496</v>
      </c>
      <c r="B506" s="27">
        <v>16</v>
      </c>
      <c r="C506" s="27">
        <v>1</v>
      </c>
      <c r="D506" s="28">
        <f t="shared" si="84"/>
        <v>16</v>
      </c>
      <c r="E506" s="28">
        <f t="shared" si="85"/>
        <v>37.632427290462147</v>
      </c>
      <c r="F506" s="28">
        <f t="shared" si="86"/>
        <v>23.186666666666667</v>
      </c>
      <c r="G506" s="28">
        <f t="shared" si="87"/>
        <v>8.7409060428711882</v>
      </c>
      <c r="H506" s="28">
        <f t="shared" si="88"/>
        <v>-1.4924793897308348</v>
      </c>
      <c r="I506" s="28">
        <f t="shared" si="89"/>
        <v>3.119674929235714</v>
      </c>
      <c r="J506" s="28">
        <f t="shared" si="90"/>
        <v>68.252743918461903</v>
      </c>
      <c r="K506" s="28">
        <f t="shared" si="91"/>
        <v>23.186666666666667</v>
      </c>
      <c r="L506" s="28">
        <f t="shared" si="92"/>
        <v>0</v>
      </c>
      <c r="M506" s="2" t="str">
        <f t="shared" si="93"/>
        <v/>
      </c>
      <c r="N506" s="2" t="str">
        <f t="shared" si="94"/>
        <v/>
      </c>
      <c r="O506" s="2">
        <f t="shared" si="95"/>
        <v>11</v>
      </c>
    </row>
    <row r="507" spans="1:15">
      <c r="A507" s="27">
        <v>497</v>
      </c>
      <c r="B507" s="27">
        <v>16</v>
      </c>
      <c r="C507" s="27">
        <v>1</v>
      </c>
      <c r="D507" s="28">
        <f t="shared" si="84"/>
        <v>16</v>
      </c>
      <c r="E507" s="28">
        <f t="shared" si="85"/>
        <v>37.632427290462147</v>
      </c>
      <c r="F507" s="28">
        <f t="shared" si="86"/>
        <v>23.186666666666667</v>
      </c>
      <c r="G507" s="28">
        <f t="shared" si="87"/>
        <v>8.7409060428711882</v>
      </c>
      <c r="H507" s="28">
        <f t="shared" si="88"/>
        <v>-1.4924793897308348</v>
      </c>
      <c r="I507" s="28">
        <f t="shared" si="89"/>
        <v>3.119674929235714</v>
      </c>
      <c r="J507" s="28">
        <f t="shared" si="90"/>
        <v>68.252743918461903</v>
      </c>
      <c r="K507" s="28">
        <f t="shared" si="91"/>
        <v>23.186666666666667</v>
      </c>
      <c r="L507" s="28">
        <f t="shared" si="92"/>
        <v>0</v>
      </c>
      <c r="M507" s="2" t="str">
        <f t="shared" si="93"/>
        <v/>
      </c>
      <c r="N507" s="2" t="str">
        <f t="shared" si="94"/>
        <v/>
      </c>
      <c r="O507" s="2">
        <f t="shared" si="95"/>
        <v>0</v>
      </c>
    </row>
    <row r="508" spans="1:15">
      <c r="A508" s="27">
        <v>498</v>
      </c>
      <c r="B508" s="27">
        <v>33</v>
      </c>
      <c r="C508" s="27">
        <v>1</v>
      </c>
      <c r="D508" s="28">
        <f t="shared" si="84"/>
        <v>33</v>
      </c>
      <c r="E508" s="28">
        <f t="shared" si="85"/>
        <v>37.632427290462147</v>
      </c>
      <c r="F508" s="28">
        <f t="shared" si="86"/>
        <v>23.186666666666667</v>
      </c>
      <c r="G508" s="28">
        <f t="shared" si="87"/>
        <v>8.7409060428711882</v>
      </c>
      <c r="H508" s="28">
        <f t="shared" si="88"/>
        <v>2.0379681462743862</v>
      </c>
      <c r="I508" s="28">
        <f t="shared" si="89"/>
        <v>3.119674929235714</v>
      </c>
      <c r="J508" s="28">
        <f t="shared" si="90"/>
        <v>68.252743918461903</v>
      </c>
      <c r="K508" s="28">
        <f t="shared" si="91"/>
        <v>23.186666666666667</v>
      </c>
      <c r="L508" s="28">
        <f t="shared" si="92"/>
        <v>0</v>
      </c>
      <c r="M508" s="2" t="str">
        <f t="shared" si="93"/>
        <v/>
      </c>
      <c r="N508" s="2" t="str">
        <f t="shared" si="94"/>
        <v/>
      </c>
      <c r="O508" s="2">
        <f t="shared" si="95"/>
        <v>17</v>
      </c>
    </row>
    <row r="509" spans="1:15">
      <c r="A509" s="27">
        <v>499</v>
      </c>
      <c r="B509" s="27">
        <v>40</v>
      </c>
      <c r="C509" s="27">
        <v>1</v>
      </c>
      <c r="D509" s="28">
        <f t="shared" si="84"/>
        <v>40</v>
      </c>
      <c r="E509" s="28">
        <f t="shared" si="85"/>
        <v>37.632427290462147</v>
      </c>
      <c r="F509" s="28">
        <f t="shared" si="86"/>
        <v>23.186666666666667</v>
      </c>
      <c r="G509" s="28">
        <f t="shared" si="87"/>
        <v>8.7409060428711882</v>
      </c>
      <c r="H509" s="28">
        <f t="shared" si="88"/>
        <v>3.491681837570654</v>
      </c>
      <c r="I509" s="28">
        <f t="shared" si="89"/>
        <v>3.119674929235714</v>
      </c>
      <c r="J509" s="28">
        <f t="shared" si="90"/>
        <v>68.252743918461903</v>
      </c>
      <c r="K509" s="28">
        <f t="shared" si="91"/>
        <v>23.186666666666667</v>
      </c>
      <c r="L509" s="28">
        <f t="shared" si="92"/>
        <v>0</v>
      </c>
      <c r="M509" s="2" t="str">
        <f t="shared" si="93"/>
        <v>Y</v>
      </c>
      <c r="N509" s="2" t="str">
        <f t="shared" si="94"/>
        <v/>
      </c>
      <c r="O509" s="2">
        <f t="shared" si="95"/>
        <v>7</v>
      </c>
    </row>
    <row r="510" spans="1:15">
      <c r="A510" s="27">
        <v>500</v>
      </c>
      <c r="B510" s="27">
        <v>49</v>
      </c>
      <c r="C510" s="27">
        <v>1</v>
      </c>
      <c r="D510" s="28">
        <f t="shared" si="84"/>
        <v>49</v>
      </c>
      <c r="E510" s="28">
        <f t="shared" si="85"/>
        <v>37.632427290462147</v>
      </c>
      <c r="F510" s="28">
        <f t="shared" si="86"/>
        <v>23.186666666666667</v>
      </c>
      <c r="G510" s="28">
        <f t="shared" si="87"/>
        <v>8.7409060428711882</v>
      </c>
      <c r="H510" s="28">
        <f t="shared" si="88"/>
        <v>5.360742297808712</v>
      </c>
      <c r="I510" s="28">
        <f t="shared" si="89"/>
        <v>3.119674929235714</v>
      </c>
      <c r="J510" s="28">
        <f t="shared" si="90"/>
        <v>68.252743918461903</v>
      </c>
      <c r="K510" s="28">
        <f t="shared" si="91"/>
        <v>23.186666666666667</v>
      </c>
      <c r="L510" s="28">
        <f t="shared" si="92"/>
        <v>0</v>
      </c>
      <c r="M510" s="2" t="str">
        <f t="shared" si="93"/>
        <v>Y</v>
      </c>
      <c r="N510" s="2" t="str">
        <f t="shared" si="94"/>
        <v/>
      </c>
      <c r="O510" s="2">
        <f t="shared" si="95"/>
        <v>9</v>
      </c>
    </row>
    <row r="511" spans="1:15">
      <c r="A511" s="27">
        <v>501</v>
      </c>
      <c r="B511" s="27">
        <v>20</v>
      </c>
      <c r="C511" s="27">
        <v>1</v>
      </c>
      <c r="D511" s="28">
        <f t="shared" si="84"/>
        <v>20</v>
      </c>
      <c r="E511" s="28">
        <f t="shared" si="85"/>
        <v>37.632427290462147</v>
      </c>
      <c r="F511" s="28">
        <f t="shared" si="86"/>
        <v>23.186666666666667</v>
      </c>
      <c r="G511" s="28">
        <f t="shared" si="87"/>
        <v>8.7409060428711882</v>
      </c>
      <c r="H511" s="28">
        <f t="shared" si="88"/>
        <v>-0.66178585184725336</v>
      </c>
      <c r="I511" s="28">
        <f t="shared" si="89"/>
        <v>3.119674929235714</v>
      </c>
      <c r="J511" s="28">
        <f t="shared" si="90"/>
        <v>68.252743918461903</v>
      </c>
      <c r="K511" s="28">
        <f t="shared" si="91"/>
        <v>23.186666666666667</v>
      </c>
      <c r="L511" s="28">
        <f t="shared" si="92"/>
        <v>0</v>
      </c>
      <c r="M511" s="2" t="str">
        <f t="shared" si="93"/>
        <v/>
      </c>
      <c r="N511" s="2" t="str">
        <f t="shared" si="94"/>
        <v/>
      </c>
      <c r="O511" s="2">
        <f t="shared" si="95"/>
        <v>29</v>
      </c>
    </row>
    <row r="512" spans="1:15">
      <c r="A512" s="27">
        <v>502</v>
      </c>
      <c r="B512" s="27">
        <v>29</v>
      </c>
      <c r="C512" s="27">
        <v>1</v>
      </c>
      <c r="D512" s="28">
        <f t="shared" si="84"/>
        <v>29</v>
      </c>
      <c r="E512" s="28">
        <f t="shared" si="85"/>
        <v>37.632427290462147</v>
      </c>
      <c r="F512" s="28">
        <f t="shared" si="86"/>
        <v>23.186666666666667</v>
      </c>
      <c r="G512" s="28">
        <f t="shared" si="87"/>
        <v>8.7409060428711882</v>
      </c>
      <c r="H512" s="28">
        <f t="shared" si="88"/>
        <v>1.2072746083908048</v>
      </c>
      <c r="I512" s="28">
        <f t="shared" si="89"/>
        <v>3.119674929235714</v>
      </c>
      <c r="J512" s="28">
        <f t="shared" si="90"/>
        <v>68.252743918461903</v>
      </c>
      <c r="K512" s="28">
        <f t="shared" si="91"/>
        <v>23.186666666666667</v>
      </c>
      <c r="L512" s="28">
        <f t="shared" si="92"/>
        <v>0</v>
      </c>
      <c r="M512" s="2" t="str">
        <f t="shared" si="93"/>
        <v/>
      </c>
      <c r="N512" s="2" t="str">
        <f t="shared" si="94"/>
        <v/>
      </c>
      <c r="O512" s="2">
        <f t="shared" si="95"/>
        <v>9</v>
      </c>
    </row>
    <row r="513" spans="1:15">
      <c r="A513" s="27">
        <v>503</v>
      </c>
      <c r="B513" s="27">
        <v>42</v>
      </c>
      <c r="C513" s="27">
        <v>1</v>
      </c>
      <c r="D513" s="28">
        <f t="shared" si="84"/>
        <v>42</v>
      </c>
      <c r="E513" s="28">
        <f t="shared" si="85"/>
        <v>37.632427290462147</v>
      </c>
      <c r="F513" s="28">
        <f t="shared" si="86"/>
        <v>23.186666666666667</v>
      </c>
      <c r="G513" s="28">
        <f t="shared" si="87"/>
        <v>8.7409060428711882</v>
      </c>
      <c r="H513" s="28">
        <f t="shared" si="88"/>
        <v>3.9070286065124447</v>
      </c>
      <c r="I513" s="28">
        <f t="shared" si="89"/>
        <v>3.119674929235714</v>
      </c>
      <c r="J513" s="28">
        <f t="shared" si="90"/>
        <v>68.252743918461903</v>
      </c>
      <c r="K513" s="28">
        <f t="shared" si="91"/>
        <v>23.186666666666667</v>
      </c>
      <c r="L513" s="28">
        <f t="shared" si="92"/>
        <v>0</v>
      </c>
      <c r="M513" s="2" t="str">
        <f t="shared" si="93"/>
        <v>Y</v>
      </c>
      <c r="N513" s="2" t="str">
        <f t="shared" si="94"/>
        <v/>
      </c>
      <c r="O513" s="2">
        <f t="shared" si="95"/>
        <v>13</v>
      </c>
    </row>
    <row r="514" spans="1:15">
      <c r="A514" s="27">
        <v>504</v>
      </c>
      <c r="B514" s="27">
        <v>7</v>
      </c>
      <c r="C514" s="27">
        <v>1</v>
      </c>
      <c r="D514" s="28">
        <f t="shared" si="84"/>
        <v>7</v>
      </c>
      <c r="E514" s="28">
        <f t="shared" si="85"/>
        <v>37.632427290462147</v>
      </c>
      <c r="F514" s="28">
        <f t="shared" si="86"/>
        <v>23.186666666666667</v>
      </c>
      <c r="G514" s="28">
        <f t="shared" si="87"/>
        <v>8.7409060428711882</v>
      </c>
      <c r="H514" s="28">
        <f t="shared" si="88"/>
        <v>-3.3615398499688931</v>
      </c>
      <c r="I514" s="28">
        <f t="shared" si="89"/>
        <v>3.119674929235714</v>
      </c>
      <c r="J514" s="28">
        <f t="shared" si="90"/>
        <v>68.252743918461903</v>
      </c>
      <c r="K514" s="28">
        <f t="shared" si="91"/>
        <v>23.186666666666667</v>
      </c>
      <c r="L514" s="28">
        <f t="shared" si="92"/>
        <v>0</v>
      </c>
      <c r="M514" s="2" t="str">
        <f t="shared" si="93"/>
        <v>Y</v>
      </c>
      <c r="N514" s="2" t="str">
        <f t="shared" si="94"/>
        <v/>
      </c>
      <c r="O514" s="2">
        <f t="shared" si="95"/>
        <v>35</v>
      </c>
    </row>
    <row r="515" spans="1:15">
      <c r="A515" s="27">
        <v>505</v>
      </c>
      <c r="B515" s="27">
        <v>27</v>
      </c>
      <c r="C515" s="27">
        <v>1</v>
      </c>
      <c r="D515" s="28">
        <f t="shared" si="84"/>
        <v>27</v>
      </c>
      <c r="E515" s="28">
        <f t="shared" si="85"/>
        <v>37.632427290462147</v>
      </c>
      <c r="F515" s="28">
        <f t="shared" si="86"/>
        <v>23.186666666666667</v>
      </c>
      <c r="G515" s="28">
        <f t="shared" si="87"/>
        <v>8.7409060428711882</v>
      </c>
      <c r="H515" s="28">
        <f t="shared" si="88"/>
        <v>0.79192783944901413</v>
      </c>
      <c r="I515" s="28">
        <f t="shared" si="89"/>
        <v>3.119674929235714</v>
      </c>
      <c r="J515" s="28">
        <f t="shared" si="90"/>
        <v>68.252743918461903</v>
      </c>
      <c r="K515" s="28">
        <f t="shared" si="91"/>
        <v>23.186666666666667</v>
      </c>
      <c r="L515" s="28">
        <f t="shared" si="92"/>
        <v>0</v>
      </c>
      <c r="M515" s="2" t="str">
        <f t="shared" si="93"/>
        <v/>
      </c>
      <c r="N515" s="2" t="str">
        <f t="shared" si="94"/>
        <v/>
      </c>
      <c r="O515" s="2">
        <f t="shared" si="95"/>
        <v>20</v>
      </c>
    </row>
    <row r="516" spans="1:15">
      <c r="A516" s="27">
        <v>506</v>
      </c>
      <c r="B516" s="27">
        <v>15</v>
      </c>
      <c r="C516" s="27">
        <v>1</v>
      </c>
      <c r="D516" s="28">
        <f t="shared" si="84"/>
        <v>15</v>
      </c>
      <c r="E516" s="28">
        <f t="shared" si="85"/>
        <v>37.632427290462147</v>
      </c>
      <c r="F516" s="28">
        <f t="shared" si="86"/>
        <v>23.186666666666667</v>
      </c>
      <c r="G516" s="28">
        <f t="shared" si="87"/>
        <v>8.7409060428711882</v>
      </c>
      <c r="H516" s="28">
        <f t="shared" si="88"/>
        <v>-1.7001527742017302</v>
      </c>
      <c r="I516" s="28">
        <f t="shared" si="89"/>
        <v>3.119674929235714</v>
      </c>
      <c r="J516" s="28">
        <f t="shared" si="90"/>
        <v>68.252743918461903</v>
      </c>
      <c r="K516" s="28">
        <f t="shared" si="91"/>
        <v>23.186666666666667</v>
      </c>
      <c r="L516" s="28">
        <f t="shared" si="92"/>
        <v>0</v>
      </c>
      <c r="M516" s="2" t="str">
        <f t="shared" si="93"/>
        <v/>
      </c>
      <c r="N516" s="2" t="str">
        <f t="shared" si="94"/>
        <v/>
      </c>
      <c r="O516" s="2">
        <f t="shared" si="95"/>
        <v>12</v>
      </c>
    </row>
    <row r="517" spans="1:15">
      <c r="A517" s="27">
        <v>507</v>
      </c>
      <c r="B517" s="27">
        <v>25</v>
      </c>
      <c r="C517" s="27">
        <v>1</v>
      </c>
      <c r="D517" s="28">
        <f t="shared" si="84"/>
        <v>25</v>
      </c>
      <c r="E517" s="28">
        <f t="shared" si="85"/>
        <v>37.632427290462147</v>
      </c>
      <c r="F517" s="28">
        <f t="shared" si="86"/>
        <v>23.186666666666667</v>
      </c>
      <c r="G517" s="28">
        <f t="shared" si="87"/>
        <v>8.7409060428711882</v>
      </c>
      <c r="H517" s="28">
        <f t="shared" si="88"/>
        <v>0.37658107050722345</v>
      </c>
      <c r="I517" s="28">
        <f t="shared" si="89"/>
        <v>3.119674929235714</v>
      </c>
      <c r="J517" s="28">
        <f t="shared" si="90"/>
        <v>68.252743918461903</v>
      </c>
      <c r="K517" s="28">
        <f t="shared" si="91"/>
        <v>23.186666666666667</v>
      </c>
      <c r="L517" s="28">
        <f t="shared" si="92"/>
        <v>0</v>
      </c>
      <c r="M517" s="2" t="str">
        <f t="shared" si="93"/>
        <v/>
      </c>
      <c r="N517" s="2" t="str">
        <f t="shared" si="94"/>
        <v/>
      </c>
      <c r="O517" s="2">
        <f t="shared" si="95"/>
        <v>10</v>
      </c>
    </row>
    <row r="518" spans="1:15">
      <c r="A518" s="27">
        <v>508</v>
      </c>
      <c r="B518" s="27">
        <v>14</v>
      </c>
      <c r="C518" s="27">
        <v>1</v>
      </c>
      <c r="D518" s="28">
        <f t="shared" si="84"/>
        <v>14</v>
      </c>
      <c r="E518" s="28">
        <f t="shared" si="85"/>
        <v>37.632427290462147</v>
      </c>
      <c r="F518" s="28">
        <f t="shared" si="86"/>
        <v>23.186666666666667</v>
      </c>
      <c r="G518" s="28">
        <f t="shared" si="87"/>
        <v>8.7409060428711882</v>
      </c>
      <c r="H518" s="28">
        <f t="shared" si="88"/>
        <v>-1.9078261586726255</v>
      </c>
      <c r="I518" s="28">
        <f t="shared" si="89"/>
        <v>3.119674929235714</v>
      </c>
      <c r="J518" s="28">
        <f t="shared" si="90"/>
        <v>68.252743918461903</v>
      </c>
      <c r="K518" s="28">
        <f t="shared" si="91"/>
        <v>23.186666666666667</v>
      </c>
      <c r="L518" s="28">
        <f t="shared" si="92"/>
        <v>0</v>
      </c>
      <c r="M518" s="2" t="str">
        <f t="shared" si="93"/>
        <v/>
      </c>
      <c r="N518" s="2" t="str">
        <f t="shared" si="94"/>
        <v/>
      </c>
      <c r="O518" s="2">
        <f t="shared" si="95"/>
        <v>11</v>
      </c>
    </row>
    <row r="519" spans="1:15">
      <c r="A519" s="27">
        <v>509</v>
      </c>
      <c r="B519" s="27">
        <v>17</v>
      </c>
      <c r="C519" s="27">
        <v>1</v>
      </c>
      <c r="D519" s="28">
        <f t="shared" si="84"/>
        <v>17</v>
      </c>
      <c r="E519" s="28">
        <f t="shared" si="85"/>
        <v>37.632427290462147</v>
      </c>
      <c r="F519" s="28">
        <f t="shared" si="86"/>
        <v>23.186666666666667</v>
      </c>
      <c r="G519" s="28">
        <f t="shared" si="87"/>
        <v>8.7409060428711882</v>
      </c>
      <c r="H519" s="28">
        <f t="shared" si="88"/>
        <v>-1.2848060052599395</v>
      </c>
      <c r="I519" s="28">
        <f t="shared" si="89"/>
        <v>3.119674929235714</v>
      </c>
      <c r="J519" s="28">
        <f t="shared" si="90"/>
        <v>68.252743918461903</v>
      </c>
      <c r="K519" s="28">
        <f t="shared" si="91"/>
        <v>23.186666666666667</v>
      </c>
      <c r="L519" s="28">
        <f t="shared" si="92"/>
        <v>0</v>
      </c>
      <c r="M519" s="2" t="str">
        <f t="shared" si="93"/>
        <v/>
      </c>
      <c r="N519" s="2" t="str">
        <f t="shared" si="94"/>
        <v/>
      </c>
      <c r="O519" s="2">
        <f t="shared" si="95"/>
        <v>3</v>
      </c>
    </row>
    <row r="520" spans="1:15">
      <c r="A520" s="27">
        <v>510</v>
      </c>
      <c r="B520" s="27">
        <v>12</v>
      </c>
      <c r="C520" s="27">
        <v>1</v>
      </c>
      <c r="D520" s="28">
        <f t="shared" si="84"/>
        <v>12</v>
      </c>
      <c r="E520" s="28">
        <f t="shared" si="85"/>
        <v>37.632427290462147</v>
      </c>
      <c r="F520" s="28">
        <f t="shared" si="86"/>
        <v>23.186666666666667</v>
      </c>
      <c r="G520" s="28">
        <f t="shared" si="87"/>
        <v>8.7409060428711882</v>
      </c>
      <c r="H520" s="28">
        <f t="shared" si="88"/>
        <v>-2.3231729276144164</v>
      </c>
      <c r="I520" s="28">
        <f t="shared" si="89"/>
        <v>3.119674929235714</v>
      </c>
      <c r="J520" s="28">
        <f t="shared" si="90"/>
        <v>68.252743918461903</v>
      </c>
      <c r="K520" s="28">
        <f t="shared" si="91"/>
        <v>23.186666666666667</v>
      </c>
      <c r="L520" s="28">
        <f t="shared" si="92"/>
        <v>0</v>
      </c>
      <c r="M520" s="2" t="str">
        <f t="shared" si="93"/>
        <v/>
      </c>
      <c r="N520" s="2" t="str">
        <f t="shared" si="94"/>
        <v/>
      </c>
      <c r="O520" s="2">
        <f t="shared" si="95"/>
        <v>5</v>
      </c>
    </row>
    <row r="521" spans="1:15">
      <c r="A521" s="27">
        <v>511</v>
      </c>
      <c r="B521" s="27">
        <v>13</v>
      </c>
      <c r="C521" s="27">
        <v>1</v>
      </c>
      <c r="D521" s="28">
        <f t="shared" si="84"/>
        <v>13</v>
      </c>
      <c r="E521" s="28">
        <f t="shared" si="85"/>
        <v>37.632427290462147</v>
      </c>
      <c r="F521" s="28">
        <f t="shared" si="86"/>
        <v>23.186666666666667</v>
      </c>
      <c r="G521" s="28">
        <f t="shared" si="87"/>
        <v>8.7409060428711882</v>
      </c>
      <c r="H521" s="28">
        <f t="shared" si="88"/>
        <v>-2.1154995431435211</v>
      </c>
      <c r="I521" s="28">
        <f t="shared" si="89"/>
        <v>3.119674929235714</v>
      </c>
      <c r="J521" s="28">
        <f t="shared" si="90"/>
        <v>68.252743918461903</v>
      </c>
      <c r="K521" s="28">
        <f t="shared" si="91"/>
        <v>23.186666666666667</v>
      </c>
      <c r="L521" s="28">
        <f t="shared" si="92"/>
        <v>0</v>
      </c>
      <c r="M521" s="2" t="str">
        <f t="shared" si="93"/>
        <v/>
      </c>
      <c r="N521" s="2" t="str">
        <f t="shared" si="94"/>
        <v/>
      </c>
      <c r="O521" s="2">
        <f t="shared" si="95"/>
        <v>1</v>
      </c>
    </row>
    <row r="522" spans="1:15">
      <c r="A522" s="27">
        <v>512</v>
      </c>
      <c r="B522" s="27">
        <v>18</v>
      </c>
      <c r="C522" s="27">
        <v>1</v>
      </c>
      <c r="D522" s="28">
        <f t="shared" si="84"/>
        <v>18</v>
      </c>
      <c r="E522" s="28">
        <f t="shared" si="85"/>
        <v>37.632427290462147</v>
      </c>
      <c r="F522" s="28">
        <f t="shared" si="86"/>
        <v>23.186666666666667</v>
      </c>
      <c r="G522" s="28">
        <f t="shared" si="87"/>
        <v>8.7409060428711882</v>
      </c>
      <c r="H522" s="28">
        <f t="shared" si="88"/>
        <v>-1.0771326207890441</v>
      </c>
      <c r="I522" s="28">
        <f t="shared" si="89"/>
        <v>3.119674929235714</v>
      </c>
      <c r="J522" s="28">
        <f t="shared" si="90"/>
        <v>68.252743918461903</v>
      </c>
      <c r="K522" s="28">
        <f t="shared" si="91"/>
        <v>23.186666666666667</v>
      </c>
      <c r="L522" s="28">
        <f t="shared" si="92"/>
        <v>0</v>
      </c>
      <c r="M522" s="2" t="str">
        <f t="shared" si="93"/>
        <v/>
      </c>
      <c r="N522" s="2" t="str">
        <f t="shared" si="94"/>
        <v/>
      </c>
      <c r="O522" s="2">
        <f t="shared" si="95"/>
        <v>5</v>
      </c>
    </row>
    <row r="523" spans="1:15">
      <c r="A523" s="27">
        <v>513</v>
      </c>
      <c r="B523" s="27">
        <v>16</v>
      </c>
      <c r="C523" s="27">
        <v>1</v>
      </c>
      <c r="D523" s="28">
        <f t="shared" ref="D523:D586" si="96">IF(C523=0,"",B523/C523)</f>
        <v>16</v>
      </c>
      <c r="E523" s="28">
        <f t="shared" ref="E523:E586" si="97">IF(C523=0,"",$F$5+3*SQRT($F$5/C523))</f>
        <v>37.632427290462147</v>
      </c>
      <c r="F523" s="28">
        <f t="shared" ref="F523:F586" si="98">$F$5</f>
        <v>23.186666666666667</v>
      </c>
      <c r="G523" s="28">
        <f t="shared" ref="G523:G586" si="99">IF(C523=0,"",MAX(0,$F$5-3*SQRT($F$5/C523)))</f>
        <v>8.7409060428711882</v>
      </c>
      <c r="H523" s="28">
        <f t="shared" ref="H523:H586" si="100">IF(C523=0,"",(D523-$F$5)/SQRT($F$5/C523))</f>
        <v>-1.4924793897308348</v>
      </c>
      <c r="I523" s="28">
        <f t="shared" ref="I523:I586" si="101">$F$6</f>
        <v>3.119674929235714</v>
      </c>
      <c r="J523" s="28">
        <f t="shared" ref="J523:J586" si="102">IF(C523=0,"",$F$5+3*$F$6*SQRT($F$5/C523))</f>
        <v>68.252743918461903</v>
      </c>
      <c r="K523" s="28">
        <f t="shared" ref="K523:K586" si="103">$F$5</f>
        <v>23.186666666666667</v>
      </c>
      <c r="L523" s="28">
        <f t="shared" ref="L523:L586" si="104">IF(C523=0,"",MAX(0,$F$5-3*$F$6*SQRT($F$5/C523)))</f>
        <v>0</v>
      </c>
      <c r="M523" s="2" t="str">
        <f t="shared" ref="M523:M586" si="105">IF(OR(D523&gt;E523,D523&lt;G523),"Y","")</f>
        <v/>
      </c>
      <c r="N523" s="2" t="str">
        <f t="shared" ref="N523:N586" si="106">IF(OR(D523&gt;J523,D523&lt;L523),"Y","")</f>
        <v/>
      </c>
      <c r="O523" s="2">
        <f t="shared" si="95"/>
        <v>2</v>
      </c>
    </row>
    <row r="524" spans="1:15">
      <c r="A524" s="27">
        <v>514</v>
      </c>
      <c r="B524" s="27">
        <v>19</v>
      </c>
      <c r="C524" s="27">
        <v>1</v>
      </c>
      <c r="D524" s="28">
        <f t="shared" si="96"/>
        <v>19</v>
      </c>
      <c r="E524" s="28">
        <f t="shared" si="97"/>
        <v>37.632427290462147</v>
      </c>
      <c r="F524" s="28">
        <f t="shared" si="98"/>
        <v>23.186666666666667</v>
      </c>
      <c r="G524" s="28">
        <f t="shared" si="99"/>
        <v>8.7409060428711882</v>
      </c>
      <c r="H524" s="28">
        <f t="shared" si="100"/>
        <v>-0.8694592363181487</v>
      </c>
      <c r="I524" s="28">
        <f t="shared" si="101"/>
        <v>3.119674929235714</v>
      </c>
      <c r="J524" s="28">
        <f t="shared" si="102"/>
        <v>68.252743918461903</v>
      </c>
      <c r="K524" s="28">
        <f t="shared" si="103"/>
        <v>23.186666666666667</v>
      </c>
      <c r="L524" s="28">
        <f t="shared" si="104"/>
        <v>0</v>
      </c>
      <c r="M524" s="2" t="str">
        <f t="shared" si="105"/>
        <v/>
      </c>
      <c r="N524" s="2" t="str">
        <f t="shared" si="106"/>
        <v/>
      </c>
      <c r="O524" s="2">
        <f t="shared" ref="O524:O587" si="107">ABS(D524-D523)</f>
        <v>3</v>
      </c>
    </row>
    <row r="525" spans="1:15">
      <c r="A525" s="27">
        <v>515</v>
      </c>
      <c r="B525" s="27">
        <v>22</v>
      </c>
      <c r="C525" s="27">
        <v>1</v>
      </c>
      <c r="D525" s="28">
        <f t="shared" si="96"/>
        <v>22</v>
      </c>
      <c r="E525" s="28">
        <f t="shared" si="97"/>
        <v>37.632427290462147</v>
      </c>
      <c r="F525" s="28">
        <f t="shared" si="98"/>
        <v>23.186666666666667</v>
      </c>
      <c r="G525" s="28">
        <f t="shared" si="99"/>
        <v>8.7409060428711882</v>
      </c>
      <c r="H525" s="28">
        <f t="shared" si="100"/>
        <v>-0.24643908290546265</v>
      </c>
      <c r="I525" s="28">
        <f t="shared" si="101"/>
        <v>3.119674929235714</v>
      </c>
      <c r="J525" s="28">
        <f t="shared" si="102"/>
        <v>68.252743918461903</v>
      </c>
      <c r="K525" s="28">
        <f t="shared" si="103"/>
        <v>23.186666666666667</v>
      </c>
      <c r="L525" s="28">
        <f t="shared" si="104"/>
        <v>0</v>
      </c>
      <c r="M525" s="2" t="str">
        <f t="shared" si="105"/>
        <v/>
      </c>
      <c r="N525" s="2" t="str">
        <f t="shared" si="106"/>
        <v/>
      </c>
      <c r="O525" s="2">
        <f t="shared" si="107"/>
        <v>3</v>
      </c>
    </row>
    <row r="526" spans="1:15">
      <c r="A526" s="27">
        <v>516</v>
      </c>
      <c r="B526" s="27">
        <v>16</v>
      </c>
      <c r="C526" s="27">
        <v>1</v>
      </c>
      <c r="D526" s="28">
        <f t="shared" si="96"/>
        <v>16</v>
      </c>
      <c r="E526" s="28">
        <f t="shared" si="97"/>
        <v>37.632427290462147</v>
      </c>
      <c r="F526" s="28">
        <f t="shared" si="98"/>
        <v>23.186666666666667</v>
      </c>
      <c r="G526" s="28">
        <f t="shared" si="99"/>
        <v>8.7409060428711882</v>
      </c>
      <c r="H526" s="28">
        <f t="shared" si="100"/>
        <v>-1.4924793897308348</v>
      </c>
      <c r="I526" s="28">
        <f t="shared" si="101"/>
        <v>3.119674929235714</v>
      </c>
      <c r="J526" s="28">
        <f t="shared" si="102"/>
        <v>68.252743918461903</v>
      </c>
      <c r="K526" s="28">
        <f t="shared" si="103"/>
        <v>23.186666666666667</v>
      </c>
      <c r="L526" s="28">
        <f t="shared" si="104"/>
        <v>0</v>
      </c>
      <c r="M526" s="2" t="str">
        <f t="shared" si="105"/>
        <v/>
      </c>
      <c r="N526" s="2" t="str">
        <f t="shared" si="106"/>
        <v/>
      </c>
      <c r="O526" s="2">
        <f t="shared" si="107"/>
        <v>6</v>
      </c>
    </row>
    <row r="527" spans="1:15">
      <c r="A527" s="27">
        <v>517</v>
      </c>
      <c r="B527" s="27">
        <v>9</v>
      </c>
      <c r="C527" s="27">
        <v>1</v>
      </c>
      <c r="D527" s="28">
        <f t="shared" si="96"/>
        <v>9</v>
      </c>
      <c r="E527" s="28">
        <f t="shared" si="97"/>
        <v>37.632427290462147</v>
      </c>
      <c r="F527" s="28">
        <f t="shared" si="98"/>
        <v>23.186666666666667</v>
      </c>
      <c r="G527" s="28">
        <f t="shared" si="99"/>
        <v>8.7409060428711882</v>
      </c>
      <c r="H527" s="28">
        <f t="shared" si="100"/>
        <v>-2.9461930810271024</v>
      </c>
      <c r="I527" s="28">
        <f t="shared" si="101"/>
        <v>3.119674929235714</v>
      </c>
      <c r="J527" s="28">
        <f t="shared" si="102"/>
        <v>68.252743918461903</v>
      </c>
      <c r="K527" s="28">
        <f t="shared" si="103"/>
        <v>23.186666666666667</v>
      </c>
      <c r="L527" s="28">
        <f t="shared" si="104"/>
        <v>0</v>
      </c>
      <c r="M527" s="2" t="str">
        <f t="shared" si="105"/>
        <v/>
      </c>
      <c r="N527" s="2" t="str">
        <f t="shared" si="106"/>
        <v/>
      </c>
      <c r="O527" s="2">
        <f t="shared" si="107"/>
        <v>7</v>
      </c>
    </row>
    <row r="528" spans="1:15">
      <c r="A528" s="27">
        <v>518</v>
      </c>
      <c r="B528" s="27">
        <v>15</v>
      </c>
      <c r="C528" s="27">
        <v>1</v>
      </c>
      <c r="D528" s="28">
        <f t="shared" si="96"/>
        <v>15</v>
      </c>
      <c r="E528" s="28">
        <f t="shared" si="97"/>
        <v>37.632427290462147</v>
      </c>
      <c r="F528" s="28">
        <f t="shared" si="98"/>
        <v>23.186666666666667</v>
      </c>
      <c r="G528" s="28">
        <f t="shared" si="99"/>
        <v>8.7409060428711882</v>
      </c>
      <c r="H528" s="28">
        <f t="shared" si="100"/>
        <v>-1.7001527742017302</v>
      </c>
      <c r="I528" s="28">
        <f t="shared" si="101"/>
        <v>3.119674929235714</v>
      </c>
      <c r="J528" s="28">
        <f t="shared" si="102"/>
        <v>68.252743918461903</v>
      </c>
      <c r="K528" s="28">
        <f t="shared" si="103"/>
        <v>23.186666666666667</v>
      </c>
      <c r="L528" s="28">
        <f t="shared" si="104"/>
        <v>0</v>
      </c>
      <c r="M528" s="2" t="str">
        <f t="shared" si="105"/>
        <v/>
      </c>
      <c r="N528" s="2" t="str">
        <f t="shared" si="106"/>
        <v/>
      </c>
      <c r="O528" s="2">
        <f t="shared" si="107"/>
        <v>6</v>
      </c>
    </row>
    <row r="529" spans="1:15">
      <c r="A529" s="27">
        <v>519</v>
      </c>
      <c r="B529" s="27">
        <v>17</v>
      </c>
      <c r="C529" s="27">
        <v>1</v>
      </c>
      <c r="D529" s="28">
        <f t="shared" si="96"/>
        <v>17</v>
      </c>
      <c r="E529" s="28">
        <f t="shared" si="97"/>
        <v>37.632427290462147</v>
      </c>
      <c r="F529" s="28">
        <f t="shared" si="98"/>
        <v>23.186666666666667</v>
      </c>
      <c r="G529" s="28">
        <f t="shared" si="99"/>
        <v>8.7409060428711882</v>
      </c>
      <c r="H529" s="28">
        <f t="shared" si="100"/>
        <v>-1.2848060052599395</v>
      </c>
      <c r="I529" s="28">
        <f t="shared" si="101"/>
        <v>3.119674929235714</v>
      </c>
      <c r="J529" s="28">
        <f t="shared" si="102"/>
        <v>68.252743918461903</v>
      </c>
      <c r="K529" s="28">
        <f t="shared" si="103"/>
        <v>23.186666666666667</v>
      </c>
      <c r="L529" s="28">
        <f t="shared" si="104"/>
        <v>0</v>
      </c>
      <c r="M529" s="2" t="str">
        <f t="shared" si="105"/>
        <v/>
      </c>
      <c r="N529" s="2" t="str">
        <f t="shared" si="106"/>
        <v/>
      </c>
      <c r="O529" s="2">
        <f t="shared" si="107"/>
        <v>2</v>
      </c>
    </row>
    <row r="530" spans="1:15">
      <c r="A530" s="27">
        <v>520</v>
      </c>
      <c r="B530" s="27">
        <v>21</v>
      </c>
      <c r="C530" s="27">
        <v>1</v>
      </c>
      <c r="D530" s="28">
        <f t="shared" si="96"/>
        <v>21</v>
      </c>
      <c r="E530" s="28">
        <f t="shared" si="97"/>
        <v>37.632427290462147</v>
      </c>
      <c r="F530" s="28">
        <f t="shared" si="98"/>
        <v>23.186666666666667</v>
      </c>
      <c r="G530" s="28">
        <f t="shared" si="99"/>
        <v>8.7409060428711882</v>
      </c>
      <c r="H530" s="28">
        <f t="shared" si="100"/>
        <v>-0.45411246737635802</v>
      </c>
      <c r="I530" s="28">
        <f t="shared" si="101"/>
        <v>3.119674929235714</v>
      </c>
      <c r="J530" s="28">
        <f t="shared" si="102"/>
        <v>68.252743918461903</v>
      </c>
      <c r="K530" s="28">
        <f t="shared" si="103"/>
        <v>23.186666666666667</v>
      </c>
      <c r="L530" s="28">
        <f t="shared" si="104"/>
        <v>0</v>
      </c>
      <c r="M530" s="2" t="str">
        <f t="shared" si="105"/>
        <v/>
      </c>
      <c r="N530" s="2" t="str">
        <f t="shared" si="106"/>
        <v/>
      </c>
      <c r="O530" s="2">
        <f t="shared" si="107"/>
        <v>4</v>
      </c>
    </row>
    <row r="531" spans="1:15">
      <c r="A531" s="27">
        <v>521</v>
      </c>
      <c r="B531" s="27">
        <v>10</v>
      </c>
      <c r="C531" s="27">
        <v>1</v>
      </c>
      <c r="D531" s="28">
        <f t="shared" si="96"/>
        <v>10</v>
      </c>
      <c r="E531" s="28">
        <f t="shared" si="97"/>
        <v>37.632427290462147</v>
      </c>
      <c r="F531" s="28">
        <f t="shared" si="98"/>
        <v>23.186666666666667</v>
      </c>
      <c r="G531" s="28">
        <f t="shared" si="99"/>
        <v>8.7409060428711882</v>
      </c>
      <c r="H531" s="28">
        <f t="shared" si="100"/>
        <v>-2.7385196965562071</v>
      </c>
      <c r="I531" s="28">
        <f t="shared" si="101"/>
        <v>3.119674929235714</v>
      </c>
      <c r="J531" s="28">
        <f t="shared" si="102"/>
        <v>68.252743918461903</v>
      </c>
      <c r="K531" s="28">
        <f t="shared" si="103"/>
        <v>23.186666666666667</v>
      </c>
      <c r="L531" s="28">
        <f t="shared" si="104"/>
        <v>0</v>
      </c>
      <c r="M531" s="2" t="str">
        <f t="shared" si="105"/>
        <v/>
      </c>
      <c r="N531" s="2" t="str">
        <f t="shared" si="106"/>
        <v/>
      </c>
      <c r="O531" s="2">
        <f t="shared" si="107"/>
        <v>11</v>
      </c>
    </row>
    <row r="532" spans="1:15">
      <c r="A532" s="27">
        <v>522</v>
      </c>
      <c r="B532" s="27">
        <v>26</v>
      </c>
      <c r="C532" s="27">
        <v>1</v>
      </c>
      <c r="D532" s="28">
        <f t="shared" si="96"/>
        <v>26</v>
      </c>
      <c r="E532" s="28">
        <f t="shared" si="97"/>
        <v>37.632427290462147</v>
      </c>
      <c r="F532" s="28">
        <f t="shared" si="98"/>
        <v>23.186666666666667</v>
      </c>
      <c r="G532" s="28">
        <f t="shared" si="99"/>
        <v>8.7409060428711882</v>
      </c>
      <c r="H532" s="28">
        <f t="shared" si="100"/>
        <v>0.58425445497811879</v>
      </c>
      <c r="I532" s="28">
        <f t="shared" si="101"/>
        <v>3.119674929235714</v>
      </c>
      <c r="J532" s="28">
        <f t="shared" si="102"/>
        <v>68.252743918461903</v>
      </c>
      <c r="K532" s="28">
        <f t="shared" si="103"/>
        <v>23.186666666666667</v>
      </c>
      <c r="L532" s="28">
        <f t="shared" si="104"/>
        <v>0</v>
      </c>
      <c r="M532" s="2" t="str">
        <f t="shared" si="105"/>
        <v/>
      </c>
      <c r="N532" s="2" t="str">
        <f t="shared" si="106"/>
        <v/>
      </c>
      <c r="O532" s="2">
        <f t="shared" si="107"/>
        <v>16</v>
      </c>
    </row>
    <row r="533" spans="1:15">
      <c r="A533" s="27">
        <v>523</v>
      </c>
      <c r="B533" s="27">
        <v>11</v>
      </c>
      <c r="C533" s="27">
        <v>1</v>
      </c>
      <c r="D533" s="28">
        <f t="shared" si="96"/>
        <v>11</v>
      </c>
      <c r="E533" s="28">
        <f t="shared" si="97"/>
        <v>37.632427290462147</v>
      </c>
      <c r="F533" s="28">
        <f t="shared" si="98"/>
        <v>23.186666666666667</v>
      </c>
      <c r="G533" s="28">
        <f t="shared" si="99"/>
        <v>8.7409060428711882</v>
      </c>
      <c r="H533" s="28">
        <f t="shared" si="100"/>
        <v>-2.5308463120853117</v>
      </c>
      <c r="I533" s="28">
        <f t="shared" si="101"/>
        <v>3.119674929235714</v>
      </c>
      <c r="J533" s="28">
        <f t="shared" si="102"/>
        <v>68.252743918461903</v>
      </c>
      <c r="K533" s="28">
        <f t="shared" si="103"/>
        <v>23.186666666666667</v>
      </c>
      <c r="L533" s="28">
        <f t="shared" si="104"/>
        <v>0</v>
      </c>
      <c r="M533" s="2" t="str">
        <f t="shared" si="105"/>
        <v/>
      </c>
      <c r="N533" s="2" t="str">
        <f t="shared" si="106"/>
        <v/>
      </c>
      <c r="O533" s="2">
        <f t="shared" si="107"/>
        <v>15</v>
      </c>
    </row>
    <row r="534" spans="1:15">
      <c r="A534" s="27">
        <v>524</v>
      </c>
      <c r="B534" s="27">
        <v>22</v>
      </c>
      <c r="C534" s="27">
        <v>1</v>
      </c>
      <c r="D534" s="28">
        <f t="shared" si="96"/>
        <v>22</v>
      </c>
      <c r="E534" s="28">
        <f t="shared" si="97"/>
        <v>37.632427290462147</v>
      </c>
      <c r="F534" s="28">
        <f t="shared" si="98"/>
        <v>23.186666666666667</v>
      </c>
      <c r="G534" s="28">
        <f t="shared" si="99"/>
        <v>8.7409060428711882</v>
      </c>
      <c r="H534" s="28">
        <f t="shared" si="100"/>
        <v>-0.24643908290546265</v>
      </c>
      <c r="I534" s="28">
        <f t="shared" si="101"/>
        <v>3.119674929235714</v>
      </c>
      <c r="J534" s="28">
        <f t="shared" si="102"/>
        <v>68.252743918461903</v>
      </c>
      <c r="K534" s="28">
        <f t="shared" si="103"/>
        <v>23.186666666666667</v>
      </c>
      <c r="L534" s="28">
        <f t="shared" si="104"/>
        <v>0</v>
      </c>
      <c r="M534" s="2" t="str">
        <f t="shared" si="105"/>
        <v/>
      </c>
      <c r="N534" s="2" t="str">
        <f t="shared" si="106"/>
        <v/>
      </c>
      <c r="O534" s="2">
        <f t="shared" si="107"/>
        <v>11</v>
      </c>
    </row>
    <row r="535" spans="1:15">
      <c r="A535" s="27">
        <v>525</v>
      </c>
      <c r="B535" s="27">
        <v>25</v>
      </c>
      <c r="C535" s="27">
        <v>1</v>
      </c>
      <c r="D535" s="28">
        <f t="shared" si="96"/>
        <v>25</v>
      </c>
      <c r="E535" s="28">
        <f t="shared" si="97"/>
        <v>37.632427290462147</v>
      </c>
      <c r="F535" s="28">
        <f t="shared" si="98"/>
        <v>23.186666666666667</v>
      </c>
      <c r="G535" s="28">
        <f t="shared" si="99"/>
        <v>8.7409060428711882</v>
      </c>
      <c r="H535" s="28">
        <f t="shared" si="100"/>
        <v>0.37658107050722345</v>
      </c>
      <c r="I535" s="28">
        <f t="shared" si="101"/>
        <v>3.119674929235714</v>
      </c>
      <c r="J535" s="28">
        <f t="shared" si="102"/>
        <v>68.252743918461903</v>
      </c>
      <c r="K535" s="28">
        <f t="shared" si="103"/>
        <v>23.186666666666667</v>
      </c>
      <c r="L535" s="28">
        <f t="shared" si="104"/>
        <v>0</v>
      </c>
      <c r="M535" s="2" t="str">
        <f t="shared" si="105"/>
        <v/>
      </c>
      <c r="N535" s="2" t="str">
        <f t="shared" si="106"/>
        <v/>
      </c>
      <c r="O535" s="2">
        <f t="shared" si="107"/>
        <v>3</v>
      </c>
    </row>
    <row r="536" spans="1:15">
      <c r="A536" s="27">
        <v>526</v>
      </c>
      <c r="B536" s="27">
        <v>6</v>
      </c>
      <c r="C536" s="27">
        <v>1</v>
      </c>
      <c r="D536" s="28">
        <f t="shared" si="96"/>
        <v>6</v>
      </c>
      <c r="E536" s="28">
        <f t="shared" si="97"/>
        <v>37.632427290462147</v>
      </c>
      <c r="F536" s="28">
        <f t="shared" si="98"/>
        <v>23.186666666666667</v>
      </c>
      <c r="G536" s="28">
        <f t="shared" si="99"/>
        <v>8.7409060428711882</v>
      </c>
      <c r="H536" s="28">
        <f t="shared" si="100"/>
        <v>-3.5692132344397884</v>
      </c>
      <c r="I536" s="28">
        <f t="shared" si="101"/>
        <v>3.119674929235714</v>
      </c>
      <c r="J536" s="28">
        <f t="shared" si="102"/>
        <v>68.252743918461903</v>
      </c>
      <c r="K536" s="28">
        <f t="shared" si="103"/>
        <v>23.186666666666667</v>
      </c>
      <c r="L536" s="28">
        <f t="shared" si="104"/>
        <v>0</v>
      </c>
      <c r="M536" s="2" t="str">
        <f t="shared" si="105"/>
        <v>Y</v>
      </c>
      <c r="N536" s="2" t="str">
        <f t="shared" si="106"/>
        <v/>
      </c>
      <c r="O536" s="2">
        <f t="shared" si="107"/>
        <v>19</v>
      </c>
    </row>
    <row r="537" spans="1:15">
      <c r="A537" s="27">
        <v>527</v>
      </c>
      <c r="B537" s="27">
        <v>17</v>
      </c>
      <c r="C537" s="27">
        <v>1</v>
      </c>
      <c r="D537" s="28">
        <f t="shared" si="96"/>
        <v>17</v>
      </c>
      <c r="E537" s="28">
        <f t="shared" si="97"/>
        <v>37.632427290462147</v>
      </c>
      <c r="F537" s="28">
        <f t="shared" si="98"/>
        <v>23.186666666666667</v>
      </c>
      <c r="G537" s="28">
        <f t="shared" si="99"/>
        <v>8.7409060428711882</v>
      </c>
      <c r="H537" s="28">
        <f t="shared" si="100"/>
        <v>-1.2848060052599395</v>
      </c>
      <c r="I537" s="28">
        <f t="shared" si="101"/>
        <v>3.119674929235714</v>
      </c>
      <c r="J537" s="28">
        <f t="shared" si="102"/>
        <v>68.252743918461903</v>
      </c>
      <c r="K537" s="28">
        <f t="shared" si="103"/>
        <v>23.186666666666667</v>
      </c>
      <c r="L537" s="28">
        <f t="shared" si="104"/>
        <v>0</v>
      </c>
      <c r="M537" s="2" t="str">
        <f t="shared" si="105"/>
        <v/>
      </c>
      <c r="N537" s="2" t="str">
        <f t="shared" si="106"/>
        <v/>
      </c>
      <c r="O537" s="2">
        <f t="shared" si="107"/>
        <v>11</v>
      </c>
    </row>
    <row r="538" spans="1:15">
      <c r="A538" s="27">
        <v>528</v>
      </c>
      <c r="B538" s="27">
        <v>13</v>
      </c>
      <c r="C538" s="27">
        <v>1</v>
      </c>
      <c r="D538" s="28">
        <f t="shared" si="96"/>
        <v>13</v>
      </c>
      <c r="E538" s="28">
        <f t="shared" si="97"/>
        <v>37.632427290462147</v>
      </c>
      <c r="F538" s="28">
        <f t="shared" si="98"/>
        <v>23.186666666666667</v>
      </c>
      <c r="G538" s="28">
        <f t="shared" si="99"/>
        <v>8.7409060428711882</v>
      </c>
      <c r="H538" s="28">
        <f t="shared" si="100"/>
        <v>-2.1154995431435211</v>
      </c>
      <c r="I538" s="28">
        <f t="shared" si="101"/>
        <v>3.119674929235714</v>
      </c>
      <c r="J538" s="28">
        <f t="shared" si="102"/>
        <v>68.252743918461903</v>
      </c>
      <c r="K538" s="28">
        <f t="shared" si="103"/>
        <v>23.186666666666667</v>
      </c>
      <c r="L538" s="28">
        <f t="shared" si="104"/>
        <v>0</v>
      </c>
      <c r="M538" s="2" t="str">
        <f t="shared" si="105"/>
        <v/>
      </c>
      <c r="N538" s="2" t="str">
        <f t="shared" si="106"/>
        <v/>
      </c>
      <c r="O538" s="2">
        <f t="shared" si="107"/>
        <v>4</v>
      </c>
    </row>
    <row r="539" spans="1:15">
      <c r="A539" s="27">
        <v>529</v>
      </c>
      <c r="B539" s="27">
        <v>13</v>
      </c>
      <c r="C539" s="27">
        <v>1</v>
      </c>
      <c r="D539" s="28">
        <f t="shared" si="96"/>
        <v>13</v>
      </c>
      <c r="E539" s="28">
        <f t="shared" si="97"/>
        <v>37.632427290462147</v>
      </c>
      <c r="F539" s="28">
        <f t="shared" si="98"/>
        <v>23.186666666666667</v>
      </c>
      <c r="G539" s="28">
        <f t="shared" si="99"/>
        <v>8.7409060428711882</v>
      </c>
      <c r="H539" s="28">
        <f t="shared" si="100"/>
        <v>-2.1154995431435211</v>
      </c>
      <c r="I539" s="28">
        <f t="shared" si="101"/>
        <v>3.119674929235714</v>
      </c>
      <c r="J539" s="28">
        <f t="shared" si="102"/>
        <v>68.252743918461903</v>
      </c>
      <c r="K539" s="28">
        <f t="shared" si="103"/>
        <v>23.186666666666667</v>
      </c>
      <c r="L539" s="28">
        <f t="shared" si="104"/>
        <v>0</v>
      </c>
      <c r="M539" s="2" t="str">
        <f t="shared" si="105"/>
        <v/>
      </c>
      <c r="N539" s="2" t="str">
        <f t="shared" si="106"/>
        <v/>
      </c>
      <c r="O539" s="2">
        <f t="shared" si="107"/>
        <v>0</v>
      </c>
    </row>
    <row r="540" spans="1:15">
      <c r="A540" s="27">
        <v>530</v>
      </c>
      <c r="B540" s="27">
        <v>11</v>
      </c>
      <c r="C540" s="27">
        <v>1</v>
      </c>
      <c r="D540" s="28">
        <f t="shared" si="96"/>
        <v>11</v>
      </c>
      <c r="E540" s="28">
        <f t="shared" si="97"/>
        <v>37.632427290462147</v>
      </c>
      <c r="F540" s="28">
        <f t="shared" si="98"/>
        <v>23.186666666666667</v>
      </c>
      <c r="G540" s="28">
        <f t="shared" si="99"/>
        <v>8.7409060428711882</v>
      </c>
      <c r="H540" s="28">
        <f t="shared" si="100"/>
        <v>-2.5308463120853117</v>
      </c>
      <c r="I540" s="28">
        <f t="shared" si="101"/>
        <v>3.119674929235714</v>
      </c>
      <c r="J540" s="28">
        <f t="shared" si="102"/>
        <v>68.252743918461903</v>
      </c>
      <c r="K540" s="28">
        <f t="shared" si="103"/>
        <v>23.186666666666667</v>
      </c>
      <c r="L540" s="28">
        <f t="shared" si="104"/>
        <v>0</v>
      </c>
      <c r="M540" s="2" t="str">
        <f t="shared" si="105"/>
        <v/>
      </c>
      <c r="N540" s="2" t="str">
        <f t="shared" si="106"/>
        <v/>
      </c>
      <c r="O540" s="2">
        <f t="shared" si="107"/>
        <v>2</v>
      </c>
    </row>
    <row r="541" spans="1:15">
      <c r="A541" s="27">
        <v>531</v>
      </c>
      <c r="B541" s="27">
        <v>16</v>
      </c>
      <c r="C541" s="27">
        <v>1</v>
      </c>
      <c r="D541" s="28">
        <f t="shared" si="96"/>
        <v>16</v>
      </c>
      <c r="E541" s="28">
        <f t="shared" si="97"/>
        <v>37.632427290462147</v>
      </c>
      <c r="F541" s="28">
        <f t="shared" si="98"/>
        <v>23.186666666666667</v>
      </c>
      <c r="G541" s="28">
        <f t="shared" si="99"/>
        <v>8.7409060428711882</v>
      </c>
      <c r="H541" s="28">
        <f t="shared" si="100"/>
        <v>-1.4924793897308348</v>
      </c>
      <c r="I541" s="28">
        <f t="shared" si="101"/>
        <v>3.119674929235714</v>
      </c>
      <c r="J541" s="28">
        <f t="shared" si="102"/>
        <v>68.252743918461903</v>
      </c>
      <c r="K541" s="28">
        <f t="shared" si="103"/>
        <v>23.186666666666667</v>
      </c>
      <c r="L541" s="28">
        <f t="shared" si="104"/>
        <v>0</v>
      </c>
      <c r="M541" s="2" t="str">
        <f t="shared" si="105"/>
        <v/>
      </c>
      <c r="N541" s="2" t="str">
        <f t="shared" si="106"/>
        <v/>
      </c>
      <c r="O541" s="2">
        <f t="shared" si="107"/>
        <v>5</v>
      </c>
    </row>
    <row r="542" spans="1:15">
      <c r="A542" s="27">
        <v>532</v>
      </c>
      <c r="B542" s="27">
        <v>21</v>
      </c>
      <c r="C542" s="27">
        <v>1</v>
      </c>
      <c r="D542" s="28">
        <f t="shared" si="96"/>
        <v>21</v>
      </c>
      <c r="E542" s="28">
        <f t="shared" si="97"/>
        <v>37.632427290462147</v>
      </c>
      <c r="F542" s="28">
        <f t="shared" si="98"/>
        <v>23.186666666666667</v>
      </c>
      <c r="G542" s="28">
        <f t="shared" si="99"/>
        <v>8.7409060428711882</v>
      </c>
      <c r="H542" s="28">
        <f t="shared" si="100"/>
        <v>-0.45411246737635802</v>
      </c>
      <c r="I542" s="28">
        <f t="shared" si="101"/>
        <v>3.119674929235714</v>
      </c>
      <c r="J542" s="28">
        <f t="shared" si="102"/>
        <v>68.252743918461903</v>
      </c>
      <c r="K542" s="28">
        <f t="shared" si="103"/>
        <v>23.186666666666667</v>
      </c>
      <c r="L542" s="28">
        <f t="shared" si="104"/>
        <v>0</v>
      </c>
      <c r="M542" s="2" t="str">
        <f t="shared" si="105"/>
        <v/>
      </c>
      <c r="N542" s="2" t="str">
        <f t="shared" si="106"/>
        <v/>
      </c>
      <c r="O542" s="2">
        <f t="shared" si="107"/>
        <v>5</v>
      </c>
    </row>
    <row r="543" spans="1:15">
      <c r="A543" s="27">
        <v>533</v>
      </c>
      <c r="B543" s="27">
        <v>20</v>
      </c>
      <c r="C543" s="27">
        <v>1</v>
      </c>
      <c r="D543" s="28">
        <f t="shared" si="96"/>
        <v>20</v>
      </c>
      <c r="E543" s="28">
        <f t="shared" si="97"/>
        <v>37.632427290462147</v>
      </c>
      <c r="F543" s="28">
        <f t="shared" si="98"/>
        <v>23.186666666666667</v>
      </c>
      <c r="G543" s="28">
        <f t="shared" si="99"/>
        <v>8.7409060428711882</v>
      </c>
      <c r="H543" s="28">
        <f t="shared" si="100"/>
        <v>-0.66178585184725336</v>
      </c>
      <c r="I543" s="28">
        <f t="shared" si="101"/>
        <v>3.119674929235714</v>
      </c>
      <c r="J543" s="28">
        <f t="shared" si="102"/>
        <v>68.252743918461903</v>
      </c>
      <c r="K543" s="28">
        <f t="shared" si="103"/>
        <v>23.186666666666667</v>
      </c>
      <c r="L543" s="28">
        <f t="shared" si="104"/>
        <v>0</v>
      </c>
      <c r="M543" s="2" t="str">
        <f t="shared" si="105"/>
        <v/>
      </c>
      <c r="N543" s="2" t="str">
        <f t="shared" si="106"/>
        <v/>
      </c>
      <c r="O543" s="2">
        <f t="shared" si="107"/>
        <v>1</v>
      </c>
    </row>
    <row r="544" spans="1:15">
      <c r="A544" s="27">
        <v>534</v>
      </c>
      <c r="B544" s="27">
        <v>11</v>
      </c>
      <c r="C544" s="27">
        <v>1</v>
      </c>
      <c r="D544" s="28">
        <f t="shared" si="96"/>
        <v>11</v>
      </c>
      <c r="E544" s="28">
        <f t="shared" si="97"/>
        <v>37.632427290462147</v>
      </c>
      <c r="F544" s="28">
        <f t="shared" si="98"/>
        <v>23.186666666666667</v>
      </c>
      <c r="G544" s="28">
        <f t="shared" si="99"/>
        <v>8.7409060428711882</v>
      </c>
      <c r="H544" s="28">
        <f t="shared" si="100"/>
        <v>-2.5308463120853117</v>
      </c>
      <c r="I544" s="28">
        <f t="shared" si="101"/>
        <v>3.119674929235714</v>
      </c>
      <c r="J544" s="28">
        <f t="shared" si="102"/>
        <v>68.252743918461903</v>
      </c>
      <c r="K544" s="28">
        <f t="shared" si="103"/>
        <v>23.186666666666667</v>
      </c>
      <c r="L544" s="28">
        <f t="shared" si="104"/>
        <v>0</v>
      </c>
      <c r="M544" s="2" t="str">
        <f t="shared" si="105"/>
        <v/>
      </c>
      <c r="N544" s="2" t="str">
        <f t="shared" si="106"/>
        <v/>
      </c>
      <c r="O544" s="2">
        <f t="shared" si="107"/>
        <v>9</v>
      </c>
    </row>
    <row r="545" spans="1:15">
      <c r="A545" s="27">
        <v>535</v>
      </c>
      <c r="B545" s="27">
        <v>14</v>
      </c>
      <c r="C545" s="27">
        <v>1</v>
      </c>
      <c r="D545" s="28">
        <f t="shared" si="96"/>
        <v>14</v>
      </c>
      <c r="E545" s="28">
        <f t="shared" si="97"/>
        <v>37.632427290462147</v>
      </c>
      <c r="F545" s="28">
        <f t="shared" si="98"/>
        <v>23.186666666666667</v>
      </c>
      <c r="G545" s="28">
        <f t="shared" si="99"/>
        <v>8.7409060428711882</v>
      </c>
      <c r="H545" s="28">
        <f t="shared" si="100"/>
        <v>-1.9078261586726255</v>
      </c>
      <c r="I545" s="28">
        <f t="shared" si="101"/>
        <v>3.119674929235714</v>
      </c>
      <c r="J545" s="28">
        <f t="shared" si="102"/>
        <v>68.252743918461903</v>
      </c>
      <c r="K545" s="28">
        <f t="shared" si="103"/>
        <v>23.186666666666667</v>
      </c>
      <c r="L545" s="28">
        <f t="shared" si="104"/>
        <v>0</v>
      </c>
      <c r="M545" s="2" t="str">
        <f t="shared" si="105"/>
        <v/>
      </c>
      <c r="N545" s="2" t="str">
        <f t="shared" si="106"/>
        <v/>
      </c>
      <c r="O545" s="2">
        <f t="shared" si="107"/>
        <v>3</v>
      </c>
    </row>
    <row r="546" spans="1:15">
      <c r="A546" s="27">
        <v>536</v>
      </c>
      <c r="B546" s="27">
        <v>12</v>
      </c>
      <c r="C546" s="27">
        <v>1</v>
      </c>
      <c r="D546" s="28">
        <f t="shared" si="96"/>
        <v>12</v>
      </c>
      <c r="E546" s="28">
        <f t="shared" si="97"/>
        <v>37.632427290462147</v>
      </c>
      <c r="F546" s="28">
        <f t="shared" si="98"/>
        <v>23.186666666666667</v>
      </c>
      <c r="G546" s="28">
        <f t="shared" si="99"/>
        <v>8.7409060428711882</v>
      </c>
      <c r="H546" s="28">
        <f t="shared" si="100"/>
        <v>-2.3231729276144164</v>
      </c>
      <c r="I546" s="28">
        <f t="shared" si="101"/>
        <v>3.119674929235714</v>
      </c>
      <c r="J546" s="28">
        <f t="shared" si="102"/>
        <v>68.252743918461903</v>
      </c>
      <c r="K546" s="28">
        <f t="shared" si="103"/>
        <v>23.186666666666667</v>
      </c>
      <c r="L546" s="28">
        <f t="shared" si="104"/>
        <v>0</v>
      </c>
      <c r="M546" s="2" t="str">
        <f t="shared" si="105"/>
        <v/>
      </c>
      <c r="N546" s="2" t="str">
        <f t="shared" si="106"/>
        <v/>
      </c>
      <c r="O546" s="2">
        <f t="shared" si="107"/>
        <v>2</v>
      </c>
    </row>
    <row r="547" spans="1:15">
      <c r="A547" s="27">
        <v>537</v>
      </c>
      <c r="B547" s="27">
        <v>21</v>
      </c>
      <c r="C547" s="27">
        <v>1</v>
      </c>
      <c r="D547" s="28">
        <f t="shared" si="96"/>
        <v>21</v>
      </c>
      <c r="E547" s="28">
        <f t="shared" si="97"/>
        <v>37.632427290462147</v>
      </c>
      <c r="F547" s="28">
        <f t="shared" si="98"/>
        <v>23.186666666666667</v>
      </c>
      <c r="G547" s="28">
        <f t="shared" si="99"/>
        <v>8.7409060428711882</v>
      </c>
      <c r="H547" s="28">
        <f t="shared" si="100"/>
        <v>-0.45411246737635802</v>
      </c>
      <c r="I547" s="28">
        <f t="shared" si="101"/>
        <v>3.119674929235714</v>
      </c>
      <c r="J547" s="28">
        <f t="shared" si="102"/>
        <v>68.252743918461903</v>
      </c>
      <c r="K547" s="28">
        <f t="shared" si="103"/>
        <v>23.186666666666667</v>
      </c>
      <c r="L547" s="28">
        <f t="shared" si="104"/>
        <v>0</v>
      </c>
      <c r="M547" s="2" t="str">
        <f t="shared" si="105"/>
        <v/>
      </c>
      <c r="N547" s="2" t="str">
        <f t="shared" si="106"/>
        <v/>
      </c>
      <c r="O547" s="2">
        <f t="shared" si="107"/>
        <v>9</v>
      </c>
    </row>
    <row r="548" spans="1:15">
      <c r="A548" s="27">
        <v>538</v>
      </c>
      <c r="B548" s="27">
        <v>21</v>
      </c>
      <c r="C548" s="27">
        <v>1</v>
      </c>
      <c r="D548" s="28">
        <f t="shared" si="96"/>
        <v>21</v>
      </c>
      <c r="E548" s="28">
        <f t="shared" si="97"/>
        <v>37.632427290462147</v>
      </c>
      <c r="F548" s="28">
        <f t="shared" si="98"/>
        <v>23.186666666666667</v>
      </c>
      <c r="G548" s="28">
        <f t="shared" si="99"/>
        <v>8.7409060428711882</v>
      </c>
      <c r="H548" s="28">
        <f t="shared" si="100"/>
        <v>-0.45411246737635802</v>
      </c>
      <c r="I548" s="28">
        <f t="shared" si="101"/>
        <v>3.119674929235714</v>
      </c>
      <c r="J548" s="28">
        <f t="shared" si="102"/>
        <v>68.252743918461903</v>
      </c>
      <c r="K548" s="28">
        <f t="shared" si="103"/>
        <v>23.186666666666667</v>
      </c>
      <c r="L548" s="28">
        <f t="shared" si="104"/>
        <v>0</v>
      </c>
      <c r="M548" s="2" t="str">
        <f t="shared" si="105"/>
        <v/>
      </c>
      <c r="N548" s="2" t="str">
        <f t="shared" si="106"/>
        <v/>
      </c>
      <c r="O548" s="2">
        <f t="shared" si="107"/>
        <v>0</v>
      </c>
    </row>
    <row r="549" spans="1:15">
      <c r="A549" s="27">
        <v>539</v>
      </c>
      <c r="B549" s="27">
        <v>27</v>
      </c>
      <c r="C549" s="27">
        <v>1</v>
      </c>
      <c r="D549" s="28">
        <f t="shared" si="96"/>
        <v>27</v>
      </c>
      <c r="E549" s="28">
        <f t="shared" si="97"/>
        <v>37.632427290462147</v>
      </c>
      <c r="F549" s="28">
        <f t="shared" si="98"/>
        <v>23.186666666666667</v>
      </c>
      <c r="G549" s="28">
        <f t="shared" si="99"/>
        <v>8.7409060428711882</v>
      </c>
      <c r="H549" s="28">
        <f t="shared" si="100"/>
        <v>0.79192783944901413</v>
      </c>
      <c r="I549" s="28">
        <f t="shared" si="101"/>
        <v>3.119674929235714</v>
      </c>
      <c r="J549" s="28">
        <f t="shared" si="102"/>
        <v>68.252743918461903</v>
      </c>
      <c r="K549" s="28">
        <f t="shared" si="103"/>
        <v>23.186666666666667</v>
      </c>
      <c r="L549" s="28">
        <f t="shared" si="104"/>
        <v>0</v>
      </c>
      <c r="M549" s="2" t="str">
        <f t="shared" si="105"/>
        <v/>
      </c>
      <c r="N549" s="2" t="str">
        <f t="shared" si="106"/>
        <v/>
      </c>
      <c r="O549" s="2">
        <f t="shared" si="107"/>
        <v>6</v>
      </c>
    </row>
    <row r="550" spans="1:15">
      <c r="A550" s="27">
        <v>540</v>
      </c>
      <c r="B550" s="27">
        <v>40</v>
      </c>
      <c r="C550" s="27">
        <v>1</v>
      </c>
      <c r="D550" s="28">
        <f t="shared" si="96"/>
        <v>40</v>
      </c>
      <c r="E550" s="28">
        <f t="shared" si="97"/>
        <v>37.632427290462147</v>
      </c>
      <c r="F550" s="28">
        <f t="shared" si="98"/>
        <v>23.186666666666667</v>
      </c>
      <c r="G550" s="28">
        <f t="shared" si="99"/>
        <v>8.7409060428711882</v>
      </c>
      <c r="H550" s="28">
        <f t="shared" si="100"/>
        <v>3.491681837570654</v>
      </c>
      <c r="I550" s="28">
        <f t="shared" si="101"/>
        <v>3.119674929235714</v>
      </c>
      <c r="J550" s="28">
        <f t="shared" si="102"/>
        <v>68.252743918461903</v>
      </c>
      <c r="K550" s="28">
        <f t="shared" si="103"/>
        <v>23.186666666666667</v>
      </c>
      <c r="L550" s="28">
        <f t="shared" si="104"/>
        <v>0</v>
      </c>
      <c r="M550" s="2" t="str">
        <f t="shared" si="105"/>
        <v>Y</v>
      </c>
      <c r="N550" s="2" t="str">
        <f t="shared" si="106"/>
        <v/>
      </c>
      <c r="O550" s="2">
        <f t="shared" si="107"/>
        <v>13</v>
      </c>
    </row>
    <row r="551" spans="1:15">
      <c r="A551" s="27">
        <v>541</v>
      </c>
      <c r="B551" s="27">
        <v>41</v>
      </c>
      <c r="C551" s="27">
        <v>1</v>
      </c>
      <c r="D551" s="28">
        <f t="shared" si="96"/>
        <v>41</v>
      </c>
      <c r="E551" s="28">
        <f t="shared" si="97"/>
        <v>37.632427290462147</v>
      </c>
      <c r="F551" s="28">
        <f t="shared" si="98"/>
        <v>23.186666666666667</v>
      </c>
      <c r="G551" s="28">
        <f t="shared" si="99"/>
        <v>8.7409060428711882</v>
      </c>
      <c r="H551" s="28">
        <f t="shared" si="100"/>
        <v>3.6993552220415493</v>
      </c>
      <c r="I551" s="28">
        <f t="shared" si="101"/>
        <v>3.119674929235714</v>
      </c>
      <c r="J551" s="28">
        <f t="shared" si="102"/>
        <v>68.252743918461903</v>
      </c>
      <c r="K551" s="28">
        <f t="shared" si="103"/>
        <v>23.186666666666667</v>
      </c>
      <c r="L551" s="28">
        <f t="shared" si="104"/>
        <v>0</v>
      </c>
      <c r="M551" s="2" t="str">
        <f t="shared" si="105"/>
        <v>Y</v>
      </c>
      <c r="N551" s="2" t="str">
        <f t="shared" si="106"/>
        <v/>
      </c>
      <c r="O551" s="2">
        <f t="shared" si="107"/>
        <v>1</v>
      </c>
    </row>
    <row r="552" spans="1:15">
      <c r="A552" s="27">
        <v>542</v>
      </c>
      <c r="B552" s="27">
        <v>84</v>
      </c>
      <c r="C552" s="27">
        <v>1</v>
      </c>
      <c r="D552" s="28">
        <f t="shared" si="96"/>
        <v>84</v>
      </c>
      <c r="E552" s="28">
        <f t="shared" si="97"/>
        <v>37.632427290462147</v>
      </c>
      <c r="F552" s="28">
        <f t="shared" si="98"/>
        <v>23.186666666666667</v>
      </c>
      <c r="G552" s="28">
        <f t="shared" si="99"/>
        <v>8.7409060428711882</v>
      </c>
      <c r="H552" s="28">
        <f t="shared" si="100"/>
        <v>12.629310754290049</v>
      </c>
      <c r="I552" s="28">
        <f t="shared" si="101"/>
        <v>3.119674929235714</v>
      </c>
      <c r="J552" s="28">
        <f t="shared" si="102"/>
        <v>68.252743918461903</v>
      </c>
      <c r="K552" s="28">
        <f t="shared" si="103"/>
        <v>23.186666666666667</v>
      </c>
      <c r="L552" s="28">
        <f t="shared" si="104"/>
        <v>0</v>
      </c>
      <c r="M552" s="2" t="str">
        <f t="shared" si="105"/>
        <v>Y</v>
      </c>
      <c r="N552" s="2" t="str">
        <f t="shared" si="106"/>
        <v>Y</v>
      </c>
      <c r="O552" s="2">
        <f t="shared" si="107"/>
        <v>43</v>
      </c>
    </row>
    <row r="553" spans="1:15">
      <c r="A553" s="27">
        <v>543</v>
      </c>
      <c r="B553" s="27">
        <v>39</v>
      </c>
      <c r="C553" s="27">
        <v>1</v>
      </c>
      <c r="D553" s="28">
        <f t="shared" si="96"/>
        <v>39</v>
      </c>
      <c r="E553" s="28">
        <f t="shared" si="97"/>
        <v>37.632427290462147</v>
      </c>
      <c r="F553" s="28">
        <f t="shared" si="98"/>
        <v>23.186666666666667</v>
      </c>
      <c r="G553" s="28">
        <f t="shared" si="99"/>
        <v>8.7409060428711882</v>
      </c>
      <c r="H553" s="28">
        <f t="shared" si="100"/>
        <v>3.2840084530997586</v>
      </c>
      <c r="I553" s="28">
        <f t="shared" si="101"/>
        <v>3.119674929235714</v>
      </c>
      <c r="J553" s="28">
        <f t="shared" si="102"/>
        <v>68.252743918461903</v>
      </c>
      <c r="K553" s="28">
        <f t="shared" si="103"/>
        <v>23.186666666666667</v>
      </c>
      <c r="L553" s="28">
        <f t="shared" si="104"/>
        <v>0</v>
      </c>
      <c r="M553" s="2" t="str">
        <f t="shared" si="105"/>
        <v>Y</v>
      </c>
      <c r="N553" s="2" t="str">
        <f t="shared" si="106"/>
        <v/>
      </c>
      <c r="O553" s="2">
        <f t="shared" si="107"/>
        <v>45</v>
      </c>
    </row>
    <row r="554" spans="1:15">
      <c r="A554" s="27">
        <v>544</v>
      </c>
      <c r="B554" s="27">
        <v>29</v>
      </c>
      <c r="C554" s="27">
        <v>1</v>
      </c>
      <c r="D554" s="28">
        <f t="shared" si="96"/>
        <v>29</v>
      </c>
      <c r="E554" s="28">
        <f t="shared" si="97"/>
        <v>37.632427290462147</v>
      </c>
      <c r="F554" s="28">
        <f t="shared" si="98"/>
        <v>23.186666666666667</v>
      </c>
      <c r="G554" s="28">
        <f t="shared" si="99"/>
        <v>8.7409060428711882</v>
      </c>
      <c r="H554" s="28">
        <f t="shared" si="100"/>
        <v>1.2072746083908048</v>
      </c>
      <c r="I554" s="28">
        <f t="shared" si="101"/>
        <v>3.119674929235714</v>
      </c>
      <c r="J554" s="28">
        <f t="shared" si="102"/>
        <v>68.252743918461903</v>
      </c>
      <c r="K554" s="28">
        <f t="shared" si="103"/>
        <v>23.186666666666667</v>
      </c>
      <c r="L554" s="28">
        <f t="shared" si="104"/>
        <v>0</v>
      </c>
      <c r="M554" s="2" t="str">
        <f t="shared" si="105"/>
        <v/>
      </c>
      <c r="N554" s="2" t="str">
        <f t="shared" si="106"/>
        <v/>
      </c>
      <c r="O554" s="2">
        <f t="shared" si="107"/>
        <v>10</v>
      </c>
    </row>
    <row r="555" spans="1:15">
      <c r="A555" s="27">
        <v>545</v>
      </c>
      <c r="B555" s="27">
        <v>27</v>
      </c>
      <c r="C555" s="27">
        <v>1</v>
      </c>
      <c r="D555" s="28">
        <f t="shared" si="96"/>
        <v>27</v>
      </c>
      <c r="E555" s="28">
        <f t="shared" si="97"/>
        <v>37.632427290462147</v>
      </c>
      <c r="F555" s="28">
        <f t="shared" si="98"/>
        <v>23.186666666666667</v>
      </c>
      <c r="G555" s="28">
        <f t="shared" si="99"/>
        <v>8.7409060428711882</v>
      </c>
      <c r="H555" s="28">
        <f t="shared" si="100"/>
        <v>0.79192783944901413</v>
      </c>
      <c r="I555" s="28">
        <f t="shared" si="101"/>
        <v>3.119674929235714</v>
      </c>
      <c r="J555" s="28">
        <f t="shared" si="102"/>
        <v>68.252743918461903</v>
      </c>
      <c r="K555" s="28">
        <f t="shared" si="103"/>
        <v>23.186666666666667</v>
      </c>
      <c r="L555" s="28">
        <f t="shared" si="104"/>
        <v>0</v>
      </c>
      <c r="M555" s="2" t="str">
        <f t="shared" si="105"/>
        <v/>
      </c>
      <c r="N555" s="2" t="str">
        <f t="shared" si="106"/>
        <v/>
      </c>
      <c r="O555" s="2">
        <f t="shared" si="107"/>
        <v>2</v>
      </c>
    </row>
    <row r="556" spans="1:15">
      <c r="A556" s="27">
        <v>546</v>
      </c>
      <c r="B556" s="27">
        <v>9</v>
      </c>
      <c r="C556" s="27">
        <v>1</v>
      </c>
      <c r="D556" s="28">
        <f t="shared" si="96"/>
        <v>9</v>
      </c>
      <c r="E556" s="28">
        <f t="shared" si="97"/>
        <v>37.632427290462147</v>
      </c>
      <c r="F556" s="28">
        <f t="shared" si="98"/>
        <v>23.186666666666667</v>
      </c>
      <c r="G556" s="28">
        <f t="shared" si="99"/>
        <v>8.7409060428711882</v>
      </c>
      <c r="H556" s="28">
        <f t="shared" si="100"/>
        <v>-2.9461930810271024</v>
      </c>
      <c r="I556" s="28">
        <f t="shared" si="101"/>
        <v>3.119674929235714</v>
      </c>
      <c r="J556" s="28">
        <f t="shared" si="102"/>
        <v>68.252743918461903</v>
      </c>
      <c r="K556" s="28">
        <f t="shared" si="103"/>
        <v>23.186666666666667</v>
      </c>
      <c r="L556" s="28">
        <f t="shared" si="104"/>
        <v>0</v>
      </c>
      <c r="M556" s="2" t="str">
        <f t="shared" si="105"/>
        <v/>
      </c>
      <c r="N556" s="2" t="str">
        <f t="shared" si="106"/>
        <v/>
      </c>
      <c r="O556" s="2">
        <f t="shared" si="107"/>
        <v>18</v>
      </c>
    </row>
    <row r="557" spans="1:15">
      <c r="A557" s="27">
        <v>547</v>
      </c>
      <c r="B557" s="27">
        <v>16</v>
      </c>
      <c r="C557" s="27">
        <v>1</v>
      </c>
      <c r="D557" s="28">
        <f t="shared" si="96"/>
        <v>16</v>
      </c>
      <c r="E557" s="28">
        <f t="shared" si="97"/>
        <v>37.632427290462147</v>
      </c>
      <c r="F557" s="28">
        <f t="shared" si="98"/>
        <v>23.186666666666667</v>
      </c>
      <c r="G557" s="28">
        <f t="shared" si="99"/>
        <v>8.7409060428711882</v>
      </c>
      <c r="H557" s="28">
        <f t="shared" si="100"/>
        <v>-1.4924793897308348</v>
      </c>
      <c r="I557" s="28">
        <f t="shared" si="101"/>
        <v>3.119674929235714</v>
      </c>
      <c r="J557" s="28">
        <f t="shared" si="102"/>
        <v>68.252743918461903</v>
      </c>
      <c r="K557" s="28">
        <f t="shared" si="103"/>
        <v>23.186666666666667</v>
      </c>
      <c r="L557" s="28">
        <f t="shared" si="104"/>
        <v>0</v>
      </c>
      <c r="M557" s="2" t="str">
        <f t="shared" si="105"/>
        <v/>
      </c>
      <c r="N557" s="2" t="str">
        <f t="shared" si="106"/>
        <v/>
      </c>
      <c r="O557" s="2">
        <f t="shared" si="107"/>
        <v>7</v>
      </c>
    </row>
    <row r="558" spans="1:15">
      <c r="A558" s="27">
        <v>548</v>
      </c>
      <c r="B558" s="27">
        <v>45</v>
      </c>
      <c r="C558" s="27">
        <v>1</v>
      </c>
      <c r="D558" s="28">
        <f t="shared" si="96"/>
        <v>45</v>
      </c>
      <c r="E558" s="28">
        <f t="shared" si="97"/>
        <v>37.632427290462147</v>
      </c>
      <c r="F558" s="28">
        <f t="shared" si="98"/>
        <v>23.186666666666667</v>
      </c>
      <c r="G558" s="28">
        <f t="shared" si="99"/>
        <v>8.7409060428711882</v>
      </c>
      <c r="H558" s="28">
        <f t="shared" si="100"/>
        <v>4.5300487599251307</v>
      </c>
      <c r="I558" s="28">
        <f t="shared" si="101"/>
        <v>3.119674929235714</v>
      </c>
      <c r="J558" s="28">
        <f t="shared" si="102"/>
        <v>68.252743918461903</v>
      </c>
      <c r="K558" s="28">
        <f t="shared" si="103"/>
        <v>23.186666666666667</v>
      </c>
      <c r="L558" s="28">
        <f t="shared" si="104"/>
        <v>0</v>
      </c>
      <c r="M558" s="2" t="str">
        <f t="shared" si="105"/>
        <v>Y</v>
      </c>
      <c r="N558" s="2" t="str">
        <f t="shared" si="106"/>
        <v/>
      </c>
      <c r="O558" s="2">
        <f t="shared" si="107"/>
        <v>29</v>
      </c>
    </row>
    <row r="559" spans="1:15">
      <c r="A559" s="27">
        <v>549</v>
      </c>
      <c r="B559" s="27">
        <v>56</v>
      </c>
      <c r="C559" s="27">
        <v>1</v>
      </c>
      <c r="D559" s="28">
        <f t="shared" si="96"/>
        <v>56</v>
      </c>
      <c r="E559" s="28">
        <f t="shared" si="97"/>
        <v>37.632427290462147</v>
      </c>
      <c r="F559" s="28">
        <f t="shared" si="98"/>
        <v>23.186666666666667</v>
      </c>
      <c r="G559" s="28">
        <f t="shared" si="99"/>
        <v>8.7409060428711882</v>
      </c>
      <c r="H559" s="28">
        <f t="shared" si="100"/>
        <v>6.8144559891049798</v>
      </c>
      <c r="I559" s="28">
        <f t="shared" si="101"/>
        <v>3.119674929235714</v>
      </c>
      <c r="J559" s="28">
        <f t="shared" si="102"/>
        <v>68.252743918461903</v>
      </c>
      <c r="K559" s="28">
        <f t="shared" si="103"/>
        <v>23.186666666666667</v>
      </c>
      <c r="L559" s="28">
        <f t="shared" si="104"/>
        <v>0</v>
      </c>
      <c r="M559" s="2" t="str">
        <f t="shared" si="105"/>
        <v>Y</v>
      </c>
      <c r="N559" s="2" t="str">
        <f t="shared" si="106"/>
        <v/>
      </c>
      <c r="O559" s="2">
        <f t="shared" si="107"/>
        <v>11</v>
      </c>
    </row>
    <row r="560" spans="1:15">
      <c r="A560" s="27">
        <v>550</v>
      </c>
      <c r="B560" s="27">
        <v>85</v>
      </c>
      <c r="C560" s="27">
        <v>1</v>
      </c>
      <c r="D560" s="28">
        <f t="shared" si="96"/>
        <v>85</v>
      </c>
      <c r="E560" s="28">
        <f t="shared" si="97"/>
        <v>37.632427290462147</v>
      </c>
      <c r="F560" s="28">
        <f t="shared" si="98"/>
        <v>23.186666666666667</v>
      </c>
      <c r="G560" s="28">
        <f t="shared" si="99"/>
        <v>8.7409060428711882</v>
      </c>
      <c r="H560" s="28">
        <f t="shared" si="100"/>
        <v>12.836984138760945</v>
      </c>
      <c r="I560" s="28">
        <f t="shared" si="101"/>
        <v>3.119674929235714</v>
      </c>
      <c r="J560" s="28">
        <f t="shared" si="102"/>
        <v>68.252743918461903</v>
      </c>
      <c r="K560" s="28">
        <f t="shared" si="103"/>
        <v>23.186666666666667</v>
      </c>
      <c r="L560" s="28">
        <f t="shared" si="104"/>
        <v>0</v>
      </c>
      <c r="M560" s="2" t="str">
        <f t="shared" si="105"/>
        <v>Y</v>
      </c>
      <c r="N560" s="2" t="str">
        <f t="shared" si="106"/>
        <v>Y</v>
      </c>
      <c r="O560" s="2">
        <f t="shared" si="107"/>
        <v>29</v>
      </c>
    </row>
    <row r="561" spans="1:15">
      <c r="A561" s="27">
        <v>551</v>
      </c>
      <c r="B561" s="27">
        <v>14</v>
      </c>
      <c r="C561" s="27">
        <v>1</v>
      </c>
      <c r="D561" s="28">
        <f t="shared" si="96"/>
        <v>14</v>
      </c>
      <c r="E561" s="28">
        <f t="shared" si="97"/>
        <v>37.632427290462147</v>
      </c>
      <c r="F561" s="28">
        <f t="shared" si="98"/>
        <v>23.186666666666667</v>
      </c>
      <c r="G561" s="28">
        <f t="shared" si="99"/>
        <v>8.7409060428711882</v>
      </c>
      <c r="H561" s="28">
        <f t="shared" si="100"/>
        <v>-1.9078261586726255</v>
      </c>
      <c r="I561" s="28">
        <f t="shared" si="101"/>
        <v>3.119674929235714</v>
      </c>
      <c r="J561" s="28">
        <f t="shared" si="102"/>
        <v>68.252743918461903</v>
      </c>
      <c r="K561" s="28">
        <f t="shared" si="103"/>
        <v>23.186666666666667</v>
      </c>
      <c r="L561" s="28">
        <f t="shared" si="104"/>
        <v>0</v>
      </c>
      <c r="M561" s="2" t="str">
        <f t="shared" si="105"/>
        <v/>
      </c>
      <c r="N561" s="2" t="str">
        <f t="shared" si="106"/>
        <v/>
      </c>
      <c r="O561" s="2">
        <f t="shared" si="107"/>
        <v>71</v>
      </c>
    </row>
    <row r="562" spans="1:15">
      <c r="A562" s="27">
        <v>552</v>
      </c>
      <c r="B562" s="27">
        <v>13</v>
      </c>
      <c r="C562" s="27">
        <v>1</v>
      </c>
      <c r="D562" s="28">
        <f t="shared" si="96"/>
        <v>13</v>
      </c>
      <c r="E562" s="28">
        <f t="shared" si="97"/>
        <v>37.632427290462147</v>
      </c>
      <c r="F562" s="28">
        <f t="shared" si="98"/>
        <v>23.186666666666667</v>
      </c>
      <c r="G562" s="28">
        <f t="shared" si="99"/>
        <v>8.7409060428711882</v>
      </c>
      <c r="H562" s="28">
        <f t="shared" si="100"/>
        <v>-2.1154995431435211</v>
      </c>
      <c r="I562" s="28">
        <f t="shared" si="101"/>
        <v>3.119674929235714</v>
      </c>
      <c r="J562" s="28">
        <f t="shared" si="102"/>
        <v>68.252743918461903</v>
      </c>
      <c r="K562" s="28">
        <f t="shared" si="103"/>
        <v>23.186666666666667</v>
      </c>
      <c r="L562" s="28">
        <f t="shared" si="104"/>
        <v>0</v>
      </c>
      <c r="M562" s="2" t="str">
        <f t="shared" si="105"/>
        <v/>
      </c>
      <c r="N562" s="2" t="str">
        <f t="shared" si="106"/>
        <v/>
      </c>
      <c r="O562" s="2">
        <f t="shared" si="107"/>
        <v>1</v>
      </c>
    </row>
    <row r="563" spans="1:15">
      <c r="A563" s="27">
        <v>553</v>
      </c>
      <c r="B563" s="27">
        <v>58</v>
      </c>
      <c r="C563" s="27">
        <v>1</v>
      </c>
      <c r="D563" s="28">
        <f t="shared" si="96"/>
        <v>58</v>
      </c>
      <c r="E563" s="28">
        <f t="shared" si="97"/>
        <v>37.632427290462147</v>
      </c>
      <c r="F563" s="28">
        <f t="shared" si="98"/>
        <v>23.186666666666667</v>
      </c>
      <c r="G563" s="28">
        <f t="shared" si="99"/>
        <v>8.7409060428711882</v>
      </c>
      <c r="H563" s="28">
        <f t="shared" si="100"/>
        <v>7.2298027580467705</v>
      </c>
      <c r="I563" s="28">
        <f t="shared" si="101"/>
        <v>3.119674929235714</v>
      </c>
      <c r="J563" s="28">
        <f t="shared" si="102"/>
        <v>68.252743918461903</v>
      </c>
      <c r="K563" s="28">
        <f t="shared" si="103"/>
        <v>23.186666666666667</v>
      </c>
      <c r="L563" s="28">
        <f t="shared" si="104"/>
        <v>0</v>
      </c>
      <c r="M563" s="2" t="str">
        <f t="shared" si="105"/>
        <v>Y</v>
      </c>
      <c r="N563" s="2" t="str">
        <f t="shared" si="106"/>
        <v/>
      </c>
      <c r="O563" s="2">
        <f t="shared" si="107"/>
        <v>45</v>
      </c>
    </row>
    <row r="564" spans="1:15">
      <c r="A564" s="27">
        <v>554</v>
      </c>
      <c r="B564" s="27">
        <v>93</v>
      </c>
      <c r="C564" s="27">
        <v>1</v>
      </c>
      <c r="D564" s="28">
        <f t="shared" si="96"/>
        <v>93</v>
      </c>
      <c r="E564" s="28">
        <f t="shared" si="97"/>
        <v>37.632427290462147</v>
      </c>
      <c r="F564" s="28">
        <f t="shared" si="98"/>
        <v>23.186666666666667</v>
      </c>
      <c r="G564" s="28">
        <f t="shared" si="99"/>
        <v>8.7409060428711882</v>
      </c>
      <c r="H564" s="28">
        <f t="shared" si="100"/>
        <v>14.498371214528108</v>
      </c>
      <c r="I564" s="28">
        <f t="shared" si="101"/>
        <v>3.119674929235714</v>
      </c>
      <c r="J564" s="28">
        <f t="shared" si="102"/>
        <v>68.252743918461903</v>
      </c>
      <c r="K564" s="28">
        <f t="shared" si="103"/>
        <v>23.186666666666667</v>
      </c>
      <c r="L564" s="28">
        <f t="shared" si="104"/>
        <v>0</v>
      </c>
      <c r="M564" s="2" t="str">
        <f t="shared" si="105"/>
        <v>Y</v>
      </c>
      <c r="N564" s="2" t="str">
        <f t="shared" si="106"/>
        <v>Y</v>
      </c>
      <c r="O564" s="2">
        <f t="shared" si="107"/>
        <v>35</v>
      </c>
    </row>
    <row r="565" spans="1:15">
      <c r="A565" s="27">
        <v>555</v>
      </c>
      <c r="B565" s="27">
        <v>51</v>
      </c>
      <c r="C565" s="27">
        <v>1</v>
      </c>
      <c r="D565" s="28">
        <f t="shared" si="96"/>
        <v>51</v>
      </c>
      <c r="E565" s="28">
        <f t="shared" si="97"/>
        <v>37.632427290462147</v>
      </c>
      <c r="F565" s="28">
        <f t="shared" si="98"/>
        <v>23.186666666666667</v>
      </c>
      <c r="G565" s="28">
        <f t="shared" si="99"/>
        <v>8.7409060428711882</v>
      </c>
      <c r="H565" s="28">
        <f t="shared" si="100"/>
        <v>5.7760890667505027</v>
      </c>
      <c r="I565" s="28">
        <f t="shared" si="101"/>
        <v>3.119674929235714</v>
      </c>
      <c r="J565" s="28">
        <f t="shared" si="102"/>
        <v>68.252743918461903</v>
      </c>
      <c r="K565" s="28">
        <f t="shared" si="103"/>
        <v>23.186666666666667</v>
      </c>
      <c r="L565" s="28">
        <f t="shared" si="104"/>
        <v>0</v>
      </c>
      <c r="M565" s="2" t="str">
        <f t="shared" si="105"/>
        <v>Y</v>
      </c>
      <c r="N565" s="2" t="str">
        <f t="shared" si="106"/>
        <v/>
      </c>
      <c r="O565" s="2">
        <f t="shared" si="107"/>
        <v>42</v>
      </c>
    </row>
    <row r="566" spans="1:15">
      <c r="A566" s="27">
        <v>556</v>
      </c>
      <c r="B566" s="27">
        <v>11</v>
      </c>
      <c r="C566" s="27">
        <v>1</v>
      </c>
      <c r="D566" s="28">
        <f t="shared" si="96"/>
        <v>11</v>
      </c>
      <c r="E566" s="28">
        <f t="shared" si="97"/>
        <v>37.632427290462147</v>
      </c>
      <c r="F566" s="28">
        <f t="shared" si="98"/>
        <v>23.186666666666667</v>
      </c>
      <c r="G566" s="28">
        <f t="shared" si="99"/>
        <v>8.7409060428711882</v>
      </c>
      <c r="H566" s="28">
        <f t="shared" si="100"/>
        <v>-2.5308463120853117</v>
      </c>
      <c r="I566" s="28">
        <f t="shared" si="101"/>
        <v>3.119674929235714</v>
      </c>
      <c r="J566" s="28">
        <f t="shared" si="102"/>
        <v>68.252743918461903</v>
      </c>
      <c r="K566" s="28">
        <f t="shared" si="103"/>
        <v>23.186666666666667</v>
      </c>
      <c r="L566" s="28">
        <f t="shared" si="104"/>
        <v>0</v>
      </c>
      <c r="M566" s="2" t="str">
        <f t="shared" si="105"/>
        <v/>
      </c>
      <c r="N566" s="2" t="str">
        <f t="shared" si="106"/>
        <v/>
      </c>
      <c r="O566" s="2">
        <f t="shared" si="107"/>
        <v>40</v>
      </c>
    </row>
    <row r="567" spans="1:15">
      <c r="A567" s="27">
        <v>557</v>
      </c>
      <c r="B567" s="27">
        <v>49</v>
      </c>
      <c r="C567" s="27">
        <v>1</v>
      </c>
      <c r="D567" s="28">
        <f t="shared" si="96"/>
        <v>49</v>
      </c>
      <c r="E567" s="28">
        <f t="shared" si="97"/>
        <v>37.632427290462147</v>
      </c>
      <c r="F567" s="28">
        <f t="shared" si="98"/>
        <v>23.186666666666667</v>
      </c>
      <c r="G567" s="28">
        <f t="shared" si="99"/>
        <v>8.7409060428711882</v>
      </c>
      <c r="H567" s="28">
        <f t="shared" si="100"/>
        <v>5.360742297808712</v>
      </c>
      <c r="I567" s="28">
        <f t="shared" si="101"/>
        <v>3.119674929235714</v>
      </c>
      <c r="J567" s="28">
        <f t="shared" si="102"/>
        <v>68.252743918461903</v>
      </c>
      <c r="K567" s="28">
        <f t="shared" si="103"/>
        <v>23.186666666666667</v>
      </c>
      <c r="L567" s="28">
        <f t="shared" si="104"/>
        <v>0</v>
      </c>
      <c r="M567" s="2" t="str">
        <f t="shared" si="105"/>
        <v>Y</v>
      </c>
      <c r="N567" s="2" t="str">
        <f t="shared" si="106"/>
        <v/>
      </c>
      <c r="O567" s="2">
        <f t="shared" si="107"/>
        <v>38</v>
      </c>
    </row>
    <row r="568" spans="1:15">
      <c r="A568" s="27">
        <v>558</v>
      </c>
      <c r="B568" s="27">
        <v>36</v>
      </c>
      <c r="C568" s="27">
        <v>1</v>
      </c>
      <c r="D568" s="28">
        <f t="shared" si="96"/>
        <v>36</v>
      </c>
      <c r="E568" s="28">
        <f t="shared" si="97"/>
        <v>37.632427290462147</v>
      </c>
      <c r="F568" s="28">
        <f t="shared" si="98"/>
        <v>23.186666666666667</v>
      </c>
      <c r="G568" s="28">
        <f t="shared" si="99"/>
        <v>8.7409060428711882</v>
      </c>
      <c r="H568" s="28">
        <f t="shared" si="100"/>
        <v>2.6609882996870726</v>
      </c>
      <c r="I568" s="28">
        <f t="shared" si="101"/>
        <v>3.119674929235714</v>
      </c>
      <c r="J568" s="28">
        <f t="shared" si="102"/>
        <v>68.252743918461903</v>
      </c>
      <c r="K568" s="28">
        <f t="shared" si="103"/>
        <v>23.186666666666667</v>
      </c>
      <c r="L568" s="28">
        <f t="shared" si="104"/>
        <v>0</v>
      </c>
      <c r="M568" s="2" t="str">
        <f t="shared" si="105"/>
        <v/>
      </c>
      <c r="N568" s="2" t="str">
        <f t="shared" si="106"/>
        <v/>
      </c>
      <c r="O568" s="2">
        <f t="shared" si="107"/>
        <v>13</v>
      </c>
    </row>
    <row r="569" spans="1:15">
      <c r="A569" s="27">
        <v>559</v>
      </c>
      <c r="B569" s="27">
        <v>11</v>
      </c>
      <c r="C569" s="27">
        <v>1</v>
      </c>
      <c r="D569" s="28">
        <f t="shared" si="96"/>
        <v>11</v>
      </c>
      <c r="E569" s="28">
        <f t="shared" si="97"/>
        <v>37.632427290462147</v>
      </c>
      <c r="F569" s="28">
        <f t="shared" si="98"/>
        <v>23.186666666666667</v>
      </c>
      <c r="G569" s="28">
        <f t="shared" si="99"/>
        <v>8.7409060428711882</v>
      </c>
      <c r="H569" s="28">
        <f t="shared" si="100"/>
        <v>-2.5308463120853117</v>
      </c>
      <c r="I569" s="28">
        <f t="shared" si="101"/>
        <v>3.119674929235714</v>
      </c>
      <c r="J569" s="28">
        <f t="shared" si="102"/>
        <v>68.252743918461903</v>
      </c>
      <c r="K569" s="28">
        <f t="shared" si="103"/>
        <v>23.186666666666667</v>
      </c>
      <c r="L569" s="28">
        <f t="shared" si="104"/>
        <v>0</v>
      </c>
      <c r="M569" s="2" t="str">
        <f t="shared" si="105"/>
        <v/>
      </c>
      <c r="N569" s="2" t="str">
        <f t="shared" si="106"/>
        <v/>
      </c>
      <c r="O569" s="2">
        <f t="shared" si="107"/>
        <v>25</v>
      </c>
    </row>
    <row r="570" spans="1:15">
      <c r="A570" s="27">
        <v>560</v>
      </c>
      <c r="B570" s="27">
        <v>44</v>
      </c>
      <c r="C570" s="27">
        <v>1</v>
      </c>
      <c r="D570" s="28">
        <f t="shared" si="96"/>
        <v>44</v>
      </c>
      <c r="E570" s="28">
        <f t="shared" si="97"/>
        <v>37.632427290462147</v>
      </c>
      <c r="F570" s="28">
        <f t="shared" si="98"/>
        <v>23.186666666666667</v>
      </c>
      <c r="G570" s="28">
        <f t="shared" si="99"/>
        <v>8.7409060428711882</v>
      </c>
      <c r="H570" s="28">
        <f t="shared" si="100"/>
        <v>4.3223753754542358</v>
      </c>
      <c r="I570" s="28">
        <f t="shared" si="101"/>
        <v>3.119674929235714</v>
      </c>
      <c r="J570" s="28">
        <f t="shared" si="102"/>
        <v>68.252743918461903</v>
      </c>
      <c r="K570" s="28">
        <f t="shared" si="103"/>
        <v>23.186666666666667</v>
      </c>
      <c r="L570" s="28">
        <f t="shared" si="104"/>
        <v>0</v>
      </c>
      <c r="M570" s="2" t="str">
        <f t="shared" si="105"/>
        <v>Y</v>
      </c>
      <c r="N570" s="2" t="str">
        <f t="shared" si="106"/>
        <v/>
      </c>
      <c r="O570" s="2">
        <f t="shared" si="107"/>
        <v>33</v>
      </c>
    </row>
    <row r="571" spans="1:15">
      <c r="A571" s="27">
        <v>561</v>
      </c>
      <c r="B571" s="27">
        <v>36</v>
      </c>
      <c r="C571" s="27">
        <v>1</v>
      </c>
      <c r="D571" s="28">
        <f t="shared" si="96"/>
        <v>36</v>
      </c>
      <c r="E571" s="28">
        <f t="shared" si="97"/>
        <v>37.632427290462147</v>
      </c>
      <c r="F571" s="28">
        <f t="shared" si="98"/>
        <v>23.186666666666667</v>
      </c>
      <c r="G571" s="28">
        <f t="shared" si="99"/>
        <v>8.7409060428711882</v>
      </c>
      <c r="H571" s="28">
        <f t="shared" si="100"/>
        <v>2.6609882996870726</v>
      </c>
      <c r="I571" s="28">
        <f t="shared" si="101"/>
        <v>3.119674929235714</v>
      </c>
      <c r="J571" s="28">
        <f t="shared" si="102"/>
        <v>68.252743918461903</v>
      </c>
      <c r="K571" s="28">
        <f t="shared" si="103"/>
        <v>23.186666666666667</v>
      </c>
      <c r="L571" s="28">
        <f t="shared" si="104"/>
        <v>0</v>
      </c>
      <c r="M571" s="2" t="str">
        <f t="shared" si="105"/>
        <v/>
      </c>
      <c r="N571" s="2" t="str">
        <f t="shared" si="106"/>
        <v/>
      </c>
      <c r="O571" s="2">
        <f t="shared" si="107"/>
        <v>8</v>
      </c>
    </row>
    <row r="572" spans="1:15">
      <c r="A572" s="27">
        <v>562</v>
      </c>
      <c r="B572" s="27">
        <v>41</v>
      </c>
      <c r="C572" s="27">
        <v>1</v>
      </c>
      <c r="D572" s="28">
        <f t="shared" si="96"/>
        <v>41</v>
      </c>
      <c r="E572" s="28">
        <f t="shared" si="97"/>
        <v>37.632427290462147</v>
      </c>
      <c r="F572" s="28">
        <f t="shared" si="98"/>
        <v>23.186666666666667</v>
      </c>
      <c r="G572" s="28">
        <f t="shared" si="99"/>
        <v>8.7409060428711882</v>
      </c>
      <c r="H572" s="28">
        <f t="shared" si="100"/>
        <v>3.6993552220415493</v>
      </c>
      <c r="I572" s="28">
        <f t="shared" si="101"/>
        <v>3.119674929235714</v>
      </c>
      <c r="J572" s="28">
        <f t="shared" si="102"/>
        <v>68.252743918461903</v>
      </c>
      <c r="K572" s="28">
        <f t="shared" si="103"/>
        <v>23.186666666666667</v>
      </c>
      <c r="L572" s="28">
        <f t="shared" si="104"/>
        <v>0</v>
      </c>
      <c r="M572" s="2" t="str">
        <f t="shared" si="105"/>
        <v>Y</v>
      </c>
      <c r="N572" s="2" t="str">
        <f t="shared" si="106"/>
        <v/>
      </c>
      <c r="O572" s="2">
        <f t="shared" si="107"/>
        <v>5</v>
      </c>
    </row>
    <row r="573" spans="1:15">
      <c r="A573" s="27">
        <v>563</v>
      </c>
      <c r="B573" s="27">
        <v>53</v>
      </c>
      <c r="C573" s="27">
        <v>1</v>
      </c>
      <c r="D573" s="28">
        <f t="shared" si="96"/>
        <v>53</v>
      </c>
      <c r="E573" s="28">
        <f t="shared" si="97"/>
        <v>37.632427290462147</v>
      </c>
      <c r="F573" s="28">
        <f t="shared" si="98"/>
        <v>23.186666666666667</v>
      </c>
      <c r="G573" s="28">
        <f t="shared" si="99"/>
        <v>8.7409060428711882</v>
      </c>
      <c r="H573" s="28">
        <f t="shared" si="100"/>
        <v>6.1914358356922934</v>
      </c>
      <c r="I573" s="28">
        <f t="shared" si="101"/>
        <v>3.119674929235714</v>
      </c>
      <c r="J573" s="28">
        <f t="shared" si="102"/>
        <v>68.252743918461903</v>
      </c>
      <c r="K573" s="28">
        <f t="shared" si="103"/>
        <v>23.186666666666667</v>
      </c>
      <c r="L573" s="28">
        <f t="shared" si="104"/>
        <v>0</v>
      </c>
      <c r="M573" s="2" t="str">
        <f t="shared" si="105"/>
        <v>Y</v>
      </c>
      <c r="N573" s="2" t="str">
        <f t="shared" si="106"/>
        <v/>
      </c>
      <c r="O573" s="2">
        <f t="shared" si="107"/>
        <v>12</v>
      </c>
    </row>
    <row r="574" spans="1:15">
      <c r="A574" s="27">
        <v>564</v>
      </c>
      <c r="B574" s="27">
        <v>20</v>
      </c>
      <c r="C574" s="27">
        <v>1</v>
      </c>
      <c r="D574" s="28">
        <f t="shared" si="96"/>
        <v>20</v>
      </c>
      <c r="E574" s="28">
        <f t="shared" si="97"/>
        <v>37.632427290462147</v>
      </c>
      <c r="F574" s="28">
        <f t="shared" si="98"/>
        <v>23.186666666666667</v>
      </c>
      <c r="G574" s="28">
        <f t="shared" si="99"/>
        <v>8.7409060428711882</v>
      </c>
      <c r="H574" s="28">
        <f t="shared" si="100"/>
        <v>-0.66178585184725336</v>
      </c>
      <c r="I574" s="28">
        <f t="shared" si="101"/>
        <v>3.119674929235714</v>
      </c>
      <c r="J574" s="28">
        <f t="shared" si="102"/>
        <v>68.252743918461903</v>
      </c>
      <c r="K574" s="28">
        <f t="shared" si="103"/>
        <v>23.186666666666667</v>
      </c>
      <c r="L574" s="28">
        <f t="shared" si="104"/>
        <v>0</v>
      </c>
      <c r="M574" s="2" t="str">
        <f t="shared" si="105"/>
        <v/>
      </c>
      <c r="N574" s="2" t="str">
        <f t="shared" si="106"/>
        <v/>
      </c>
      <c r="O574" s="2">
        <f t="shared" si="107"/>
        <v>33</v>
      </c>
    </row>
    <row r="575" spans="1:15">
      <c r="A575" s="27">
        <v>565</v>
      </c>
      <c r="B575" s="27">
        <v>55</v>
      </c>
      <c r="C575" s="27">
        <v>1</v>
      </c>
      <c r="D575" s="28">
        <f t="shared" si="96"/>
        <v>55</v>
      </c>
      <c r="E575" s="28">
        <f t="shared" si="97"/>
        <v>37.632427290462147</v>
      </c>
      <c r="F575" s="28">
        <f t="shared" si="98"/>
        <v>23.186666666666667</v>
      </c>
      <c r="G575" s="28">
        <f t="shared" si="99"/>
        <v>8.7409060428711882</v>
      </c>
      <c r="H575" s="28">
        <f t="shared" si="100"/>
        <v>6.6067826046340841</v>
      </c>
      <c r="I575" s="28">
        <f t="shared" si="101"/>
        <v>3.119674929235714</v>
      </c>
      <c r="J575" s="28">
        <f t="shared" si="102"/>
        <v>68.252743918461903</v>
      </c>
      <c r="K575" s="28">
        <f t="shared" si="103"/>
        <v>23.186666666666667</v>
      </c>
      <c r="L575" s="28">
        <f t="shared" si="104"/>
        <v>0</v>
      </c>
      <c r="M575" s="2" t="str">
        <f t="shared" si="105"/>
        <v>Y</v>
      </c>
      <c r="N575" s="2" t="str">
        <f t="shared" si="106"/>
        <v/>
      </c>
      <c r="O575" s="2">
        <f t="shared" si="107"/>
        <v>35</v>
      </c>
    </row>
    <row r="576" spans="1:15">
      <c r="A576" s="27">
        <v>566</v>
      </c>
      <c r="B576" s="27">
        <v>40</v>
      </c>
      <c r="C576" s="27">
        <v>1</v>
      </c>
      <c r="D576" s="28">
        <f t="shared" si="96"/>
        <v>40</v>
      </c>
      <c r="E576" s="28">
        <f t="shared" si="97"/>
        <v>37.632427290462147</v>
      </c>
      <c r="F576" s="28">
        <f t="shared" si="98"/>
        <v>23.186666666666667</v>
      </c>
      <c r="G576" s="28">
        <f t="shared" si="99"/>
        <v>8.7409060428711882</v>
      </c>
      <c r="H576" s="28">
        <f t="shared" si="100"/>
        <v>3.491681837570654</v>
      </c>
      <c r="I576" s="28">
        <f t="shared" si="101"/>
        <v>3.119674929235714</v>
      </c>
      <c r="J576" s="28">
        <f t="shared" si="102"/>
        <v>68.252743918461903</v>
      </c>
      <c r="K576" s="28">
        <f t="shared" si="103"/>
        <v>23.186666666666667</v>
      </c>
      <c r="L576" s="28">
        <f t="shared" si="104"/>
        <v>0</v>
      </c>
      <c r="M576" s="2" t="str">
        <f t="shared" si="105"/>
        <v>Y</v>
      </c>
      <c r="N576" s="2" t="str">
        <f t="shared" si="106"/>
        <v/>
      </c>
      <c r="O576" s="2">
        <f t="shared" si="107"/>
        <v>15</v>
      </c>
    </row>
    <row r="577" spans="1:15">
      <c r="A577" s="27">
        <v>567</v>
      </c>
      <c r="B577" s="27">
        <v>71</v>
      </c>
      <c r="C577" s="27">
        <v>1</v>
      </c>
      <c r="D577" s="28">
        <f t="shared" si="96"/>
        <v>71</v>
      </c>
      <c r="E577" s="28">
        <f t="shared" si="97"/>
        <v>37.632427290462147</v>
      </c>
      <c r="F577" s="28">
        <f t="shared" si="98"/>
        <v>23.186666666666667</v>
      </c>
      <c r="G577" s="28">
        <f t="shared" si="99"/>
        <v>8.7409060428711882</v>
      </c>
      <c r="H577" s="28">
        <f t="shared" si="100"/>
        <v>9.9295567561684095</v>
      </c>
      <c r="I577" s="28">
        <f t="shared" si="101"/>
        <v>3.119674929235714</v>
      </c>
      <c r="J577" s="28">
        <f t="shared" si="102"/>
        <v>68.252743918461903</v>
      </c>
      <c r="K577" s="28">
        <f t="shared" si="103"/>
        <v>23.186666666666667</v>
      </c>
      <c r="L577" s="28">
        <f t="shared" si="104"/>
        <v>0</v>
      </c>
      <c r="M577" s="2" t="str">
        <f t="shared" si="105"/>
        <v>Y</v>
      </c>
      <c r="N577" s="2" t="str">
        <f t="shared" si="106"/>
        <v>Y</v>
      </c>
      <c r="O577" s="2">
        <f t="shared" si="107"/>
        <v>31</v>
      </c>
    </row>
    <row r="578" spans="1:15">
      <c r="A578" s="27">
        <v>568</v>
      </c>
      <c r="B578" s="27">
        <v>20</v>
      </c>
      <c r="C578" s="27">
        <v>1</v>
      </c>
      <c r="D578" s="28">
        <f t="shared" si="96"/>
        <v>20</v>
      </c>
      <c r="E578" s="28">
        <f t="shared" si="97"/>
        <v>37.632427290462147</v>
      </c>
      <c r="F578" s="28">
        <f t="shared" si="98"/>
        <v>23.186666666666667</v>
      </c>
      <c r="G578" s="28">
        <f t="shared" si="99"/>
        <v>8.7409060428711882</v>
      </c>
      <c r="H578" s="28">
        <f t="shared" si="100"/>
        <v>-0.66178585184725336</v>
      </c>
      <c r="I578" s="28">
        <f t="shared" si="101"/>
        <v>3.119674929235714</v>
      </c>
      <c r="J578" s="28">
        <f t="shared" si="102"/>
        <v>68.252743918461903</v>
      </c>
      <c r="K578" s="28">
        <f t="shared" si="103"/>
        <v>23.186666666666667</v>
      </c>
      <c r="L578" s="28">
        <f t="shared" si="104"/>
        <v>0</v>
      </c>
      <c r="M578" s="2" t="str">
        <f t="shared" si="105"/>
        <v/>
      </c>
      <c r="N578" s="2" t="str">
        <f t="shared" si="106"/>
        <v/>
      </c>
      <c r="O578" s="2">
        <f t="shared" si="107"/>
        <v>51</v>
      </c>
    </row>
    <row r="579" spans="1:15">
      <c r="A579" s="27">
        <v>569</v>
      </c>
      <c r="B579" s="27">
        <v>14</v>
      </c>
      <c r="C579" s="27">
        <v>1</v>
      </c>
      <c r="D579" s="28">
        <f t="shared" si="96"/>
        <v>14</v>
      </c>
      <c r="E579" s="28">
        <f t="shared" si="97"/>
        <v>37.632427290462147</v>
      </c>
      <c r="F579" s="28">
        <f t="shared" si="98"/>
        <v>23.186666666666667</v>
      </c>
      <c r="G579" s="28">
        <f t="shared" si="99"/>
        <v>8.7409060428711882</v>
      </c>
      <c r="H579" s="28">
        <f t="shared" si="100"/>
        <v>-1.9078261586726255</v>
      </c>
      <c r="I579" s="28">
        <f t="shared" si="101"/>
        <v>3.119674929235714</v>
      </c>
      <c r="J579" s="28">
        <f t="shared" si="102"/>
        <v>68.252743918461903</v>
      </c>
      <c r="K579" s="28">
        <f t="shared" si="103"/>
        <v>23.186666666666667</v>
      </c>
      <c r="L579" s="28">
        <f t="shared" si="104"/>
        <v>0</v>
      </c>
      <c r="M579" s="2" t="str">
        <f t="shared" si="105"/>
        <v/>
      </c>
      <c r="N579" s="2" t="str">
        <f t="shared" si="106"/>
        <v/>
      </c>
      <c r="O579" s="2">
        <f t="shared" si="107"/>
        <v>6</v>
      </c>
    </row>
    <row r="580" spans="1:15">
      <c r="A580" s="27">
        <v>570</v>
      </c>
      <c r="B580" s="27">
        <v>25</v>
      </c>
      <c r="C580" s="27">
        <v>1</v>
      </c>
      <c r="D580" s="28">
        <f t="shared" si="96"/>
        <v>25</v>
      </c>
      <c r="E580" s="28">
        <f t="shared" si="97"/>
        <v>37.632427290462147</v>
      </c>
      <c r="F580" s="28">
        <f t="shared" si="98"/>
        <v>23.186666666666667</v>
      </c>
      <c r="G580" s="28">
        <f t="shared" si="99"/>
        <v>8.7409060428711882</v>
      </c>
      <c r="H580" s="28">
        <f t="shared" si="100"/>
        <v>0.37658107050722345</v>
      </c>
      <c r="I580" s="28">
        <f t="shared" si="101"/>
        <v>3.119674929235714</v>
      </c>
      <c r="J580" s="28">
        <f t="shared" si="102"/>
        <v>68.252743918461903</v>
      </c>
      <c r="K580" s="28">
        <f t="shared" si="103"/>
        <v>23.186666666666667</v>
      </c>
      <c r="L580" s="28">
        <f t="shared" si="104"/>
        <v>0</v>
      </c>
      <c r="M580" s="2" t="str">
        <f t="shared" si="105"/>
        <v/>
      </c>
      <c r="N580" s="2" t="str">
        <f t="shared" si="106"/>
        <v/>
      </c>
      <c r="O580" s="2">
        <f t="shared" si="107"/>
        <v>11</v>
      </c>
    </row>
    <row r="581" spans="1:15">
      <c r="A581" s="27">
        <v>571</v>
      </c>
      <c r="B581" s="27">
        <v>16</v>
      </c>
      <c r="C581" s="27">
        <v>1</v>
      </c>
      <c r="D581" s="28">
        <f t="shared" si="96"/>
        <v>16</v>
      </c>
      <c r="E581" s="28">
        <f t="shared" si="97"/>
        <v>37.632427290462147</v>
      </c>
      <c r="F581" s="28">
        <f t="shared" si="98"/>
        <v>23.186666666666667</v>
      </c>
      <c r="G581" s="28">
        <f t="shared" si="99"/>
        <v>8.7409060428711882</v>
      </c>
      <c r="H581" s="28">
        <f t="shared" si="100"/>
        <v>-1.4924793897308348</v>
      </c>
      <c r="I581" s="28">
        <f t="shared" si="101"/>
        <v>3.119674929235714</v>
      </c>
      <c r="J581" s="28">
        <f t="shared" si="102"/>
        <v>68.252743918461903</v>
      </c>
      <c r="K581" s="28">
        <f t="shared" si="103"/>
        <v>23.186666666666667</v>
      </c>
      <c r="L581" s="28">
        <f t="shared" si="104"/>
        <v>0</v>
      </c>
      <c r="M581" s="2" t="str">
        <f t="shared" si="105"/>
        <v/>
      </c>
      <c r="N581" s="2" t="str">
        <f t="shared" si="106"/>
        <v/>
      </c>
      <c r="O581" s="2">
        <f t="shared" si="107"/>
        <v>9</v>
      </c>
    </row>
    <row r="582" spans="1:15">
      <c r="A582" s="27">
        <v>572</v>
      </c>
      <c r="B582" s="27">
        <v>53</v>
      </c>
      <c r="C582" s="27">
        <v>1</v>
      </c>
      <c r="D582" s="28">
        <f t="shared" si="96"/>
        <v>53</v>
      </c>
      <c r="E582" s="28">
        <f t="shared" si="97"/>
        <v>37.632427290462147</v>
      </c>
      <c r="F582" s="28">
        <f t="shared" si="98"/>
        <v>23.186666666666667</v>
      </c>
      <c r="G582" s="28">
        <f t="shared" si="99"/>
        <v>8.7409060428711882</v>
      </c>
      <c r="H582" s="28">
        <f t="shared" si="100"/>
        <v>6.1914358356922934</v>
      </c>
      <c r="I582" s="28">
        <f t="shared" si="101"/>
        <v>3.119674929235714</v>
      </c>
      <c r="J582" s="28">
        <f t="shared" si="102"/>
        <v>68.252743918461903</v>
      </c>
      <c r="K582" s="28">
        <f t="shared" si="103"/>
        <v>23.186666666666667</v>
      </c>
      <c r="L582" s="28">
        <f t="shared" si="104"/>
        <v>0</v>
      </c>
      <c r="M582" s="2" t="str">
        <f t="shared" si="105"/>
        <v>Y</v>
      </c>
      <c r="N582" s="2" t="str">
        <f t="shared" si="106"/>
        <v/>
      </c>
      <c r="O582" s="2">
        <f t="shared" si="107"/>
        <v>37</v>
      </c>
    </row>
    <row r="583" spans="1:15">
      <c r="A583" s="27">
        <v>573</v>
      </c>
      <c r="B583" s="27">
        <v>43</v>
      </c>
      <c r="C583" s="27">
        <v>1</v>
      </c>
      <c r="D583" s="28">
        <f t="shared" si="96"/>
        <v>43</v>
      </c>
      <c r="E583" s="28">
        <f t="shared" si="97"/>
        <v>37.632427290462147</v>
      </c>
      <c r="F583" s="28">
        <f t="shared" si="98"/>
        <v>23.186666666666667</v>
      </c>
      <c r="G583" s="28">
        <f t="shared" si="99"/>
        <v>8.7409060428711882</v>
      </c>
      <c r="H583" s="28">
        <f t="shared" si="100"/>
        <v>4.11470199098334</v>
      </c>
      <c r="I583" s="28">
        <f t="shared" si="101"/>
        <v>3.119674929235714</v>
      </c>
      <c r="J583" s="28">
        <f t="shared" si="102"/>
        <v>68.252743918461903</v>
      </c>
      <c r="K583" s="28">
        <f t="shared" si="103"/>
        <v>23.186666666666667</v>
      </c>
      <c r="L583" s="28">
        <f t="shared" si="104"/>
        <v>0</v>
      </c>
      <c r="M583" s="2" t="str">
        <f t="shared" si="105"/>
        <v>Y</v>
      </c>
      <c r="N583" s="2" t="str">
        <f t="shared" si="106"/>
        <v/>
      </c>
      <c r="O583" s="2">
        <f t="shared" si="107"/>
        <v>10</v>
      </c>
    </row>
    <row r="584" spans="1:15">
      <c r="A584" s="27">
        <v>574</v>
      </c>
      <c r="B584" s="27">
        <v>77</v>
      </c>
      <c r="C584" s="27">
        <v>1</v>
      </c>
      <c r="D584" s="28">
        <f t="shared" si="96"/>
        <v>77</v>
      </c>
      <c r="E584" s="28">
        <f t="shared" si="97"/>
        <v>37.632427290462147</v>
      </c>
      <c r="F584" s="28">
        <f t="shared" si="98"/>
        <v>23.186666666666667</v>
      </c>
      <c r="G584" s="28">
        <f t="shared" si="99"/>
        <v>8.7409060428711882</v>
      </c>
      <c r="H584" s="28">
        <f t="shared" si="100"/>
        <v>11.175597062993782</v>
      </c>
      <c r="I584" s="28">
        <f t="shared" si="101"/>
        <v>3.119674929235714</v>
      </c>
      <c r="J584" s="28">
        <f t="shared" si="102"/>
        <v>68.252743918461903</v>
      </c>
      <c r="K584" s="28">
        <f t="shared" si="103"/>
        <v>23.186666666666667</v>
      </c>
      <c r="L584" s="28">
        <f t="shared" si="104"/>
        <v>0</v>
      </c>
      <c r="M584" s="2" t="str">
        <f t="shared" si="105"/>
        <v>Y</v>
      </c>
      <c r="N584" s="2" t="str">
        <f t="shared" si="106"/>
        <v>Y</v>
      </c>
      <c r="O584" s="2">
        <f t="shared" si="107"/>
        <v>34</v>
      </c>
    </row>
    <row r="585" spans="1:15">
      <c r="A585" s="27">
        <v>575</v>
      </c>
      <c r="B585" s="27">
        <v>9</v>
      </c>
      <c r="C585" s="27">
        <v>1</v>
      </c>
      <c r="D585" s="28">
        <f t="shared" si="96"/>
        <v>9</v>
      </c>
      <c r="E585" s="28">
        <f t="shared" si="97"/>
        <v>37.632427290462147</v>
      </c>
      <c r="F585" s="28">
        <f t="shared" si="98"/>
        <v>23.186666666666667</v>
      </c>
      <c r="G585" s="28">
        <f t="shared" si="99"/>
        <v>8.7409060428711882</v>
      </c>
      <c r="H585" s="28">
        <f t="shared" si="100"/>
        <v>-2.9461930810271024</v>
      </c>
      <c r="I585" s="28">
        <f t="shared" si="101"/>
        <v>3.119674929235714</v>
      </c>
      <c r="J585" s="28">
        <f t="shared" si="102"/>
        <v>68.252743918461903</v>
      </c>
      <c r="K585" s="28">
        <f t="shared" si="103"/>
        <v>23.186666666666667</v>
      </c>
      <c r="L585" s="28">
        <f t="shared" si="104"/>
        <v>0</v>
      </c>
      <c r="M585" s="2" t="str">
        <f t="shared" si="105"/>
        <v/>
      </c>
      <c r="N585" s="2" t="str">
        <f t="shared" si="106"/>
        <v/>
      </c>
      <c r="O585" s="2">
        <f t="shared" si="107"/>
        <v>68</v>
      </c>
    </row>
    <row r="586" spans="1:15">
      <c r="A586" s="27">
        <v>576</v>
      </c>
      <c r="B586" s="27">
        <v>50</v>
      </c>
      <c r="C586" s="27">
        <v>1</v>
      </c>
      <c r="D586" s="28">
        <f t="shared" si="96"/>
        <v>50</v>
      </c>
      <c r="E586" s="28">
        <f t="shared" si="97"/>
        <v>37.632427290462147</v>
      </c>
      <c r="F586" s="28">
        <f t="shared" si="98"/>
        <v>23.186666666666667</v>
      </c>
      <c r="G586" s="28">
        <f t="shared" si="99"/>
        <v>8.7409060428711882</v>
      </c>
      <c r="H586" s="28">
        <f t="shared" si="100"/>
        <v>5.5684156822796078</v>
      </c>
      <c r="I586" s="28">
        <f t="shared" si="101"/>
        <v>3.119674929235714</v>
      </c>
      <c r="J586" s="28">
        <f t="shared" si="102"/>
        <v>68.252743918461903</v>
      </c>
      <c r="K586" s="28">
        <f t="shared" si="103"/>
        <v>23.186666666666667</v>
      </c>
      <c r="L586" s="28">
        <f t="shared" si="104"/>
        <v>0</v>
      </c>
      <c r="M586" s="2" t="str">
        <f t="shared" si="105"/>
        <v>Y</v>
      </c>
      <c r="N586" s="2" t="str">
        <f t="shared" si="106"/>
        <v/>
      </c>
      <c r="O586" s="2">
        <f t="shared" si="107"/>
        <v>41</v>
      </c>
    </row>
    <row r="587" spans="1:15">
      <c r="A587" s="27">
        <v>577</v>
      </c>
      <c r="B587" s="27">
        <v>41</v>
      </c>
      <c r="C587" s="27">
        <v>1</v>
      </c>
      <c r="D587" s="28">
        <f t="shared" ref="D587:D610" si="108">IF(C587=0,"",B587/C587)</f>
        <v>41</v>
      </c>
      <c r="E587" s="28">
        <f t="shared" ref="E587:E610" si="109">IF(C587=0,"",$F$5+3*SQRT($F$5/C587))</f>
        <v>37.632427290462147</v>
      </c>
      <c r="F587" s="28">
        <f t="shared" ref="F587:F610" si="110">$F$5</f>
        <v>23.186666666666667</v>
      </c>
      <c r="G587" s="28">
        <f t="shared" ref="G587:G610" si="111">IF(C587=0,"",MAX(0,$F$5-3*SQRT($F$5/C587)))</f>
        <v>8.7409060428711882</v>
      </c>
      <c r="H587" s="28">
        <f t="shared" ref="H587:H610" si="112">IF(C587=0,"",(D587-$F$5)/SQRT($F$5/C587))</f>
        <v>3.6993552220415493</v>
      </c>
      <c r="I587" s="28">
        <f t="shared" ref="I587:I610" si="113">$F$6</f>
        <v>3.119674929235714</v>
      </c>
      <c r="J587" s="28">
        <f t="shared" ref="J587:J610" si="114">IF(C587=0,"",$F$5+3*$F$6*SQRT($F$5/C587))</f>
        <v>68.252743918461903</v>
      </c>
      <c r="K587" s="28">
        <f t="shared" ref="K587:K610" si="115">$F$5</f>
        <v>23.186666666666667</v>
      </c>
      <c r="L587" s="28">
        <f t="shared" ref="L587:L610" si="116">IF(C587=0,"",MAX(0,$F$5-3*$F$6*SQRT($F$5/C587)))</f>
        <v>0</v>
      </c>
      <c r="M587" s="2" t="str">
        <f t="shared" ref="M587:M610" si="117">IF(OR(D587&gt;E587,D587&lt;G587),"Y","")</f>
        <v>Y</v>
      </c>
      <c r="N587" s="2" t="str">
        <f t="shared" ref="N587:N610" si="118">IF(OR(D587&gt;J587,D587&lt;L587),"Y","")</f>
        <v/>
      </c>
      <c r="O587" s="2">
        <f t="shared" si="107"/>
        <v>9</v>
      </c>
    </row>
    <row r="588" spans="1:15">
      <c r="A588" s="27">
        <v>578</v>
      </c>
      <c r="B588" s="27">
        <v>20</v>
      </c>
      <c r="C588" s="27">
        <v>1</v>
      </c>
      <c r="D588" s="28">
        <f t="shared" si="108"/>
        <v>20</v>
      </c>
      <c r="E588" s="28">
        <f t="shared" si="109"/>
        <v>37.632427290462147</v>
      </c>
      <c r="F588" s="28">
        <f t="shared" si="110"/>
        <v>23.186666666666667</v>
      </c>
      <c r="G588" s="28">
        <f t="shared" si="111"/>
        <v>8.7409060428711882</v>
      </c>
      <c r="H588" s="28">
        <f t="shared" si="112"/>
        <v>-0.66178585184725336</v>
      </c>
      <c r="I588" s="28">
        <f t="shared" si="113"/>
        <v>3.119674929235714</v>
      </c>
      <c r="J588" s="28">
        <f t="shared" si="114"/>
        <v>68.252743918461903</v>
      </c>
      <c r="K588" s="28">
        <f t="shared" si="115"/>
        <v>23.186666666666667</v>
      </c>
      <c r="L588" s="28">
        <f t="shared" si="116"/>
        <v>0</v>
      </c>
      <c r="M588" s="2" t="str">
        <f t="shared" si="117"/>
        <v/>
      </c>
      <c r="N588" s="2" t="str">
        <f t="shared" si="118"/>
        <v/>
      </c>
      <c r="O588" s="2">
        <f t="shared" ref="O588:O610" si="119">ABS(D588-D587)</f>
        <v>21</v>
      </c>
    </row>
    <row r="589" spans="1:15">
      <c r="A589" s="27">
        <v>579</v>
      </c>
      <c r="B589" s="27">
        <v>17</v>
      </c>
      <c r="C589" s="27">
        <v>1</v>
      </c>
      <c r="D589" s="28">
        <f t="shared" si="108"/>
        <v>17</v>
      </c>
      <c r="E589" s="28">
        <f t="shared" si="109"/>
        <v>37.632427290462147</v>
      </c>
      <c r="F589" s="28">
        <f t="shared" si="110"/>
        <v>23.186666666666667</v>
      </c>
      <c r="G589" s="28">
        <f t="shared" si="111"/>
        <v>8.7409060428711882</v>
      </c>
      <c r="H589" s="28">
        <f t="shared" si="112"/>
        <v>-1.2848060052599395</v>
      </c>
      <c r="I589" s="28">
        <f t="shared" si="113"/>
        <v>3.119674929235714</v>
      </c>
      <c r="J589" s="28">
        <f t="shared" si="114"/>
        <v>68.252743918461903</v>
      </c>
      <c r="K589" s="28">
        <f t="shared" si="115"/>
        <v>23.186666666666667</v>
      </c>
      <c r="L589" s="28">
        <f t="shared" si="116"/>
        <v>0</v>
      </c>
      <c r="M589" s="2" t="str">
        <f t="shared" si="117"/>
        <v/>
      </c>
      <c r="N589" s="2" t="str">
        <f t="shared" si="118"/>
        <v/>
      </c>
      <c r="O589" s="2">
        <f t="shared" si="119"/>
        <v>3</v>
      </c>
    </row>
    <row r="590" spans="1:15">
      <c r="A590" s="27">
        <v>580</v>
      </c>
      <c r="B590" s="27">
        <v>39</v>
      </c>
      <c r="C590" s="27">
        <v>1</v>
      </c>
      <c r="D590" s="28">
        <f t="shared" si="108"/>
        <v>39</v>
      </c>
      <c r="E590" s="28">
        <f t="shared" si="109"/>
        <v>37.632427290462147</v>
      </c>
      <c r="F590" s="28">
        <f t="shared" si="110"/>
        <v>23.186666666666667</v>
      </c>
      <c r="G590" s="28">
        <f t="shared" si="111"/>
        <v>8.7409060428711882</v>
      </c>
      <c r="H590" s="28">
        <f t="shared" si="112"/>
        <v>3.2840084530997586</v>
      </c>
      <c r="I590" s="28">
        <f t="shared" si="113"/>
        <v>3.119674929235714</v>
      </c>
      <c r="J590" s="28">
        <f t="shared" si="114"/>
        <v>68.252743918461903</v>
      </c>
      <c r="K590" s="28">
        <f t="shared" si="115"/>
        <v>23.186666666666667</v>
      </c>
      <c r="L590" s="28">
        <f t="shared" si="116"/>
        <v>0</v>
      </c>
      <c r="M590" s="2" t="str">
        <f t="shared" si="117"/>
        <v>Y</v>
      </c>
      <c r="N590" s="2" t="str">
        <f t="shared" si="118"/>
        <v/>
      </c>
      <c r="O590" s="2">
        <f t="shared" si="119"/>
        <v>22</v>
      </c>
    </row>
    <row r="591" spans="1:15">
      <c r="A591" s="27">
        <v>581</v>
      </c>
      <c r="B591" s="27">
        <v>55</v>
      </c>
      <c r="C591" s="27">
        <v>1</v>
      </c>
      <c r="D591" s="28">
        <f t="shared" si="108"/>
        <v>55</v>
      </c>
      <c r="E591" s="28">
        <f t="shared" si="109"/>
        <v>37.632427290462147</v>
      </c>
      <c r="F591" s="28">
        <f t="shared" si="110"/>
        <v>23.186666666666667</v>
      </c>
      <c r="G591" s="28">
        <f t="shared" si="111"/>
        <v>8.7409060428711882</v>
      </c>
      <c r="H591" s="28">
        <f t="shared" si="112"/>
        <v>6.6067826046340841</v>
      </c>
      <c r="I591" s="28">
        <f t="shared" si="113"/>
        <v>3.119674929235714</v>
      </c>
      <c r="J591" s="28">
        <f t="shared" si="114"/>
        <v>68.252743918461903</v>
      </c>
      <c r="K591" s="28">
        <f t="shared" si="115"/>
        <v>23.186666666666667</v>
      </c>
      <c r="L591" s="28">
        <f t="shared" si="116"/>
        <v>0</v>
      </c>
      <c r="M591" s="2" t="str">
        <f t="shared" si="117"/>
        <v>Y</v>
      </c>
      <c r="N591" s="2" t="str">
        <f t="shared" si="118"/>
        <v/>
      </c>
      <c r="O591" s="2">
        <f t="shared" si="119"/>
        <v>16</v>
      </c>
    </row>
    <row r="592" spans="1:15">
      <c r="A592" s="27">
        <v>582</v>
      </c>
      <c r="B592" s="27">
        <v>9</v>
      </c>
      <c r="C592" s="27">
        <v>1</v>
      </c>
      <c r="D592" s="28">
        <f t="shared" si="108"/>
        <v>9</v>
      </c>
      <c r="E592" s="28">
        <f t="shared" si="109"/>
        <v>37.632427290462147</v>
      </c>
      <c r="F592" s="28">
        <f t="shared" si="110"/>
        <v>23.186666666666667</v>
      </c>
      <c r="G592" s="28">
        <f t="shared" si="111"/>
        <v>8.7409060428711882</v>
      </c>
      <c r="H592" s="28">
        <f t="shared" si="112"/>
        <v>-2.9461930810271024</v>
      </c>
      <c r="I592" s="28">
        <f t="shared" si="113"/>
        <v>3.119674929235714</v>
      </c>
      <c r="J592" s="28">
        <f t="shared" si="114"/>
        <v>68.252743918461903</v>
      </c>
      <c r="K592" s="28">
        <f t="shared" si="115"/>
        <v>23.186666666666667</v>
      </c>
      <c r="L592" s="28">
        <f t="shared" si="116"/>
        <v>0</v>
      </c>
      <c r="M592" s="2" t="str">
        <f t="shared" si="117"/>
        <v/>
      </c>
      <c r="N592" s="2" t="str">
        <f t="shared" si="118"/>
        <v/>
      </c>
      <c r="O592" s="2">
        <f t="shared" si="119"/>
        <v>46</v>
      </c>
    </row>
    <row r="593" spans="1:15">
      <c r="A593" s="27">
        <v>583</v>
      </c>
      <c r="B593" s="27">
        <v>9</v>
      </c>
      <c r="C593" s="27">
        <v>1</v>
      </c>
      <c r="D593" s="28">
        <f t="shared" si="108"/>
        <v>9</v>
      </c>
      <c r="E593" s="28">
        <f t="shared" si="109"/>
        <v>37.632427290462147</v>
      </c>
      <c r="F593" s="28">
        <f t="shared" si="110"/>
        <v>23.186666666666667</v>
      </c>
      <c r="G593" s="28">
        <f t="shared" si="111"/>
        <v>8.7409060428711882</v>
      </c>
      <c r="H593" s="28">
        <f t="shared" si="112"/>
        <v>-2.9461930810271024</v>
      </c>
      <c r="I593" s="28">
        <f t="shared" si="113"/>
        <v>3.119674929235714</v>
      </c>
      <c r="J593" s="28">
        <f t="shared" si="114"/>
        <v>68.252743918461903</v>
      </c>
      <c r="K593" s="28">
        <f t="shared" si="115"/>
        <v>23.186666666666667</v>
      </c>
      <c r="L593" s="28">
        <f t="shared" si="116"/>
        <v>0</v>
      </c>
      <c r="M593" s="2" t="str">
        <f t="shared" si="117"/>
        <v/>
      </c>
      <c r="N593" s="2" t="str">
        <f t="shared" si="118"/>
        <v/>
      </c>
      <c r="O593" s="2">
        <f t="shared" si="119"/>
        <v>0</v>
      </c>
    </row>
    <row r="594" spans="1:15">
      <c r="A594" s="27">
        <v>584</v>
      </c>
      <c r="B594" s="27">
        <v>14</v>
      </c>
      <c r="C594" s="27">
        <v>1</v>
      </c>
      <c r="D594" s="28">
        <f t="shared" si="108"/>
        <v>14</v>
      </c>
      <c r="E594" s="28">
        <f t="shared" si="109"/>
        <v>37.632427290462147</v>
      </c>
      <c r="F594" s="28">
        <f t="shared" si="110"/>
        <v>23.186666666666667</v>
      </c>
      <c r="G594" s="28">
        <f t="shared" si="111"/>
        <v>8.7409060428711882</v>
      </c>
      <c r="H594" s="28">
        <f t="shared" si="112"/>
        <v>-1.9078261586726255</v>
      </c>
      <c r="I594" s="28">
        <f t="shared" si="113"/>
        <v>3.119674929235714</v>
      </c>
      <c r="J594" s="28">
        <f t="shared" si="114"/>
        <v>68.252743918461903</v>
      </c>
      <c r="K594" s="28">
        <f t="shared" si="115"/>
        <v>23.186666666666667</v>
      </c>
      <c r="L594" s="28">
        <f t="shared" si="116"/>
        <v>0</v>
      </c>
      <c r="M594" s="2" t="str">
        <f t="shared" si="117"/>
        <v/>
      </c>
      <c r="N594" s="2" t="str">
        <f t="shared" si="118"/>
        <v/>
      </c>
      <c r="O594" s="2">
        <f t="shared" si="119"/>
        <v>5</v>
      </c>
    </row>
    <row r="595" spans="1:15">
      <c r="A595" s="27">
        <v>585</v>
      </c>
      <c r="B595" s="27">
        <v>9</v>
      </c>
      <c r="C595" s="27">
        <v>1</v>
      </c>
      <c r="D595" s="28">
        <f t="shared" si="108"/>
        <v>9</v>
      </c>
      <c r="E595" s="28">
        <f t="shared" si="109"/>
        <v>37.632427290462147</v>
      </c>
      <c r="F595" s="28">
        <f t="shared" si="110"/>
        <v>23.186666666666667</v>
      </c>
      <c r="G595" s="28">
        <f t="shared" si="111"/>
        <v>8.7409060428711882</v>
      </c>
      <c r="H595" s="28">
        <f t="shared" si="112"/>
        <v>-2.9461930810271024</v>
      </c>
      <c r="I595" s="28">
        <f t="shared" si="113"/>
        <v>3.119674929235714</v>
      </c>
      <c r="J595" s="28">
        <f t="shared" si="114"/>
        <v>68.252743918461903</v>
      </c>
      <c r="K595" s="28">
        <f t="shared" si="115"/>
        <v>23.186666666666667</v>
      </c>
      <c r="L595" s="28">
        <f t="shared" si="116"/>
        <v>0</v>
      </c>
      <c r="M595" s="2" t="str">
        <f t="shared" si="117"/>
        <v/>
      </c>
      <c r="N595" s="2" t="str">
        <f t="shared" si="118"/>
        <v/>
      </c>
      <c r="O595" s="2">
        <f t="shared" si="119"/>
        <v>5</v>
      </c>
    </row>
    <row r="596" spans="1:15">
      <c r="A596" s="27">
        <v>586</v>
      </c>
      <c r="B596" s="27">
        <v>25</v>
      </c>
      <c r="C596" s="27">
        <v>1</v>
      </c>
      <c r="D596" s="28">
        <f t="shared" si="108"/>
        <v>25</v>
      </c>
      <c r="E596" s="28">
        <f t="shared" si="109"/>
        <v>37.632427290462147</v>
      </c>
      <c r="F596" s="28">
        <f t="shared" si="110"/>
        <v>23.186666666666667</v>
      </c>
      <c r="G596" s="28">
        <f t="shared" si="111"/>
        <v>8.7409060428711882</v>
      </c>
      <c r="H596" s="28">
        <f t="shared" si="112"/>
        <v>0.37658107050722345</v>
      </c>
      <c r="I596" s="28">
        <f t="shared" si="113"/>
        <v>3.119674929235714</v>
      </c>
      <c r="J596" s="28">
        <f t="shared" si="114"/>
        <v>68.252743918461903</v>
      </c>
      <c r="K596" s="28">
        <f t="shared" si="115"/>
        <v>23.186666666666667</v>
      </c>
      <c r="L596" s="28">
        <f t="shared" si="116"/>
        <v>0</v>
      </c>
      <c r="M596" s="2" t="str">
        <f t="shared" si="117"/>
        <v/>
      </c>
      <c r="N596" s="2" t="str">
        <f t="shared" si="118"/>
        <v/>
      </c>
      <c r="O596" s="2">
        <f t="shared" si="119"/>
        <v>16</v>
      </c>
    </row>
    <row r="597" spans="1:15">
      <c r="A597" s="27">
        <v>587</v>
      </c>
      <c r="B597" s="27">
        <v>19</v>
      </c>
      <c r="C597" s="27">
        <v>1</v>
      </c>
      <c r="D597" s="28">
        <f t="shared" si="108"/>
        <v>19</v>
      </c>
      <c r="E597" s="28">
        <f t="shared" si="109"/>
        <v>37.632427290462147</v>
      </c>
      <c r="F597" s="28">
        <f t="shared" si="110"/>
        <v>23.186666666666667</v>
      </c>
      <c r="G597" s="28">
        <f t="shared" si="111"/>
        <v>8.7409060428711882</v>
      </c>
      <c r="H597" s="28">
        <f t="shared" si="112"/>
        <v>-0.8694592363181487</v>
      </c>
      <c r="I597" s="28">
        <f t="shared" si="113"/>
        <v>3.119674929235714</v>
      </c>
      <c r="J597" s="28">
        <f t="shared" si="114"/>
        <v>68.252743918461903</v>
      </c>
      <c r="K597" s="28">
        <f t="shared" si="115"/>
        <v>23.186666666666667</v>
      </c>
      <c r="L597" s="28">
        <f t="shared" si="116"/>
        <v>0</v>
      </c>
      <c r="M597" s="2" t="str">
        <f t="shared" si="117"/>
        <v/>
      </c>
      <c r="N597" s="2" t="str">
        <f t="shared" si="118"/>
        <v/>
      </c>
      <c r="O597" s="2">
        <f t="shared" si="119"/>
        <v>6</v>
      </c>
    </row>
    <row r="598" spans="1:15">
      <c r="A598" s="27">
        <v>588</v>
      </c>
      <c r="B598" s="27">
        <v>15</v>
      </c>
      <c r="C598" s="27">
        <v>1</v>
      </c>
      <c r="D598" s="28">
        <f t="shared" si="108"/>
        <v>15</v>
      </c>
      <c r="E598" s="28">
        <f t="shared" si="109"/>
        <v>37.632427290462147</v>
      </c>
      <c r="F598" s="28">
        <f t="shared" si="110"/>
        <v>23.186666666666667</v>
      </c>
      <c r="G598" s="28">
        <f t="shared" si="111"/>
        <v>8.7409060428711882</v>
      </c>
      <c r="H598" s="28">
        <f t="shared" si="112"/>
        <v>-1.7001527742017302</v>
      </c>
      <c r="I598" s="28">
        <f t="shared" si="113"/>
        <v>3.119674929235714</v>
      </c>
      <c r="J598" s="28">
        <f t="shared" si="114"/>
        <v>68.252743918461903</v>
      </c>
      <c r="K598" s="28">
        <f t="shared" si="115"/>
        <v>23.186666666666667</v>
      </c>
      <c r="L598" s="28">
        <f t="shared" si="116"/>
        <v>0</v>
      </c>
      <c r="M598" s="2" t="str">
        <f t="shared" si="117"/>
        <v/>
      </c>
      <c r="N598" s="2" t="str">
        <f t="shared" si="118"/>
        <v/>
      </c>
      <c r="O598" s="2">
        <f t="shared" si="119"/>
        <v>4</v>
      </c>
    </row>
    <row r="599" spans="1:15">
      <c r="A599" s="27">
        <v>589</v>
      </c>
      <c r="B599" s="27">
        <v>27</v>
      </c>
      <c r="C599" s="27">
        <v>1</v>
      </c>
      <c r="D599" s="28">
        <f t="shared" si="108"/>
        <v>27</v>
      </c>
      <c r="E599" s="28">
        <f t="shared" si="109"/>
        <v>37.632427290462147</v>
      </c>
      <c r="F599" s="28">
        <f t="shared" si="110"/>
        <v>23.186666666666667</v>
      </c>
      <c r="G599" s="28">
        <f t="shared" si="111"/>
        <v>8.7409060428711882</v>
      </c>
      <c r="H599" s="28">
        <f t="shared" si="112"/>
        <v>0.79192783944901413</v>
      </c>
      <c r="I599" s="28">
        <f t="shared" si="113"/>
        <v>3.119674929235714</v>
      </c>
      <c r="J599" s="28">
        <f t="shared" si="114"/>
        <v>68.252743918461903</v>
      </c>
      <c r="K599" s="28">
        <f t="shared" si="115"/>
        <v>23.186666666666667</v>
      </c>
      <c r="L599" s="28">
        <f t="shared" si="116"/>
        <v>0</v>
      </c>
      <c r="M599" s="2" t="str">
        <f t="shared" si="117"/>
        <v/>
      </c>
      <c r="N599" s="2" t="str">
        <f t="shared" si="118"/>
        <v/>
      </c>
      <c r="O599" s="2">
        <f t="shared" si="119"/>
        <v>12</v>
      </c>
    </row>
    <row r="600" spans="1:15">
      <c r="A600" s="27">
        <v>590</v>
      </c>
      <c r="B600" s="27">
        <v>31</v>
      </c>
      <c r="C600" s="27">
        <v>1</v>
      </c>
      <c r="D600" s="28">
        <f t="shared" si="108"/>
        <v>31</v>
      </c>
      <c r="E600" s="28">
        <f t="shared" si="109"/>
        <v>37.632427290462147</v>
      </c>
      <c r="F600" s="28">
        <f t="shared" si="110"/>
        <v>23.186666666666667</v>
      </c>
      <c r="G600" s="28">
        <f t="shared" si="111"/>
        <v>8.7409060428711882</v>
      </c>
      <c r="H600" s="28">
        <f t="shared" si="112"/>
        <v>1.6226213773325957</v>
      </c>
      <c r="I600" s="28">
        <f t="shared" si="113"/>
        <v>3.119674929235714</v>
      </c>
      <c r="J600" s="28">
        <f t="shared" si="114"/>
        <v>68.252743918461903</v>
      </c>
      <c r="K600" s="28">
        <f t="shared" si="115"/>
        <v>23.186666666666667</v>
      </c>
      <c r="L600" s="28">
        <f t="shared" si="116"/>
        <v>0</v>
      </c>
      <c r="M600" s="2" t="str">
        <f t="shared" si="117"/>
        <v/>
      </c>
      <c r="N600" s="2" t="str">
        <f t="shared" si="118"/>
        <v/>
      </c>
      <c r="O600" s="2">
        <f t="shared" si="119"/>
        <v>4</v>
      </c>
    </row>
    <row r="601" spans="1:15">
      <c r="A601" s="27">
        <v>591</v>
      </c>
      <c r="B601" s="27">
        <v>38</v>
      </c>
      <c r="C601" s="27">
        <v>1</v>
      </c>
      <c r="D601" s="28">
        <f t="shared" si="108"/>
        <v>38</v>
      </c>
      <c r="E601" s="28">
        <f t="shared" si="109"/>
        <v>37.632427290462147</v>
      </c>
      <c r="F601" s="28">
        <f t="shared" si="110"/>
        <v>23.186666666666667</v>
      </c>
      <c r="G601" s="28">
        <f t="shared" si="111"/>
        <v>8.7409060428711882</v>
      </c>
      <c r="H601" s="28">
        <f t="shared" si="112"/>
        <v>3.0763350686288633</v>
      </c>
      <c r="I601" s="28">
        <f t="shared" si="113"/>
        <v>3.119674929235714</v>
      </c>
      <c r="J601" s="28">
        <f t="shared" si="114"/>
        <v>68.252743918461903</v>
      </c>
      <c r="K601" s="28">
        <f t="shared" si="115"/>
        <v>23.186666666666667</v>
      </c>
      <c r="L601" s="28">
        <f t="shared" si="116"/>
        <v>0</v>
      </c>
      <c r="M601" s="2" t="str">
        <f t="shared" si="117"/>
        <v>Y</v>
      </c>
      <c r="N601" s="2" t="str">
        <f t="shared" si="118"/>
        <v/>
      </c>
      <c r="O601" s="2">
        <f t="shared" si="119"/>
        <v>7</v>
      </c>
    </row>
    <row r="602" spans="1:15">
      <c r="A602" s="27">
        <v>592</v>
      </c>
      <c r="B602" s="27">
        <v>24</v>
      </c>
      <c r="C602" s="27">
        <v>1</v>
      </c>
      <c r="D602" s="28">
        <f t="shared" si="108"/>
        <v>24</v>
      </c>
      <c r="E602" s="28">
        <f t="shared" si="109"/>
        <v>37.632427290462147</v>
      </c>
      <c r="F602" s="28">
        <f t="shared" si="110"/>
        <v>23.186666666666667</v>
      </c>
      <c r="G602" s="28">
        <f t="shared" si="111"/>
        <v>8.7409060428711882</v>
      </c>
      <c r="H602" s="28">
        <f t="shared" si="112"/>
        <v>0.16890768603632808</v>
      </c>
      <c r="I602" s="28">
        <f t="shared" si="113"/>
        <v>3.119674929235714</v>
      </c>
      <c r="J602" s="28">
        <f t="shared" si="114"/>
        <v>68.252743918461903</v>
      </c>
      <c r="K602" s="28">
        <f t="shared" si="115"/>
        <v>23.186666666666667</v>
      </c>
      <c r="L602" s="28">
        <f t="shared" si="116"/>
        <v>0</v>
      </c>
      <c r="M602" s="2" t="str">
        <f t="shared" si="117"/>
        <v/>
      </c>
      <c r="N602" s="2" t="str">
        <f t="shared" si="118"/>
        <v/>
      </c>
      <c r="O602" s="2">
        <f t="shared" si="119"/>
        <v>14</v>
      </c>
    </row>
    <row r="603" spans="1:15">
      <c r="A603" s="27">
        <v>593</v>
      </c>
      <c r="B603" s="27">
        <v>45</v>
      </c>
      <c r="C603" s="27">
        <v>1</v>
      </c>
      <c r="D603" s="28">
        <f t="shared" si="108"/>
        <v>45</v>
      </c>
      <c r="E603" s="28">
        <f t="shared" si="109"/>
        <v>37.632427290462147</v>
      </c>
      <c r="F603" s="28">
        <f t="shared" si="110"/>
        <v>23.186666666666667</v>
      </c>
      <c r="G603" s="28">
        <f t="shared" si="111"/>
        <v>8.7409060428711882</v>
      </c>
      <c r="H603" s="28">
        <f t="shared" si="112"/>
        <v>4.5300487599251307</v>
      </c>
      <c r="I603" s="28">
        <f t="shared" si="113"/>
        <v>3.119674929235714</v>
      </c>
      <c r="J603" s="28">
        <f t="shared" si="114"/>
        <v>68.252743918461903</v>
      </c>
      <c r="K603" s="28">
        <f t="shared" si="115"/>
        <v>23.186666666666667</v>
      </c>
      <c r="L603" s="28">
        <f t="shared" si="116"/>
        <v>0</v>
      </c>
      <c r="M603" s="2" t="str">
        <f t="shared" si="117"/>
        <v>Y</v>
      </c>
      <c r="N603" s="2" t="str">
        <f t="shared" si="118"/>
        <v/>
      </c>
      <c r="O603" s="2">
        <f t="shared" si="119"/>
        <v>21</v>
      </c>
    </row>
    <row r="604" spans="1:15">
      <c r="A604" s="27">
        <v>594</v>
      </c>
      <c r="B604" s="27">
        <v>9</v>
      </c>
      <c r="C604" s="27">
        <v>1</v>
      </c>
      <c r="D604" s="28">
        <f t="shared" si="108"/>
        <v>9</v>
      </c>
      <c r="E604" s="28">
        <f t="shared" si="109"/>
        <v>37.632427290462147</v>
      </c>
      <c r="F604" s="28">
        <f t="shared" si="110"/>
        <v>23.186666666666667</v>
      </c>
      <c r="G604" s="28">
        <f t="shared" si="111"/>
        <v>8.7409060428711882</v>
      </c>
      <c r="H604" s="28">
        <f t="shared" si="112"/>
        <v>-2.9461930810271024</v>
      </c>
      <c r="I604" s="28">
        <f t="shared" si="113"/>
        <v>3.119674929235714</v>
      </c>
      <c r="J604" s="28">
        <f t="shared" si="114"/>
        <v>68.252743918461903</v>
      </c>
      <c r="K604" s="28">
        <f t="shared" si="115"/>
        <v>23.186666666666667</v>
      </c>
      <c r="L604" s="28">
        <f t="shared" si="116"/>
        <v>0</v>
      </c>
      <c r="M604" s="2" t="str">
        <f t="shared" si="117"/>
        <v/>
      </c>
      <c r="N604" s="2" t="str">
        <f t="shared" si="118"/>
        <v/>
      </c>
      <c r="O604" s="2">
        <f t="shared" si="119"/>
        <v>36</v>
      </c>
    </row>
    <row r="605" spans="1:15">
      <c r="A605" s="27">
        <v>595</v>
      </c>
      <c r="B605" s="27">
        <v>28</v>
      </c>
      <c r="C605" s="27">
        <v>1</v>
      </c>
      <c r="D605" s="28">
        <f t="shared" si="108"/>
        <v>28</v>
      </c>
      <c r="E605" s="28">
        <f t="shared" si="109"/>
        <v>37.632427290462147</v>
      </c>
      <c r="F605" s="28">
        <f t="shared" si="110"/>
        <v>23.186666666666667</v>
      </c>
      <c r="G605" s="28">
        <f t="shared" si="111"/>
        <v>8.7409060428711882</v>
      </c>
      <c r="H605" s="28">
        <f t="shared" si="112"/>
        <v>0.99960122391990958</v>
      </c>
      <c r="I605" s="28">
        <f t="shared" si="113"/>
        <v>3.119674929235714</v>
      </c>
      <c r="J605" s="28">
        <f t="shared" si="114"/>
        <v>68.252743918461903</v>
      </c>
      <c r="K605" s="28">
        <f t="shared" si="115"/>
        <v>23.186666666666667</v>
      </c>
      <c r="L605" s="28">
        <f t="shared" si="116"/>
        <v>0</v>
      </c>
      <c r="M605" s="2" t="str">
        <f t="shared" si="117"/>
        <v/>
      </c>
      <c r="N605" s="2" t="str">
        <f t="shared" si="118"/>
        <v/>
      </c>
      <c r="O605" s="2">
        <f t="shared" si="119"/>
        <v>19</v>
      </c>
    </row>
    <row r="606" spans="1:15">
      <c r="A606" s="27">
        <v>596</v>
      </c>
      <c r="B606" s="27">
        <v>25</v>
      </c>
      <c r="C606" s="27">
        <v>1</v>
      </c>
      <c r="D606" s="28">
        <f t="shared" si="108"/>
        <v>25</v>
      </c>
      <c r="E606" s="28">
        <f t="shared" si="109"/>
        <v>37.632427290462147</v>
      </c>
      <c r="F606" s="28">
        <f t="shared" si="110"/>
        <v>23.186666666666667</v>
      </c>
      <c r="G606" s="28">
        <f t="shared" si="111"/>
        <v>8.7409060428711882</v>
      </c>
      <c r="H606" s="28">
        <f t="shared" si="112"/>
        <v>0.37658107050722345</v>
      </c>
      <c r="I606" s="28">
        <f t="shared" si="113"/>
        <v>3.119674929235714</v>
      </c>
      <c r="J606" s="28">
        <f t="shared" si="114"/>
        <v>68.252743918461903</v>
      </c>
      <c r="K606" s="28">
        <f t="shared" si="115"/>
        <v>23.186666666666667</v>
      </c>
      <c r="L606" s="28">
        <f t="shared" si="116"/>
        <v>0</v>
      </c>
      <c r="M606" s="2" t="str">
        <f t="shared" si="117"/>
        <v/>
      </c>
      <c r="N606" s="2" t="str">
        <f t="shared" si="118"/>
        <v/>
      </c>
      <c r="O606" s="2">
        <f t="shared" si="119"/>
        <v>3</v>
      </c>
    </row>
    <row r="607" spans="1:15">
      <c r="A607" s="27">
        <v>597</v>
      </c>
      <c r="B607" s="27">
        <v>33</v>
      </c>
      <c r="C607" s="27">
        <v>1</v>
      </c>
      <c r="D607" s="28">
        <f t="shared" si="108"/>
        <v>33</v>
      </c>
      <c r="E607" s="28">
        <f t="shared" si="109"/>
        <v>37.632427290462147</v>
      </c>
      <c r="F607" s="28">
        <f t="shared" si="110"/>
        <v>23.186666666666667</v>
      </c>
      <c r="G607" s="28">
        <f t="shared" si="111"/>
        <v>8.7409060428711882</v>
      </c>
      <c r="H607" s="28">
        <f t="shared" si="112"/>
        <v>2.0379681462743862</v>
      </c>
      <c r="I607" s="28">
        <f t="shared" si="113"/>
        <v>3.119674929235714</v>
      </c>
      <c r="J607" s="28">
        <f t="shared" si="114"/>
        <v>68.252743918461903</v>
      </c>
      <c r="K607" s="28">
        <f t="shared" si="115"/>
        <v>23.186666666666667</v>
      </c>
      <c r="L607" s="28">
        <f t="shared" si="116"/>
        <v>0</v>
      </c>
      <c r="M607" s="2" t="str">
        <f t="shared" si="117"/>
        <v/>
      </c>
      <c r="N607" s="2" t="str">
        <f t="shared" si="118"/>
        <v/>
      </c>
      <c r="O607" s="2">
        <f t="shared" si="119"/>
        <v>8</v>
      </c>
    </row>
    <row r="608" spans="1:15">
      <c r="A608" s="27">
        <v>598</v>
      </c>
      <c r="B608" s="27">
        <v>36</v>
      </c>
      <c r="C608" s="27">
        <v>1</v>
      </c>
      <c r="D608" s="28">
        <f t="shared" si="108"/>
        <v>36</v>
      </c>
      <c r="E608" s="28">
        <f t="shared" si="109"/>
        <v>37.632427290462147</v>
      </c>
      <c r="F608" s="28">
        <f t="shared" si="110"/>
        <v>23.186666666666667</v>
      </c>
      <c r="G608" s="28">
        <f t="shared" si="111"/>
        <v>8.7409060428711882</v>
      </c>
      <c r="H608" s="28">
        <f t="shared" si="112"/>
        <v>2.6609882996870726</v>
      </c>
      <c r="I608" s="28">
        <f t="shared" si="113"/>
        <v>3.119674929235714</v>
      </c>
      <c r="J608" s="28">
        <f t="shared" si="114"/>
        <v>68.252743918461903</v>
      </c>
      <c r="K608" s="28">
        <f t="shared" si="115"/>
        <v>23.186666666666667</v>
      </c>
      <c r="L608" s="28">
        <f t="shared" si="116"/>
        <v>0</v>
      </c>
      <c r="M608" s="2" t="str">
        <f t="shared" si="117"/>
        <v/>
      </c>
      <c r="N608" s="2" t="str">
        <f t="shared" si="118"/>
        <v/>
      </c>
      <c r="O608" s="2">
        <f t="shared" si="119"/>
        <v>3</v>
      </c>
    </row>
    <row r="609" spans="1:15">
      <c r="A609" s="27">
        <v>599</v>
      </c>
      <c r="B609" s="27">
        <v>33</v>
      </c>
      <c r="C609" s="27">
        <v>1</v>
      </c>
      <c r="D609" s="28">
        <f t="shared" si="108"/>
        <v>33</v>
      </c>
      <c r="E609" s="28">
        <f t="shared" si="109"/>
        <v>37.632427290462147</v>
      </c>
      <c r="F609" s="28">
        <f t="shared" si="110"/>
        <v>23.186666666666667</v>
      </c>
      <c r="G609" s="28">
        <f t="shared" si="111"/>
        <v>8.7409060428711882</v>
      </c>
      <c r="H609" s="28">
        <f t="shared" si="112"/>
        <v>2.0379681462743862</v>
      </c>
      <c r="I609" s="28">
        <f t="shared" si="113"/>
        <v>3.119674929235714</v>
      </c>
      <c r="J609" s="28">
        <f t="shared" si="114"/>
        <v>68.252743918461903</v>
      </c>
      <c r="K609" s="28">
        <f t="shared" si="115"/>
        <v>23.186666666666667</v>
      </c>
      <c r="L609" s="28">
        <f t="shared" si="116"/>
        <v>0</v>
      </c>
      <c r="M609" s="2" t="str">
        <f t="shared" si="117"/>
        <v/>
      </c>
      <c r="N609" s="2" t="str">
        <f t="shared" si="118"/>
        <v/>
      </c>
      <c r="O609" s="2">
        <f t="shared" si="119"/>
        <v>3</v>
      </c>
    </row>
    <row r="610" spans="1:15">
      <c r="A610" s="27">
        <v>600</v>
      </c>
      <c r="B610" s="27">
        <v>18</v>
      </c>
      <c r="C610" s="27">
        <v>1</v>
      </c>
      <c r="D610" s="28">
        <f t="shared" si="108"/>
        <v>18</v>
      </c>
      <c r="E610" s="28">
        <f t="shared" si="109"/>
        <v>37.632427290462147</v>
      </c>
      <c r="F610" s="28">
        <f t="shared" si="110"/>
        <v>23.186666666666667</v>
      </c>
      <c r="G610" s="28">
        <f t="shared" si="111"/>
        <v>8.7409060428711882</v>
      </c>
      <c r="H610" s="28">
        <f t="shared" si="112"/>
        <v>-1.0771326207890441</v>
      </c>
      <c r="I610" s="28">
        <f t="shared" si="113"/>
        <v>3.119674929235714</v>
      </c>
      <c r="J610" s="28">
        <f t="shared" si="114"/>
        <v>68.252743918461903</v>
      </c>
      <c r="K610" s="28">
        <f t="shared" si="115"/>
        <v>23.186666666666667</v>
      </c>
      <c r="L610" s="28">
        <f t="shared" si="116"/>
        <v>0</v>
      </c>
      <c r="M610" s="2" t="str">
        <f t="shared" si="117"/>
        <v/>
      </c>
      <c r="N610" s="2" t="str">
        <f t="shared" si="118"/>
        <v/>
      </c>
      <c r="O610" s="2">
        <f t="shared" si="119"/>
        <v>15</v>
      </c>
    </row>
  </sheetData>
  <mergeCells count="2">
    <mergeCell ref="A2:Q4"/>
    <mergeCell ref="A1:Q1"/>
  </mergeCells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2"/>
  <sheetViews>
    <sheetView workbookViewId="0">
      <pane ySplit="12" topLeftCell="A13" activePane="bottomLeft" state="frozen"/>
      <selection pane="bottomLeft" activeCell="F11" sqref="F11"/>
    </sheetView>
  </sheetViews>
  <sheetFormatPr defaultRowHeight="15.75"/>
  <cols>
    <col min="1" max="13" width="18" customWidth="1"/>
  </cols>
  <sheetData>
    <row r="1" spans="1:12" ht="21">
      <c r="A1" s="17" t="s">
        <v>655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20" t="s">
        <v>656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>
      <c r="A5" s="7" t="s">
        <v>4</v>
      </c>
      <c r="B5" s="9">
        <f>Settings!B5</f>
        <v>695</v>
      </c>
      <c r="C5" s="7" t="s">
        <v>5</v>
      </c>
      <c r="D5" s="9">
        <f>Settings!C5</f>
        <v>705</v>
      </c>
      <c r="F5" s="11" t="s">
        <v>657</v>
      </c>
      <c r="I5" s="11" t="s">
        <v>658</v>
      </c>
    </row>
    <row r="6" spans="1:12">
      <c r="F6" s="7" t="s">
        <v>3</v>
      </c>
      <c r="G6" s="10">
        <f>COUNT(B13:B100000)</f>
        <v>600</v>
      </c>
      <c r="I6" s="7" t="s">
        <v>659</v>
      </c>
      <c r="J6" s="8">
        <f t="shared" ref="J6:J11" si="0">G13</f>
        <v>1.3215777815545913</v>
      </c>
    </row>
    <row r="7" spans="1:12">
      <c r="F7" s="7" t="s">
        <v>660</v>
      </c>
      <c r="G7" s="8">
        <f>AVERAGE(B13:B100000)</f>
        <v>700.98336000000052</v>
      </c>
      <c r="I7" s="7" t="s">
        <v>661</v>
      </c>
      <c r="J7" s="8">
        <f t="shared" si="0"/>
        <v>1.0616604361005504</v>
      </c>
    </row>
    <row r="8" spans="1:12">
      <c r="F8" s="7" t="s">
        <v>662</v>
      </c>
      <c r="G8" s="8">
        <f>AVERAGE(C14:C100000)</f>
        <v>1.0791218697829723</v>
      </c>
      <c r="I8" s="7" t="s">
        <v>663</v>
      </c>
      <c r="J8" s="8">
        <f t="shared" si="0"/>
        <v>0</v>
      </c>
    </row>
    <row r="9" spans="1:12">
      <c r="F9" s="7" t="s">
        <v>7</v>
      </c>
      <c r="G9" s="8">
        <f>G8/1.128</f>
        <v>0.95666832427568471</v>
      </c>
      <c r="I9" s="7" t="s">
        <v>664</v>
      </c>
      <c r="J9" s="8">
        <f t="shared" si="0"/>
        <v>3.5254911485809703</v>
      </c>
    </row>
    <row r="10" spans="1:12">
      <c r="F10" s="7" t="s">
        <v>8</v>
      </c>
      <c r="G10" s="8">
        <f>_xlfn.STDEV.S(B13:B100000)</f>
        <v>1.2611188610526898</v>
      </c>
      <c r="I10" s="7" t="s">
        <v>665</v>
      </c>
      <c r="J10" s="8">
        <f t="shared" si="0"/>
        <v>1.0791218697829723</v>
      </c>
    </row>
    <row r="11" spans="1:12">
      <c r="F11" s="7" t="s">
        <v>666</v>
      </c>
      <c r="G11" s="8">
        <f>($D$5-$B$5)/(6*G9)</f>
        <v>1.7421572601230815</v>
      </c>
      <c r="I11" s="7" t="s">
        <v>667</v>
      </c>
      <c r="J11" s="8">
        <f t="shared" si="0"/>
        <v>0</v>
      </c>
    </row>
    <row r="12" spans="1:12">
      <c r="A12" s="1" t="s">
        <v>644</v>
      </c>
      <c r="B12" s="1" t="s">
        <v>28</v>
      </c>
      <c r="C12" s="1" t="s">
        <v>668</v>
      </c>
      <c r="D12" s="1" t="s">
        <v>659</v>
      </c>
      <c r="E12" s="1" t="s">
        <v>661</v>
      </c>
      <c r="F12" s="1" t="s">
        <v>669</v>
      </c>
      <c r="G12" s="5">
        <f>MIN(($D$5-G7)/(3*G9),(G7-$B$5)/(3*G9))</f>
        <v>1.3995237074599749</v>
      </c>
      <c r="H12" s="1" t="s">
        <v>665</v>
      </c>
      <c r="I12" s="1" t="s">
        <v>667</v>
      </c>
      <c r="J12" s="1" t="s">
        <v>670</v>
      </c>
      <c r="K12" s="1" t="s">
        <v>671</v>
      </c>
      <c r="L12" s="1" t="s">
        <v>672</v>
      </c>
    </row>
    <row r="13" spans="1:12">
      <c r="A13" s="9">
        <v>1</v>
      </c>
      <c r="B13" s="8">
        <v>701.52</v>
      </c>
      <c r="C13" s="8"/>
      <c r="D13" s="8">
        <f t="shared" ref="D13:D76" si="1">$G$13</f>
        <v>1.3215777815545913</v>
      </c>
      <c r="E13" s="8">
        <f t="shared" ref="E13:E76" si="2">$G$14</f>
        <v>1.0616604361005504</v>
      </c>
      <c r="F13" s="16" t="s">
        <v>673</v>
      </c>
      <c r="G13" s="8">
        <f>($D$5-$B$5)/(6*G10)</f>
        <v>1.3215777815545913</v>
      </c>
      <c r="H13" s="8">
        <f t="shared" ref="H13:H76" si="3">$G$17</f>
        <v>1.0791218697829723</v>
      </c>
      <c r="I13" s="8">
        <f t="shared" ref="I13:I76" si="4">$G$18</f>
        <v>0</v>
      </c>
      <c r="J13" s="2" t="str">
        <f t="shared" ref="J13:J76" si="5">IF(OR(B13&gt;D13,B13&lt;F13),"Y","")</f>
        <v>Y</v>
      </c>
      <c r="K13" s="2" t="str">
        <f t="shared" ref="K13:K76" si="6">IF(AND(C13&lt;&gt;"",C13&gt;G13),"Y","")</f>
        <v/>
      </c>
      <c r="L13" s="2" t="str">
        <f t="shared" ref="L13:L76" si="7">IF(OR(B13&lt;$B$5,B13&gt;$D$5),"Y","")</f>
        <v/>
      </c>
    </row>
    <row r="14" spans="1:12">
      <c r="A14" s="9">
        <v>2</v>
      </c>
      <c r="B14" s="8">
        <v>703.13400000000001</v>
      </c>
      <c r="C14" s="8">
        <f t="shared" ref="C14:C77" si="8">ABS(B14-B13)</f>
        <v>1.6140000000000327</v>
      </c>
      <c r="D14" s="8">
        <f t="shared" si="1"/>
        <v>1.3215777815545913</v>
      </c>
      <c r="E14" s="8">
        <f t="shared" si="2"/>
        <v>1.0616604361005504</v>
      </c>
      <c r="F14" s="16" t="s">
        <v>674</v>
      </c>
      <c r="G14" s="8">
        <f>MIN(($D$5-G7)/(3*G10),(G7-$B$5)/(3*G10))</f>
        <v>1.0616604361005504</v>
      </c>
      <c r="H14" s="8">
        <f t="shared" si="3"/>
        <v>1.0791218697829723</v>
      </c>
      <c r="I14" s="8">
        <f t="shared" si="4"/>
        <v>0</v>
      </c>
      <c r="J14" s="2" t="str">
        <f t="shared" si="5"/>
        <v>Y</v>
      </c>
      <c r="K14" s="2" t="str">
        <f t="shared" si="6"/>
        <v>Y</v>
      </c>
      <c r="L14" s="2" t="str">
        <f t="shared" si="7"/>
        <v/>
      </c>
    </row>
    <row r="15" spans="1:12">
      <c r="A15" s="9">
        <v>3</v>
      </c>
      <c r="B15" s="8">
        <v>702.59500000000003</v>
      </c>
      <c r="C15" s="8">
        <f t="shared" si="8"/>
        <v>0.53899999999998727</v>
      </c>
      <c r="D15" s="8">
        <f t="shared" si="1"/>
        <v>1.3215777815545913</v>
      </c>
      <c r="E15" s="8">
        <f t="shared" si="2"/>
        <v>1.0616604361005504</v>
      </c>
      <c r="F15" s="16" t="s">
        <v>675</v>
      </c>
      <c r="G15" s="10">
        <f>COUNTIF(L13:L100000,"Y")</f>
        <v>0</v>
      </c>
      <c r="H15" s="8">
        <f t="shared" si="3"/>
        <v>1.0791218697829723</v>
      </c>
      <c r="I15" s="8">
        <f t="shared" si="4"/>
        <v>0</v>
      </c>
      <c r="J15" s="2" t="str">
        <f t="shared" si="5"/>
        <v>Y</v>
      </c>
      <c r="K15" s="2" t="str">
        <f t="shared" si="6"/>
        <v>Y</v>
      </c>
      <c r="L15" s="2" t="str">
        <f t="shared" si="7"/>
        <v/>
      </c>
    </row>
    <row r="16" spans="1:12">
      <c r="A16" s="9">
        <v>4</v>
      </c>
      <c r="B16" s="8">
        <v>700.29499999999996</v>
      </c>
      <c r="C16" s="8">
        <f t="shared" si="8"/>
        <v>2.3000000000000682</v>
      </c>
      <c r="D16" s="8">
        <f t="shared" si="1"/>
        <v>1.3215777815545913</v>
      </c>
      <c r="E16" s="8">
        <f t="shared" si="2"/>
        <v>1.0616604361005504</v>
      </c>
      <c r="F16" s="8">
        <f t="shared" ref="F16:F79" si="9">$G$15</f>
        <v>0</v>
      </c>
      <c r="G16" s="8">
        <f>3.267*G8</f>
        <v>3.5254911485809703</v>
      </c>
      <c r="H16" s="8">
        <f t="shared" si="3"/>
        <v>1.0791218697829723</v>
      </c>
      <c r="I16" s="8">
        <f t="shared" si="4"/>
        <v>0</v>
      </c>
      <c r="J16" s="2" t="str">
        <f t="shared" si="5"/>
        <v>Y</v>
      </c>
      <c r="K16" s="2" t="str">
        <f t="shared" si="6"/>
        <v/>
      </c>
      <c r="L16" s="2" t="str">
        <f t="shared" si="7"/>
        <v/>
      </c>
    </row>
    <row r="17" spans="1:12">
      <c r="A17" s="9">
        <v>5</v>
      </c>
      <c r="B17" s="8">
        <v>702.40899999999999</v>
      </c>
      <c r="C17" s="8">
        <f t="shared" si="8"/>
        <v>2.1140000000000327</v>
      </c>
      <c r="D17" s="8">
        <f t="shared" si="1"/>
        <v>1.3215777815545913</v>
      </c>
      <c r="E17" s="8">
        <f t="shared" si="2"/>
        <v>1.0616604361005504</v>
      </c>
      <c r="F17" s="8">
        <f t="shared" si="9"/>
        <v>0</v>
      </c>
      <c r="G17" s="8">
        <f>G8</f>
        <v>1.0791218697829723</v>
      </c>
      <c r="H17" s="8">
        <f t="shared" si="3"/>
        <v>1.0791218697829723</v>
      </c>
      <c r="I17" s="8">
        <f t="shared" si="4"/>
        <v>0</v>
      </c>
      <c r="J17" s="2" t="str">
        <f t="shared" si="5"/>
        <v>Y</v>
      </c>
      <c r="K17" s="2" t="str">
        <f t="shared" si="6"/>
        <v>Y</v>
      </c>
      <c r="L17" s="2" t="str">
        <f t="shared" si="7"/>
        <v/>
      </c>
    </row>
    <row r="18" spans="1:12">
      <c r="A18" s="9">
        <v>6</v>
      </c>
      <c r="B18" s="8">
        <v>703.72799999999995</v>
      </c>
      <c r="C18" s="8">
        <f t="shared" si="8"/>
        <v>1.31899999999996</v>
      </c>
      <c r="D18" s="8">
        <f t="shared" si="1"/>
        <v>1.3215777815545913</v>
      </c>
      <c r="E18" s="8">
        <f t="shared" si="2"/>
        <v>1.0616604361005504</v>
      </c>
      <c r="F18" s="8">
        <f t="shared" si="9"/>
        <v>0</v>
      </c>
      <c r="G18" s="8">
        <f>0</f>
        <v>0</v>
      </c>
      <c r="H18" s="8">
        <f t="shared" si="3"/>
        <v>1.0791218697829723</v>
      </c>
      <c r="I18" s="8">
        <f t="shared" si="4"/>
        <v>0</v>
      </c>
      <c r="J18" s="2" t="str">
        <f t="shared" si="5"/>
        <v>Y</v>
      </c>
      <c r="K18" s="2" t="str">
        <f t="shared" si="6"/>
        <v>Y</v>
      </c>
      <c r="L18" s="2" t="str">
        <f t="shared" si="7"/>
        <v/>
      </c>
    </row>
    <row r="19" spans="1:12">
      <c r="A19" s="9">
        <v>7</v>
      </c>
      <c r="B19" s="8">
        <v>703.63199999999995</v>
      </c>
      <c r="C19" s="8">
        <f t="shared" si="8"/>
        <v>9.6000000000003638E-2</v>
      </c>
      <c r="D19" s="8">
        <f t="shared" si="1"/>
        <v>1.3215777815545913</v>
      </c>
      <c r="E19" s="8">
        <f t="shared" si="2"/>
        <v>1.0616604361005504</v>
      </c>
      <c r="F19" s="8">
        <f t="shared" si="9"/>
        <v>0</v>
      </c>
      <c r="G19" s="8">
        <f t="shared" ref="G19:G82" si="10">$G$16</f>
        <v>3.5254911485809703</v>
      </c>
      <c r="H19" s="8">
        <f t="shared" si="3"/>
        <v>1.0791218697829723</v>
      </c>
      <c r="I19" s="8">
        <f t="shared" si="4"/>
        <v>0</v>
      </c>
      <c r="J19" s="2" t="str">
        <f t="shared" si="5"/>
        <v>Y</v>
      </c>
      <c r="K19" s="2" t="str">
        <f t="shared" si="6"/>
        <v/>
      </c>
      <c r="L19" s="2" t="str">
        <f t="shared" si="7"/>
        <v/>
      </c>
    </row>
    <row r="20" spans="1:12">
      <c r="A20" s="9">
        <v>8</v>
      </c>
      <c r="B20" s="8">
        <v>702.16099999999994</v>
      </c>
      <c r="C20" s="8">
        <f t="shared" si="8"/>
        <v>1.4710000000000036</v>
      </c>
      <c r="D20" s="8">
        <f t="shared" si="1"/>
        <v>1.3215777815545913</v>
      </c>
      <c r="E20" s="8">
        <f t="shared" si="2"/>
        <v>1.0616604361005504</v>
      </c>
      <c r="F20" s="8">
        <f t="shared" si="9"/>
        <v>0</v>
      </c>
      <c r="G20" s="8">
        <f t="shared" si="10"/>
        <v>3.5254911485809703</v>
      </c>
      <c r="H20" s="8">
        <f t="shared" si="3"/>
        <v>1.0791218697829723</v>
      </c>
      <c r="I20" s="8">
        <f t="shared" si="4"/>
        <v>0</v>
      </c>
      <c r="J20" s="2" t="str">
        <f t="shared" si="5"/>
        <v>Y</v>
      </c>
      <c r="K20" s="2" t="str">
        <f t="shared" si="6"/>
        <v/>
      </c>
      <c r="L20" s="2" t="str">
        <f t="shared" si="7"/>
        <v/>
      </c>
    </row>
    <row r="21" spans="1:12">
      <c r="A21" s="9">
        <v>9</v>
      </c>
      <c r="B21" s="8">
        <v>700.49599999999998</v>
      </c>
      <c r="C21" s="8">
        <f t="shared" si="8"/>
        <v>1.6649999999999636</v>
      </c>
      <c r="D21" s="8">
        <f t="shared" si="1"/>
        <v>1.3215777815545913</v>
      </c>
      <c r="E21" s="8">
        <f t="shared" si="2"/>
        <v>1.0616604361005504</v>
      </c>
      <c r="F21" s="8">
        <f t="shared" si="9"/>
        <v>0</v>
      </c>
      <c r="G21" s="8">
        <f t="shared" si="10"/>
        <v>3.5254911485809703</v>
      </c>
      <c r="H21" s="8">
        <f t="shared" si="3"/>
        <v>1.0791218697829723</v>
      </c>
      <c r="I21" s="8">
        <f t="shared" si="4"/>
        <v>0</v>
      </c>
      <c r="J21" s="2" t="str">
        <f t="shared" si="5"/>
        <v>Y</v>
      </c>
      <c r="K21" s="2" t="str">
        <f t="shared" si="6"/>
        <v/>
      </c>
      <c r="L21" s="2" t="str">
        <f t="shared" si="7"/>
        <v/>
      </c>
    </row>
    <row r="22" spans="1:12">
      <c r="A22" s="9">
        <v>10</v>
      </c>
      <c r="B22" s="8">
        <v>699.45600000000002</v>
      </c>
      <c r="C22" s="8">
        <f t="shared" si="8"/>
        <v>1.0399999999999636</v>
      </c>
      <c r="D22" s="8">
        <f t="shared" si="1"/>
        <v>1.3215777815545913</v>
      </c>
      <c r="E22" s="8">
        <f t="shared" si="2"/>
        <v>1.0616604361005504</v>
      </c>
      <c r="F22" s="8">
        <f t="shared" si="9"/>
        <v>0</v>
      </c>
      <c r="G22" s="8">
        <f t="shared" si="10"/>
        <v>3.5254911485809703</v>
      </c>
      <c r="H22" s="8">
        <f t="shared" si="3"/>
        <v>1.0791218697829723</v>
      </c>
      <c r="I22" s="8">
        <f t="shared" si="4"/>
        <v>0</v>
      </c>
      <c r="J22" s="2" t="str">
        <f t="shared" si="5"/>
        <v>Y</v>
      </c>
      <c r="K22" s="2" t="str">
        <f t="shared" si="6"/>
        <v/>
      </c>
      <c r="L22" s="2" t="str">
        <f t="shared" si="7"/>
        <v/>
      </c>
    </row>
    <row r="23" spans="1:12">
      <c r="A23" s="9">
        <v>11</v>
      </c>
      <c r="B23" s="8">
        <v>700.75099999999998</v>
      </c>
      <c r="C23" s="8">
        <f t="shared" si="8"/>
        <v>1.2949999999999591</v>
      </c>
      <c r="D23" s="8">
        <f t="shared" si="1"/>
        <v>1.3215777815545913</v>
      </c>
      <c r="E23" s="8">
        <f t="shared" si="2"/>
        <v>1.0616604361005504</v>
      </c>
      <c r="F23" s="8">
        <f t="shared" si="9"/>
        <v>0</v>
      </c>
      <c r="G23" s="8">
        <f t="shared" si="10"/>
        <v>3.5254911485809703</v>
      </c>
      <c r="H23" s="8">
        <f t="shared" si="3"/>
        <v>1.0791218697829723</v>
      </c>
      <c r="I23" s="8">
        <f t="shared" si="4"/>
        <v>0</v>
      </c>
      <c r="J23" s="2" t="str">
        <f t="shared" si="5"/>
        <v>Y</v>
      </c>
      <c r="K23" s="2" t="str">
        <f t="shared" si="6"/>
        <v/>
      </c>
      <c r="L23" s="2" t="str">
        <f t="shared" si="7"/>
        <v/>
      </c>
    </row>
    <row r="24" spans="1:12">
      <c r="A24" s="9">
        <v>12</v>
      </c>
      <c r="B24" s="8">
        <v>700.69500000000005</v>
      </c>
      <c r="C24" s="8">
        <f t="shared" si="8"/>
        <v>5.5999999999926331E-2</v>
      </c>
      <c r="D24" s="8">
        <f t="shared" si="1"/>
        <v>1.3215777815545913</v>
      </c>
      <c r="E24" s="8">
        <f t="shared" si="2"/>
        <v>1.0616604361005504</v>
      </c>
      <c r="F24" s="8">
        <f t="shared" si="9"/>
        <v>0</v>
      </c>
      <c r="G24" s="8">
        <f t="shared" si="10"/>
        <v>3.5254911485809703</v>
      </c>
      <c r="H24" s="8">
        <f t="shared" si="3"/>
        <v>1.0791218697829723</v>
      </c>
      <c r="I24" s="8">
        <f t="shared" si="4"/>
        <v>0</v>
      </c>
      <c r="J24" s="2" t="str">
        <f t="shared" si="5"/>
        <v>Y</v>
      </c>
      <c r="K24" s="2" t="str">
        <f t="shared" si="6"/>
        <v/>
      </c>
      <c r="L24" s="2" t="str">
        <f t="shared" si="7"/>
        <v/>
      </c>
    </row>
    <row r="25" spans="1:12">
      <c r="A25" s="9">
        <v>13</v>
      </c>
      <c r="B25" s="8">
        <v>703.56899999999996</v>
      </c>
      <c r="C25" s="8">
        <f t="shared" si="8"/>
        <v>2.87399999999991</v>
      </c>
      <c r="D25" s="8">
        <f t="shared" si="1"/>
        <v>1.3215777815545913</v>
      </c>
      <c r="E25" s="8">
        <f t="shared" si="2"/>
        <v>1.0616604361005504</v>
      </c>
      <c r="F25" s="8">
        <f t="shared" si="9"/>
        <v>0</v>
      </c>
      <c r="G25" s="8">
        <f t="shared" si="10"/>
        <v>3.5254911485809703</v>
      </c>
      <c r="H25" s="8">
        <f t="shared" si="3"/>
        <v>1.0791218697829723</v>
      </c>
      <c r="I25" s="8">
        <f t="shared" si="4"/>
        <v>0</v>
      </c>
      <c r="J25" s="2" t="str">
        <f t="shared" si="5"/>
        <v>Y</v>
      </c>
      <c r="K25" s="2" t="str">
        <f t="shared" si="6"/>
        <v/>
      </c>
      <c r="L25" s="2" t="str">
        <f t="shared" si="7"/>
        <v/>
      </c>
    </row>
    <row r="26" spans="1:12">
      <c r="A26" s="9">
        <v>14</v>
      </c>
      <c r="B26" s="8">
        <v>702.75400000000002</v>
      </c>
      <c r="C26" s="8">
        <f t="shared" si="8"/>
        <v>0.81499999999994088</v>
      </c>
      <c r="D26" s="8">
        <f t="shared" si="1"/>
        <v>1.3215777815545913</v>
      </c>
      <c r="E26" s="8">
        <f t="shared" si="2"/>
        <v>1.0616604361005504</v>
      </c>
      <c r="F26" s="8">
        <f t="shared" si="9"/>
        <v>0</v>
      </c>
      <c r="G26" s="8">
        <f t="shared" si="10"/>
        <v>3.5254911485809703</v>
      </c>
      <c r="H26" s="8">
        <f t="shared" si="3"/>
        <v>1.0791218697829723</v>
      </c>
      <c r="I26" s="8">
        <f t="shared" si="4"/>
        <v>0</v>
      </c>
      <c r="J26" s="2" t="str">
        <f t="shared" si="5"/>
        <v>Y</v>
      </c>
      <c r="K26" s="2" t="str">
        <f t="shared" si="6"/>
        <v/>
      </c>
      <c r="L26" s="2" t="str">
        <f t="shared" si="7"/>
        <v/>
      </c>
    </row>
    <row r="27" spans="1:12">
      <c r="A27" s="9">
        <v>15</v>
      </c>
      <c r="B27" s="8">
        <v>702.56799999999998</v>
      </c>
      <c r="C27" s="8">
        <f t="shared" si="8"/>
        <v>0.18600000000003547</v>
      </c>
      <c r="D27" s="8">
        <f t="shared" si="1"/>
        <v>1.3215777815545913</v>
      </c>
      <c r="E27" s="8">
        <f t="shared" si="2"/>
        <v>1.0616604361005504</v>
      </c>
      <c r="F27" s="8">
        <f t="shared" si="9"/>
        <v>0</v>
      </c>
      <c r="G27" s="8">
        <f t="shared" si="10"/>
        <v>3.5254911485809703</v>
      </c>
      <c r="H27" s="8">
        <f t="shared" si="3"/>
        <v>1.0791218697829723</v>
      </c>
      <c r="I27" s="8">
        <f t="shared" si="4"/>
        <v>0</v>
      </c>
      <c r="J27" s="2" t="str">
        <f t="shared" si="5"/>
        <v>Y</v>
      </c>
      <c r="K27" s="2" t="str">
        <f t="shared" si="6"/>
        <v/>
      </c>
      <c r="L27" s="2" t="str">
        <f t="shared" si="7"/>
        <v/>
      </c>
    </row>
    <row r="28" spans="1:12">
      <c r="A28" s="9">
        <v>16</v>
      </c>
      <c r="B28" s="8">
        <v>701.32799999999997</v>
      </c>
      <c r="C28" s="8">
        <f t="shared" si="8"/>
        <v>1.2400000000000091</v>
      </c>
      <c r="D28" s="8">
        <f t="shared" si="1"/>
        <v>1.3215777815545913</v>
      </c>
      <c r="E28" s="8">
        <f t="shared" si="2"/>
        <v>1.0616604361005504</v>
      </c>
      <c r="F28" s="8">
        <f t="shared" si="9"/>
        <v>0</v>
      </c>
      <c r="G28" s="8">
        <f t="shared" si="10"/>
        <v>3.5254911485809703</v>
      </c>
      <c r="H28" s="8">
        <f t="shared" si="3"/>
        <v>1.0791218697829723</v>
      </c>
      <c r="I28" s="8">
        <f t="shared" si="4"/>
        <v>0</v>
      </c>
      <c r="J28" s="2" t="str">
        <f t="shared" si="5"/>
        <v>Y</v>
      </c>
      <c r="K28" s="2" t="str">
        <f t="shared" si="6"/>
        <v/>
      </c>
      <c r="L28" s="2" t="str">
        <f t="shared" si="7"/>
        <v/>
      </c>
    </row>
    <row r="29" spans="1:12">
      <c r="A29" s="9">
        <v>17</v>
      </c>
      <c r="B29" s="8">
        <v>702.09699999999998</v>
      </c>
      <c r="C29" s="8">
        <f t="shared" si="8"/>
        <v>0.76900000000000546</v>
      </c>
      <c r="D29" s="8">
        <f t="shared" si="1"/>
        <v>1.3215777815545913</v>
      </c>
      <c r="E29" s="8">
        <f t="shared" si="2"/>
        <v>1.0616604361005504</v>
      </c>
      <c r="F29" s="8">
        <f t="shared" si="9"/>
        <v>0</v>
      </c>
      <c r="G29" s="8">
        <f t="shared" si="10"/>
        <v>3.5254911485809703</v>
      </c>
      <c r="H29" s="8">
        <f t="shared" si="3"/>
        <v>1.0791218697829723</v>
      </c>
      <c r="I29" s="8">
        <f t="shared" si="4"/>
        <v>0</v>
      </c>
      <c r="J29" s="2" t="str">
        <f t="shared" si="5"/>
        <v>Y</v>
      </c>
      <c r="K29" s="2" t="str">
        <f t="shared" si="6"/>
        <v/>
      </c>
      <c r="L29" s="2" t="str">
        <f t="shared" si="7"/>
        <v/>
      </c>
    </row>
    <row r="30" spans="1:12">
      <c r="A30" s="9">
        <v>18</v>
      </c>
      <c r="B30" s="8">
        <v>702.35199999999998</v>
      </c>
      <c r="C30" s="8">
        <f t="shared" si="8"/>
        <v>0.25499999999999545</v>
      </c>
      <c r="D30" s="8">
        <f t="shared" si="1"/>
        <v>1.3215777815545913</v>
      </c>
      <c r="E30" s="8">
        <f t="shared" si="2"/>
        <v>1.0616604361005504</v>
      </c>
      <c r="F30" s="8">
        <f t="shared" si="9"/>
        <v>0</v>
      </c>
      <c r="G30" s="8">
        <f t="shared" si="10"/>
        <v>3.5254911485809703</v>
      </c>
      <c r="H30" s="8">
        <f t="shared" si="3"/>
        <v>1.0791218697829723</v>
      </c>
      <c r="I30" s="8">
        <f t="shared" si="4"/>
        <v>0</v>
      </c>
      <c r="J30" s="2" t="str">
        <f t="shared" si="5"/>
        <v>Y</v>
      </c>
      <c r="K30" s="2" t="str">
        <f t="shared" si="6"/>
        <v/>
      </c>
      <c r="L30" s="2" t="str">
        <f t="shared" si="7"/>
        <v/>
      </c>
    </row>
    <row r="31" spans="1:12">
      <c r="A31" s="9">
        <v>19</v>
      </c>
      <c r="B31" s="8">
        <v>702.125</v>
      </c>
      <c r="C31" s="8">
        <f t="shared" si="8"/>
        <v>0.22699999999997544</v>
      </c>
      <c r="D31" s="8">
        <f t="shared" si="1"/>
        <v>1.3215777815545913</v>
      </c>
      <c r="E31" s="8">
        <f t="shared" si="2"/>
        <v>1.0616604361005504</v>
      </c>
      <c r="F31" s="8">
        <f t="shared" si="9"/>
        <v>0</v>
      </c>
      <c r="G31" s="8">
        <f t="shared" si="10"/>
        <v>3.5254911485809703</v>
      </c>
      <c r="H31" s="8">
        <f t="shared" si="3"/>
        <v>1.0791218697829723</v>
      </c>
      <c r="I31" s="8">
        <f t="shared" si="4"/>
        <v>0</v>
      </c>
      <c r="J31" s="2" t="str">
        <f t="shared" si="5"/>
        <v>Y</v>
      </c>
      <c r="K31" s="2" t="str">
        <f t="shared" si="6"/>
        <v/>
      </c>
      <c r="L31" s="2" t="str">
        <f t="shared" si="7"/>
        <v/>
      </c>
    </row>
    <row r="32" spans="1:12">
      <c r="A32" s="9">
        <v>20</v>
      </c>
      <c r="B32" s="8">
        <v>699.53800000000001</v>
      </c>
      <c r="C32" s="8">
        <f t="shared" si="8"/>
        <v>2.5869999999999891</v>
      </c>
      <c r="D32" s="8">
        <f t="shared" si="1"/>
        <v>1.3215777815545913</v>
      </c>
      <c r="E32" s="8">
        <f t="shared" si="2"/>
        <v>1.0616604361005504</v>
      </c>
      <c r="F32" s="8">
        <f t="shared" si="9"/>
        <v>0</v>
      </c>
      <c r="G32" s="8">
        <f t="shared" si="10"/>
        <v>3.5254911485809703</v>
      </c>
      <c r="H32" s="8">
        <f t="shared" si="3"/>
        <v>1.0791218697829723</v>
      </c>
      <c r="I32" s="8">
        <f t="shared" si="4"/>
        <v>0</v>
      </c>
      <c r="J32" s="2" t="str">
        <f t="shared" si="5"/>
        <v>Y</v>
      </c>
      <c r="K32" s="2" t="str">
        <f t="shared" si="6"/>
        <v/>
      </c>
      <c r="L32" s="2" t="str">
        <f t="shared" si="7"/>
        <v/>
      </c>
    </row>
    <row r="33" spans="1:12">
      <c r="A33" s="9">
        <v>21</v>
      </c>
      <c r="B33" s="8">
        <v>700.24400000000003</v>
      </c>
      <c r="C33" s="8">
        <f t="shared" si="8"/>
        <v>0.70600000000001728</v>
      </c>
      <c r="D33" s="8">
        <f t="shared" si="1"/>
        <v>1.3215777815545913</v>
      </c>
      <c r="E33" s="8">
        <f t="shared" si="2"/>
        <v>1.0616604361005504</v>
      </c>
      <c r="F33" s="8">
        <f t="shared" si="9"/>
        <v>0</v>
      </c>
      <c r="G33" s="8">
        <f t="shared" si="10"/>
        <v>3.5254911485809703</v>
      </c>
      <c r="H33" s="8">
        <f t="shared" si="3"/>
        <v>1.0791218697829723</v>
      </c>
      <c r="I33" s="8">
        <f t="shared" si="4"/>
        <v>0</v>
      </c>
      <c r="J33" s="2" t="str">
        <f t="shared" si="5"/>
        <v>Y</v>
      </c>
      <c r="K33" s="2" t="str">
        <f t="shared" si="6"/>
        <v/>
      </c>
      <c r="L33" s="2" t="str">
        <f t="shared" si="7"/>
        <v/>
      </c>
    </row>
    <row r="34" spans="1:12">
      <c r="A34" s="9">
        <v>22</v>
      </c>
      <c r="B34" s="8">
        <v>700.00599999999997</v>
      </c>
      <c r="C34" s="8">
        <f t="shared" si="8"/>
        <v>0.23800000000005639</v>
      </c>
      <c r="D34" s="8">
        <f t="shared" si="1"/>
        <v>1.3215777815545913</v>
      </c>
      <c r="E34" s="8">
        <f t="shared" si="2"/>
        <v>1.0616604361005504</v>
      </c>
      <c r="F34" s="8">
        <f t="shared" si="9"/>
        <v>0</v>
      </c>
      <c r="G34" s="8">
        <f t="shared" si="10"/>
        <v>3.5254911485809703</v>
      </c>
      <c r="H34" s="8">
        <f t="shared" si="3"/>
        <v>1.0791218697829723</v>
      </c>
      <c r="I34" s="8">
        <f t="shared" si="4"/>
        <v>0</v>
      </c>
      <c r="J34" s="2" t="str">
        <f t="shared" si="5"/>
        <v>Y</v>
      </c>
      <c r="K34" s="2" t="str">
        <f t="shared" si="6"/>
        <v/>
      </c>
      <c r="L34" s="2" t="str">
        <f t="shared" si="7"/>
        <v/>
      </c>
    </row>
    <row r="35" spans="1:12">
      <c r="A35" s="9">
        <v>23</v>
      </c>
      <c r="B35" s="8">
        <v>699.69200000000001</v>
      </c>
      <c r="C35" s="8">
        <f t="shared" si="8"/>
        <v>0.31399999999996453</v>
      </c>
      <c r="D35" s="8">
        <f t="shared" si="1"/>
        <v>1.3215777815545913</v>
      </c>
      <c r="E35" s="8">
        <f t="shared" si="2"/>
        <v>1.0616604361005504</v>
      </c>
      <c r="F35" s="8">
        <f t="shared" si="9"/>
        <v>0</v>
      </c>
      <c r="G35" s="8">
        <f t="shared" si="10"/>
        <v>3.5254911485809703</v>
      </c>
      <c r="H35" s="8">
        <f t="shared" si="3"/>
        <v>1.0791218697829723</v>
      </c>
      <c r="I35" s="8">
        <f t="shared" si="4"/>
        <v>0</v>
      </c>
      <c r="J35" s="2" t="str">
        <f t="shared" si="5"/>
        <v>Y</v>
      </c>
      <c r="K35" s="2" t="str">
        <f t="shared" si="6"/>
        <v/>
      </c>
      <c r="L35" s="2" t="str">
        <f t="shared" si="7"/>
        <v/>
      </c>
    </row>
    <row r="36" spans="1:12">
      <c r="A36" s="9">
        <v>24</v>
      </c>
      <c r="B36" s="8">
        <v>702.13</v>
      </c>
      <c r="C36" s="8">
        <f t="shared" si="8"/>
        <v>2.4379999999999882</v>
      </c>
      <c r="D36" s="8">
        <f t="shared" si="1"/>
        <v>1.3215777815545913</v>
      </c>
      <c r="E36" s="8">
        <f t="shared" si="2"/>
        <v>1.0616604361005504</v>
      </c>
      <c r="F36" s="8">
        <f t="shared" si="9"/>
        <v>0</v>
      </c>
      <c r="G36" s="8">
        <f t="shared" si="10"/>
        <v>3.5254911485809703</v>
      </c>
      <c r="H36" s="8">
        <f t="shared" si="3"/>
        <v>1.0791218697829723</v>
      </c>
      <c r="I36" s="8">
        <f t="shared" si="4"/>
        <v>0</v>
      </c>
      <c r="J36" s="2" t="str">
        <f t="shared" si="5"/>
        <v>Y</v>
      </c>
      <c r="K36" s="2" t="str">
        <f t="shared" si="6"/>
        <v/>
      </c>
      <c r="L36" s="2" t="str">
        <f t="shared" si="7"/>
        <v/>
      </c>
    </row>
    <row r="37" spans="1:12">
      <c r="A37" s="9">
        <v>25</v>
      </c>
      <c r="B37" s="8">
        <v>700.02599999999995</v>
      </c>
      <c r="C37" s="8">
        <f t="shared" si="8"/>
        <v>2.1040000000000418</v>
      </c>
      <c r="D37" s="8">
        <f t="shared" si="1"/>
        <v>1.3215777815545913</v>
      </c>
      <c r="E37" s="8">
        <f t="shared" si="2"/>
        <v>1.0616604361005504</v>
      </c>
      <c r="F37" s="8">
        <f t="shared" si="9"/>
        <v>0</v>
      </c>
      <c r="G37" s="8">
        <f t="shared" si="10"/>
        <v>3.5254911485809703</v>
      </c>
      <c r="H37" s="8">
        <f t="shared" si="3"/>
        <v>1.0791218697829723</v>
      </c>
      <c r="I37" s="8">
        <f t="shared" si="4"/>
        <v>0</v>
      </c>
      <c r="J37" s="2" t="str">
        <f t="shared" si="5"/>
        <v>Y</v>
      </c>
      <c r="K37" s="2" t="str">
        <f t="shared" si="6"/>
        <v/>
      </c>
      <c r="L37" s="2" t="str">
        <f t="shared" si="7"/>
        <v/>
      </c>
    </row>
    <row r="38" spans="1:12">
      <c r="A38" s="9">
        <v>26</v>
      </c>
      <c r="B38" s="8">
        <v>701.70899999999995</v>
      </c>
      <c r="C38" s="8">
        <f t="shared" si="8"/>
        <v>1.6829999999999927</v>
      </c>
      <c r="D38" s="8">
        <f t="shared" si="1"/>
        <v>1.3215777815545913</v>
      </c>
      <c r="E38" s="8">
        <f t="shared" si="2"/>
        <v>1.0616604361005504</v>
      </c>
      <c r="F38" s="8">
        <f t="shared" si="9"/>
        <v>0</v>
      </c>
      <c r="G38" s="8">
        <f t="shared" si="10"/>
        <v>3.5254911485809703</v>
      </c>
      <c r="H38" s="8">
        <f t="shared" si="3"/>
        <v>1.0791218697829723</v>
      </c>
      <c r="I38" s="8">
        <f t="shared" si="4"/>
        <v>0</v>
      </c>
      <c r="J38" s="2" t="str">
        <f t="shared" si="5"/>
        <v>Y</v>
      </c>
      <c r="K38" s="2" t="str">
        <f t="shared" si="6"/>
        <v/>
      </c>
      <c r="L38" s="2" t="str">
        <f t="shared" si="7"/>
        <v/>
      </c>
    </row>
    <row r="39" spans="1:12">
      <c r="A39" s="9">
        <v>27</v>
      </c>
      <c r="B39" s="8">
        <v>704.32600000000002</v>
      </c>
      <c r="C39" s="8">
        <f t="shared" si="8"/>
        <v>2.6170000000000755</v>
      </c>
      <c r="D39" s="8">
        <f t="shared" si="1"/>
        <v>1.3215777815545913</v>
      </c>
      <c r="E39" s="8">
        <f t="shared" si="2"/>
        <v>1.0616604361005504</v>
      </c>
      <c r="F39" s="8">
        <f t="shared" si="9"/>
        <v>0</v>
      </c>
      <c r="G39" s="8">
        <f t="shared" si="10"/>
        <v>3.5254911485809703</v>
      </c>
      <c r="H39" s="8">
        <f t="shared" si="3"/>
        <v>1.0791218697829723</v>
      </c>
      <c r="I39" s="8">
        <f t="shared" si="4"/>
        <v>0</v>
      </c>
      <c r="J39" s="2" t="str">
        <f t="shared" si="5"/>
        <v>Y</v>
      </c>
      <c r="K39" s="2" t="str">
        <f t="shared" si="6"/>
        <v/>
      </c>
      <c r="L39" s="2" t="str">
        <f t="shared" si="7"/>
        <v/>
      </c>
    </row>
    <row r="40" spans="1:12">
      <c r="A40" s="9">
        <v>28</v>
      </c>
      <c r="B40" s="8">
        <v>701.11400000000003</v>
      </c>
      <c r="C40" s="8">
        <f t="shared" si="8"/>
        <v>3.2119999999999891</v>
      </c>
      <c r="D40" s="8">
        <f t="shared" si="1"/>
        <v>1.3215777815545913</v>
      </c>
      <c r="E40" s="8">
        <f t="shared" si="2"/>
        <v>1.0616604361005504</v>
      </c>
      <c r="F40" s="8">
        <f t="shared" si="9"/>
        <v>0</v>
      </c>
      <c r="G40" s="8">
        <f t="shared" si="10"/>
        <v>3.5254911485809703</v>
      </c>
      <c r="H40" s="8">
        <f t="shared" si="3"/>
        <v>1.0791218697829723</v>
      </c>
      <c r="I40" s="8">
        <f t="shared" si="4"/>
        <v>0</v>
      </c>
      <c r="J40" s="2" t="str">
        <f t="shared" si="5"/>
        <v>Y</v>
      </c>
      <c r="K40" s="2" t="str">
        <f t="shared" si="6"/>
        <v/>
      </c>
      <c r="L40" s="2" t="str">
        <f t="shared" si="7"/>
        <v/>
      </c>
    </row>
    <row r="41" spans="1:12">
      <c r="A41" s="9">
        <v>29</v>
      </c>
      <c r="B41" s="8">
        <v>703.65200000000004</v>
      </c>
      <c r="C41" s="8">
        <f t="shared" si="8"/>
        <v>2.5380000000000109</v>
      </c>
      <c r="D41" s="8">
        <f t="shared" si="1"/>
        <v>1.3215777815545913</v>
      </c>
      <c r="E41" s="8">
        <f t="shared" si="2"/>
        <v>1.0616604361005504</v>
      </c>
      <c r="F41" s="8">
        <f t="shared" si="9"/>
        <v>0</v>
      </c>
      <c r="G41" s="8">
        <f t="shared" si="10"/>
        <v>3.5254911485809703</v>
      </c>
      <c r="H41" s="8">
        <f t="shared" si="3"/>
        <v>1.0791218697829723</v>
      </c>
      <c r="I41" s="8">
        <f t="shared" si="4"/>
        <v>0</v>
      </c>
      <c r="J41" s="2" t="str">
        <f t="shared" si="5"/>
        <v>Y</v>
      </c>
      <c r="K41" s="2" t="str">
        <f t="shared" si="6"/>
        <v/>
      </c>
      <c r="L41" s="2" t="str">
        <f t="shared" si="7"/>
        <v/>
      </c>
    </row>
    <row r="42" spans="1:12">
      <c r="A42" s="9">
        <v>30</v>
      </c>
      <c r="B42" s="8">
        <v>703.81200000000001</v>
      </c>
      <c r="C42" s="8">
        <f t="shared" si="8"/>
        <v>0.15999999999996817</v>
      </c>
      <c r="D42" s="8">
        <f t="shared" si="1"/>
        <v>1.3215777815545913</v>
      </c>
      <c r="E42" s="8">
        <f t="shared" si="2"/>
        <v>1.0616604361005504</v>
      </c>
      <c r="F42" s="8">
        <f t="shared" si="9"/>
        <v>0</v>
      </c>
      <c r="G42" s="8">
        <f t="shared" si="10"/>
        <v>3.5254911485809703</v>
      </c>
      <c r="H42" s="8">
        <f t="shared" si="3"/>
        <v>1.0791218697829723</v>
      </c>
      <c r="I42" s="8">
        <f t="shared" si="4"/>
        <v>0</v>
      </c>
      <c r="J42" s="2" t="str">
        <f t="shared" si="5"/>
        <v>Y</v>
      </c>
      <c r="K42" s="2" t="str">
        <f t="shared" si="6"/>
        <v/>
      </c>
      <c r="L42" s="2" t="str">
        <f t="shared" si="7"/>
        <v/>
      </c>
    </row>
    <row r="43" spans="1:12">
      <c r="A43" s="9">
        <v>31</v>
      </c>
      <c r="B43" s="8">
        <v>704.18</v>
      </c>
      <c r="C43" s="8">
        <f t="shared" si="8"/>
        <v>0.36799999999993815</v>
      </c>
      <c r="D43" s="8">
        <f t="shared" si="1"/>
        <v>1.3215777815545913</v>
      </c>
      <c r="E43" s="8">
        <f t="shared" si="2"/>
        <v>1.0616604361005504</v>
      </c>
      <c r="F43" s="8">
        <f t="shared" si="9"/>
        <v>0</v>
      </c>
      <c r="G43" s="8">
        <f t="shared" si="10"/>
        <v>3.5254911485809703</v>
      </c>
      <c r="H43" s="8">
        <f t="shared" si="3"/>
        <v>1.0791218697829723</v>
      </c>
      <c r="I43" s="8">
        <f t="shared" si="4"/>
        <v>0</v>
      </c>
      <c r="J43" s="2" t="str">
        <f t="shared" si="5"/>
        <v>Y</v>
      </c>
      <c r="K43" s="2" t="str">
        <f t="shared" si="6"/>
        <v/>
      </c>
      <c r="L43" s="2" t="str">
        <f t="shared" si="7"/>
        <v/>
      </c>
    </row>
    <row r="44" spans="1:12">
      <c r="A44" s="9">
        <v>32</v>
      </c>
      <c r="B44" s="8">
        <v>703.98599999999999</v>
      </c>
      <c r="C44" s="8">
        <f t="shared" si="8"/>
        <v>0.19399999999995998</v>
      </c>
      <c r="D44" s="8">
        <f t="shared" si="1"/>
        <v>1.3215777815545913</v>
      </c>
      <c r="E44" s="8">
        <f t="shared" si="2"/>
        <v>1.0616604361005504</v>
      </c>
      <c r="F44" s="8">
        <f t="shared" si="9"/>
        <v>0</v>
      </c>
      <c r="G44" s="8">
        <f t="shared" si="10"/>
        <v>3.5254911485809703</v>
      </c>
      <c r="H44" s="8">
        <f t="shared" si="3"/>
        <v>1.0791218697829723</v>
      </c>
      <c r="I44" s="8">
        <f t="shared" si="4"/>
        <v>0</v>
      </c>
      <c r="J44" s="2" t="str">
        <f t="shared" si="5"/>
        <v>Y</v>
      </c>
      <c r="K44" s="2" t="str">
        <f t="shared" si="6"/>
        <v/>
      </c>
      <c r="L44" s="2" t="str">
        <f t="shared" si="7"/>
        <v/>
      </c>
    </row>
    <row r="45" spans="1:12">
      <c r="A45" s="9">
        <v>33</v>
      </c>
      <c r="B45" s="8">
        <v>701.01300000000003</v>
      </c>
      <c r="C45" s="8">
        <f t="shared" si="8"/>
        <v>2.9729999999999563</v>
      </c>
      <c r="D45" s="8">
        <f t="shared" si="1"/>
        <v>1.3215777815545913</v>
      </c>
      <c r="E45" s="8">
        <f t="shared" si="2"/>
        <v>1.0616604361005504</v>
      </c>
      <c r="F45" s="8">
        <f t="shared" si="9"/>
        <v>0</v>
      </c>
      <c r="G45" s="8">
        <f t="shared" si="10"/>
        <v>3.5254911485809703</v>
      </c>
      <c r="H45" s="8">
        <f t="shared" si="3"/>
        <v>1.0791218697829723</v>
      </c>
      <c r="I45" s="8">
        <f t="shared" si="4"/>
        <v>0</v>
      </c>
      <c r="J45" s="2" t="str">
        <f t="shared" si="5"/>
        <v>Y</v>
      </c>
      <c r="K45" s="2" t="str">
        <f t="shared" si="6"/>
        <v/>
      </c>
      <c r="L45" s="2" t="str">
        <f t="shared" si="7"/>
        <v/>
      </c>
    </row>
    <row r="46" spans="1:12">
      <c r="A46" s="9">
        <v>34</v>
      </c>
      <c r="B46" s="8">
        <v>701.37099999999998</v>
      </c>
      <c r="C46" s="8">
        <f t="shared" si="8"/>
        <v>0.35799999999994725</v>
      </c>
      <c r="D46" s="8">
        <f t="shared" si="1"/>
        <v>1.3215777815545913</v>
      </c>
      <c r="E46" s="8">
        <f t="shared" si="2"/>
        <v>1.0616604361005504</v>
      </c>
      <c r="F46" s="8">
        <f t="shared" si="9"/>
        <v>0</v>
      </c>
      <c r="G46" s="8">
        <f t="shared" si="10"/>
        <v>3.5254911485809703</v>
      </c>
      <c r="H46" s="8">
        <f t="shared" si="3"/>
        <v>1.0791218697829723</v>
      </c>
      <c r="I46" s="8">
        <f t="shared" si="4"/>
        <v>0</v>
      </c>
      <c r="J46" s="2" t="str">
        <f t="shared" si="5"/>
        <v>Y</v>
      </c>
      <c r="K46" s="2" t="str">
        <f t="shared" si="6"/>
        <v/>
      </c>
      <c r="L46" s="2" t="str">
        <f t="shared" si="7"/>
        <v/>
      </c>
    </row>
    <row r="47" spans="1:12">
      <c r="A47" s="9">
        <v>35</v>
      </c>
      <c r="B47" s="8">
        <v>701.37199999999996</v>
      </c>
      <c r="C47" s="8">
        <f t="shared" si="8"/>
        <v>9.9999999997635314E-4</v>
      </c>
      <c r="D47" s="8">
        <f t="shared" si="1"/>
        <v>1.3215777815545913</v>
      </c>
      <c r="E47" s="8">
        <f t="shared" si="2"/>
        <v>1.0616604361005504</v>
      </c>
      <c r="F47" s="8">
        <f t="shared" si="9"/>
        <v>0</v>
      </c>
      <c r="G47" s="8">
        <f t="shared" si="10"/>
        <v>3.5254911485809703</v>
      </c>
      <c r="H47" s="8">
        <f t="shared" si="3"/>
        <v>1.0791218697829723</v>
      </c>
      <c r="I47" s="8">
        <f t="shared" si="4"/>
        <v>0</v>
      </c>
      <c r="J47" s="2" t="str">
        <f t="shared" si="5"/>
        <v>Y</v>
      </c>
      <c r="K47" s="2" t="str">
        <f t="shared" si="6"/>
        <v/>
      </c>
      <c r="L47" s="2" t="str">
        <f t="shared" si="7"/>
        <v/>
      </c>
    </row>
    <row r="48" spans="1:12">
      <c r="A48" s="9">
        <v>36</v>
      </c>
      <c r="B48" s="8">
        <v>701.07299999999998</v>
      </c>
      <c r="C48" s="8">
        <f t="shared" si="8"/>
        <v>0.29899999999997817</v>
      </c>
      <c r="D48" s="8">
        <f t="shared" si="1"/>
        <v>1.3215777815545913</v>
      </c>
      <c r="E48" s="8">
        <f t="shared" si="2"/>
        <v>1.0616604361005504</v>
      </c>
      <c r="F48" s="8">
        <f t="shared" si="9"/>
        <v>0</v>
      </c>
      <c r="G48" s="8">
        <f t="shared" si="10"/>
        <v>3.5254911485809703</v>
      </c>
      <c r="H48" s="8">
        <f t="shared" si="3"/>
        <v>1.0791218697829723</v>
      </c>
      <c r="I48" s="8">
        <f t="shared" si="4"/>
        <v>0</v>
      </c>
      <c r="J48" s="2" t="str">
        <f t="shared" si="5"/>
        <v>Y</v>
      </c>
      <c r="K48" s="2" t="str">
        <f t="shared" si="6"/>
        <v/>
      </c>
      <c r="L48" s="2" t="str">
        <f t="shared" si="7"/>
        <v/>
      </c>
    </row>
    <row r="49" spans="1:12">
      <c r="A49" s="9">
        <v>37</v>
      </c>
      <c r="B49" s="8">
        <v>701.29300000000001</v>
      </c>
      <c r="C49" s="8">
        <f t="shared" si="8"/>
        <v>0.22000000000002728</v>
      </c>
      <c r="D49" s="8">
        <f t="shared" si="1"/>
        <v>1.3215777815545913</v>
      </c>
      <c r="E49" s="8">
        <f t="shared" si="2"/>
        <v>1.0616604361005504</v>
      </c>
      <c r="F49" s="8">
        <f t="shared" si="9"/>
        <v>0</v>
      </c>
      <c r="G49" s="8">
        <f t="shared" si="10"/>
        <v>3.5254911485809703</v>
      </c>
      <c r="H49" s="8">
        <f t="shared" si="3"/>
        <v>1.0791218697829723</v>
      </c>
      <c r="I49" s="8">
        <f t="shared" si="4"/>
        <v>0</v>
      </c>
      <c r="J49" s="2" t="str">
        <f t="shared" si="5"/>
        <v>Y</v>
      </c>
      <c r="K49" s="2" t="str">
        <f t="shared" si="6"/>
        <v/>
      </c>
      <c r="L49" s="2" t="str">
        <f t="shared" si="7"/>
        <v/>
      </c>
    </row>
    <row r="50" spans="1:12">
      <c r="A50" s="9">
        <v>38</v>
      </c>
      <c r="B50" s="8">
        <v>701.00699999999995</v>
      </c>
      <c r="C50" s="8">
        <f t="shared" si="8"/>
        <v>0.28600000000005821</v>
      </c>
      <c r="D50" s="8">
        <f t="shared" si="1"/>
        <v>1.3215777815545913</v>
      </c>
      <c r="E50" s="8">
        <f t="shared" si="2"/>
        <v>1.0616604361005504</v>
      </c>
      <c r="F50" s="8">
        <f t="shared" si="9"/>
        <v>0</v>
      </c>
      <c r="G50" s="8">
        <f t="shared" si="10"/>
        <v>3.5254911485809703</v>
      </c>
      <c r="H50" s="8">
        <f t="shared" si="3"/>
        <v>1.0791218697829723</v>
      </c>
      <c r="I50" s="8">
        <f t="shared" si="4"/>
        <v>0</v>
      </c>
      <c r="J50" s="2" t="str">
        <f t="shared" si="5"/>
        <v>Y</v>
      </c>
      <c r="K50" s="2" t="str">
        <f t="shared" si="6"/>
        <v/>
      </c>
      <c r="L50" s="2" t="str">
        <f t="shared" si="7"/>
        <v/>
      </c>
    </row>
    <row r="51" spans="1:12">
      <c r="A51" s="9">
        <v>39</v>
      </c>
      <c r="B51" s="8">
        <v>702.62099999999998</v>
      </c>
      <c r="C51" s="8">
        <f t="shared" si="8"/>
        <v>1.6140000000000327</v>
      </c>
      <c r="D51" s="8">
        <f t="shared" si="1"/>
        <v>1.3215777815545913</v>
      </c>
      <c r="E51" s="8">
        <f t="shared" si="2"/>
        <v>1.0616604361005504</v>
      </c>
      <c r="F51" s="8">
        <f t="shared" si="9"/>
        <v>0</v>
      </c>
      <c r="G51" s="8">
        <f t="shared" si="10"/>
        <v>3.5254911485809703</v>
      </c>
      <c r="H51" s="8">
        <f t="shared" si="3"/>
        <v>1.0791218697829723</v>
      </c>
      <c r="I51" s="8">
        <f t="shared" si="4"/>
        <v>0</v>
      </c>
      <c r="J51" s="2" t="str">
        <f t="shared" si="5"/>
        <v>Y</v>
      </c>
      <c r="K51" s="2" t="str">
        <f t="shared" si="6"/>
        <v/>
      </c>
      <c r="L51" s="2" t="str">
        <f t="shared" si="7"/>
        <v/>
      </c>
    </row>
    <row r="52" spans="1:12">
      <c r="A52" s="9">
        <v>40</v>
      </c>
      <c r="B52" s="8">
        <v>702.43200000000002</v>
      </c>
      <c r="C52" s="8">
        <f t="shared" si="8"/>
        <v>0.18899999999996453</v>
      </c>
      <c r="D52" s="8">
        <f t="shared" si="1"/>
        <v>1.3215777815545913</v>
      </c>
      <c r="E52" s="8">
        <f t="shared" si="2"/>
        <v>1.0616604361005504</v>
      </c>
      <c r="F52" s="8">
        <f t="shared" si="9"/>
        <v>0</v>
      </c>
      <c r="G52" s="8">
        <f t="shared" si="10"/>
        <v>3.5254911485809703</v>
      </c>
      <c r="H52" s="8">
        <f t="shared" si="3"/>
        <v>1.0791218697829723</v>
      </c>
      <c r="I52" s="8">
        <f t="shared" si="4"/>
        <v>0</v>
      </c>
      <c r="J52" s="2" t="str">
        <f t="shared" si="5"/>
        <v>Y</v>
      </c>
      <c r="K52" s="2" t="str">
        <f t="shared" si="6"/>
        <v/>
      </c>
      <c r="L52" s="2" t="str">
        <f t="shared" si="7"/>
        <v/>
      </c>
    </row>
    <row r="53" spans="1:12">
      <c r="A53" s="9">
        <v>41</v>
      </c>
      <c r="B53" s="8">
        <v>702.23599999999999</v>
      </c>
      <c r="C53" s="8">
        <f t="shared" si="8"/>
        <v>0.19600000000002638</v>
      </c>
      <c r="D53" s="8">
        <f t="shared" si="1"/>
        <v>1.3215777815545913</v>
      </c>
      <c r="E53" s="8">
        <f t="shared" si="2"/>
        <v>1.0616604361005504</v>
      </c>
      <c r="F53" s="8">
        <f t="shared" si="9"/>
        <v>0</v>
      </c>
      <c r="G53" s="8">
        <f t="shared" si="10"/>
        <v>3.5254911485809703</v>
      </c>
      <c r="H53" s="8">
        <f t="shared" si="3"/>
        <v>1.0791218697829723</v>
      </c>
      <c r="I53" s="8">
        <f t="shared" si="4"/>
        <v>0</v>
      </c>
      <c r="J53" s="2" t="str">
        <f t="shared" si="5"/>
        <v>Y</v>
      </c>
      <c r="K53" s="2" t="str">
        <f t="shared" si="6"/>
        <v/>
      </c>
      <c r="L53" s="2" t="str">
        <f t="shared" si="7"/>
        <v/>
      </c>
    </row>
    <row r="54" spans="1:12">
      <c r="A54" s="9">
        <v>42</v>
      </c>
      <c r="B54" s="8">
        <v>702.05200000000002</v>
      </c>
      <c r="C54" s="8">
        <f t="shared" si="8"/>
        <v>0.18399999999996908</v>
      </c>
      <c r="D54" s="8">
        <f t="shared" si="1"/>
        <v>1.3215777815545913</v>
      </c>
      <c r="E54" s="8">
        <f t="shared" si="2"/>
        <v>1.0616604361005504</v>
      </c>
      <c r="F54" s="8">
        <f t="shared" si="9"/>
        <v>0</v>
      </c>
      <c r="G54" s="8">
        <f t="shared" si="10"/>
        <v>3.5254911485809703</v>
      </c>
      <c r="H54" s="8">
        <f t="shared" si="3"/>
        <v>1.0791218697829723</v>
      </c>
      <c r="I54" s="8">
        <f t="shared" si="4"/>
        <v>0</v>
      </c>
      <c r="J54" s="2" t="str">
        <f t="shared" si="5"/>
        <v>Y</v>
      </c>
      <c r="K54" s="2" t="str">
        <f t="shared" si="6"/>
        <v/>
      </c>
      <c r="L54" s="2" t="str">
        <f t="shared" si="7"/>
        <v/>
      </c>
    </row>
    <row r="55" spans="1:12">
      <c r="A55" s="9">
        <v>43</v>
      </c>
      <c r="B55" s="8">
        <v>703.42100000000005</v>
      </c>
      <c r="C55" s="8">
        <f t="shared" si="8"/>
        <v>1.3690000000000282</v>
      </c>
      <c r="D55" s="8">
        <f t="shared" si="1"/>
        <v>1.3215777815545913</v>
      </c>
      <c r="E55" s="8">
        <f t="shared" si="2"/>
        <v>1.0616604361005504</v>
      </c>
      <c r="F55" s="8">
        <f t="shared" si="9"/>
        <v>0</v>
      </c>
      <c r="G55" s="8">
        <f t="shared" si="10"/>
        <v>3.5254911485809703</v>
      </c>
      <c r="H55" s="8">
        <f t="shared" si="3"/>
        <v>1.0791218697829723</v>
      </c>
      <c r="I55" s="8">
        <f t="shared" si="4"/>
        <v>0</v>
      </c>
      <c r="J55" s="2" t="str">
        <f t="shared" si="5"/>
        <v>Y</v>
      </c>
      <c r="K55" s="2" t="str">
        <f t="shared" si="6"/>
        <v/>
      </c>
      <c r="L55" s="2" t="str">
        <f t="shared" si="7"/>
        <v/>
      </c>
    </row>
    <row r="56" spans="1:12">
      <c r="A56" s="9">
        <v>44</v>
      </c>
      <c r="B56" s="8">
        <v>702.10299999999995</v>
      </c>
      <c r="C56" s="8">
        <f t="shared" si="8"/>
        <v>1.3180000000000973</v>
      </c>
      <c r="D56" s="8">
        <f t="shared" si="1"/>
        <v>1.3215777815545913</v>
      </c>
      <c r="E56" s="8">
        <f t="shared" si="2"/>
        <v>1.0616604361005504</v>
      </c>
      <c r="F56" s="8">
        <f t="shared" si="9"/>
        <v>0</v>
      </c>
      <c r="G56" s="8">
        <f t="shared" si="10"/>
        <v>3.5254911485809703</v>
      </c>
      <c r="H56" s="8">
        <f t="shared" si="3"/>
        <v>1.0791218697829723</v>
      </c>
      <c r="I56" s="8">
        <f t="shared" si="4"/>
        <v>0</v>
      </c>
      <c r="J56" s="2" t="str">
        <f t="shared" si="5"/>
        <v>Y</v>
      </c>
      <c r="K56" s="2" t="str">
        <f t="shared" si="6"/>
        <v/>
      </c>
      <c r="L56" s="2" t="str">
        <f t="shared" si="7"/>
        <v/>
      </c>
    </row>
    <row r="57" spans="1:12">
      <c r="A57" s="9">
        <v>45</v>
      </c>
      <c r="B57" s="8">
        <v>701.20399999999995</v>
      </c>
      <c r="C57" s="8">
        <f t="shared" si="8"/>
        <v>0.89900000000000091</v>
      </c>
      <c r="D57" s="8">
        <f t="shared" si="1"/>
        <v>1.3215777815545913</v>
      </c>
      <c r="E57" s="8">
        <f t="shared" si="2"/>
        <v>1.0616604361005504</v>
      </c>
      <c r="F57" s="8">
        <f t="shared" si="9"/>
        <v>0</v>
      </c>
      <c r="G57" s="8">
        <f t="shared" si="10"/>
        <v>3.5254911485809703</v>
      </c>
      <c r="H57" s="8">
        <f t="shared" si="3"/>
        <v>1.0791218697829723</v>
      </c>
      <c r="I57" s="8">
        <f t="shared" si="4"/>
        <v>0</v>
      </c>
      <c r="J57" s="2" t="str">
        <f t="shared" si="5"/>
        <v>Y</v>
      </c>
      <c r="K57" s="2" t="str">
        <f t="shared" si="6"/>
        <v/>
      </c>
      <c r="L57" s="2" t="str">
        <f t="shared" si="7"/>
        <v/>
      </c>
    </row>
    <row r="58" spans="1:12">
      <c r="A58" s="9">
        <v>46</v>
      </c>
      <c r="B58" s="8">
        <v>700.25800000000004</v>
      </c>
      <c r="C58" s="8">
        <f t="shared" si="8"/>
        <v>0.94599999999991269</v>
      </c>
      <c r="D58" s="8">
        <f t="shared" si="1"/>
        <v>1.3215777815545913</v>
      </c>
      <c r="E58" s="8">
        <f t="shared" si="2"/>
        <v>1.0616604361005504</v>
      </c>
      <c r="F58" s="8">
        <f t="shared" si="9"/>
        <v>0</v>
      </c>
      <c r="G58" s="8">
        <f t="shared" si="10"/>
        <v>3.5254911485809703</v>
      </c>
      <c r="H58" s="8">
        <f t="shared" si="3"/>
        <v>1.0791218697829723</v>
      </c>
      <c r="I58" s="8">
        <f t="shared" si="4"/>
        <v>0</v>
      </c>
      <c r="J58" s="2" t="str">
        <f t="shared" si="5"/>
        <v>Y</v>
      </c>
      <c r="K58" s="2" t="str">
        <f t="shared" si="6"/>
        <v/>
      </c>
      <c r="L58" s="2" t="str">
        <f t="shared" si="7"/>
        <v/>
      </c>
    </row>
    <row r="59" spans="1:12">
      <c r="A59" s="9">
        <v>47</v>
      </c>
      <c r="B59" s="8">
        <v>702.43299999999999</v>
      </c>
      <c r="C59" s="8">
        <f t="shared" si="8"/>
        <v>2.1749999999999545</v>
      </c>
      <c r="D59" s="8">
        <f t="shared" si="1"/>
        <v>1.3215777815545913</v>
      </c>
      <c r="E59" s="8">
        <f t="shared" si="2"/>
        <v>1.0616604361005504</v>
      </c>
      <c r="F59" s="8">
        <f t="shared" si="9"/>
        <v>0</v>
      </c>
      <c r="G59" s="8">
        <f t="shared" si="10"/>
        <v>3.5254911485809703</v>
      </c>
      <c r="H59" s="8">
        <f t="shared" si="3"/>
        <v>1.0791218697829723</v>
      </c>
      <c r="I59" s="8">
        <f t="shared" si="4"/>
        <v>0</v>
      </c>
      <c r="J59" s="2" t="str">
        <f t="shared" si="5"/>
        <v>Y</v>
      </c>
      <c r="K59" s="2" t="str">
        <f t="shared" si="6"/>
        <v/>
      </c>
      <c r="L59" s="2" t="str">
        <f t="shared" si="7"/>
        <v/>
      </c>
    </row>
    <row r="60" spans="1:12">
      <c r="A60" s="9">
        <v>48</v>
      </c>
      <c r="B60" s="8">
        <v>697.93399999999997</v>
      </c>
      <c r="C60" s="8">
        <f t="shared" si="8"/>
        <v>4.4990000000000236</v>
      </c>
      <c r="D60" s="8">
        <f t="shared" si="1"/>
        <v>1.3215777815545913</v>
      </c>
      <c r="E60" s="8">
        <f t="shared" si="2"/>
        <v>1.0616604361005504</v>
      </c>
      <c r="F60" s="8">
        <f t="shared" si="9"/>
        <v>0</v>
      </c>
      <c r="G60" s="8">
        <f t="shared" si="10"/>
        <v>3.5254911485809703</v>
      </c>
      <c r="H60" s="8">
        <f t="shared" si="3"/>
        <v>1.0791218697829723</v>
      </c>
      <c r="I60" s="8">
        <f t="shared" si="4"/>
        <v>0</v>
      </c>
      <c r="J60" s="2" t="str">
        <f t="shared" si="5"/>
        <v>Y</v>
      </c>
      <c r="K60" s="2" t="str">
        <f t="shared" si="6"/>
        <v>Y</v>
      </c>
      <c r="L60" s="2" t="str">
        <f t="shared" si="7"/>
        <v/>
      </c>
    </row>
    <row r="61" spans="1:12">
      <c r="A61" s="9">
        <v>49</v>
      </c>
      <c r="B61" s="8">
        <v>702.84299999999996</v>
      </c>
      <c r="C61" s="8">
        <f t="shared" si="8"/>
        <v>4.9089999999999918</v>
      </c>
      <c r="D61" s="8">
        <f t="shared" si="1"/>
        <v>1.3215777815545913</v>
      </c>
      <c r="E61" s="8">
        <f t="shared" si="2"/>
        <v>1.0616604361005504</v>
      </c>
      <c r="F61" s="8">
        <f t="shared" si="9"/>
        <v>0</v>
      </c>
      <c r="G61" s="8">
        <f t="shared" si="10"/>
        <v>3.5254911485809703</v>
      </c>
      <c r="H61" s="8">
        <f t="shared" si="3"/>
        <v>1.0791218697829723</v>
      </c>
      <c r="I61" s="8">
        <f t="shared" si="4"/>
        <v>0</v>
      </c>
      <c r="J61" s="2" t="str">
        <f t="shared" si="5"/>
        <v>Y</v>
      </c>
      <c r="K61" s="2" t="str">
        <f t="shared" si="6"/>
        <v>Y</v>
      </c>
      <c r="L61" s="2" t="str">
        <f t="shared" si="7"/>
        <v/>
      </c>
    </row>
    <row r="62" spans="1:12">
      <c r="A62" s="9">
        <v>50</v>
      </c>
      <c r="B62" s="8">
        <v>700.16399999999999</v>
      </c>
      <c r="C62" s="8">
        <f t="shared" si="8"/>
        <v>2.6789999999999736</v>
      </c>
      <c r="D62" s="8">
        <f t="shared" si="1"/>
        <v>1.3215777815545913</v>
      </c>
      <c r="E62" s="8">
        <f t="shared" si="2"/>
        <v>1.0616604361005504</v>
      </c>
      <c r="F62" s="8">
        <f t="shared" si="9"/>
        <v>0</v>
      </c>
      <c r="G62" s="8">
        <f t="shared" si="10"/>
        <v>3.5254911485809703</v>
      </c>
      <c r="H62" s="8">
        <f t="shared" si="3"/>
        <v>1.0791218697829723</v>
      </c>
      <c r="I62" s="8">
        <f t="shared" si="4"/>
        <v>0</v>
      </c>
      <c r="J62" s="2" t="str">
        <f t="shared" si="5"/>
        <v>Y</v>
      </c>
      <c r="K62" s="2" t="str">
        <f t="shared" si="6"/>
        <v/>
      </c>
      <c r="L62" s="2" t="str">
        <f t="shared" si="7"/>
        <v/>
      </c>
    </row>
    <row r="63" spans="1:12">
      <c r="A63" s="9">
        <v>51</v>
      </c>
      <c r="B63" s="8">
        <v>702.98800000000006</v>
      </c>
      <c r="C63" s="8">
        <f t="shared" si="8"/>
        <v>2.8240000000000691</v>
      </c>
      <c r="D63" s="8">
        <f t="shared" si="1"/>
        <v>1.3215777815545913</v>
      </c>
      <c r="E63" s="8">
        <f t="shared" si="2"/>
        <v>1.0616604361005504</v>
      </c>
      <c r="F63" s="8">
        <f t="shared" si="9"/>
        <v>0</v>
      </c>
      <c r="G63" s="8">
        <f t="shared" si="10"/>
        <v>3.5254911485809703</v>
      </c>
      <c r="H63" s="8">
        <f t="shared" si="3"/>
        <v>1.0791218697829723</v>
      </c>
      <c r="I63" s="8">
        <f t="shared" si="4"/>
        <v>0</v>
      </c>
      <c r="J63" s="2" t="str">
        <f t="shared" si="5"/>
        <v>Y</v>
      </c>
      <c r="K63" s="2" t="str">
        <f t="shared" si="6"/>
        <v/>
      </c>
      <c r="L63" s="2" t="str">
        <f t="shared" si="7"/>
        <v/>
      </c>
    </row>
    <row r="64" spans="1:12">
      <c r="A64" s="9">
        <v>52</v>
      </c>
      <c r="B64" s="8">
        <v>703.06799999999998</v>
      </c>
      <c r="C64" s="8">
        <f t="shared" si="8"/>
        <v>7.999999999992724E-2</v>
      </c>
      <c r="D64" s="8">
        <f t="shared" si="1"/>
        <v>1.3215777815545913</v>
      </c>
      <c r="E64" s="8">
        <f t="shared" si="2"/>
        <v>1.0616604361005504</v>
      </c>
      <c r="F64" s="8">
        <f t="shared" si="9"/>
        <v>0</v>
      </c>
      <c r="G64" s="8">
        <f t="shared" si="10"/>
        <v>3.5254911485809703</v>
      </c>
      <c r="H64" s="8">
        <f t="shared" si="3"/>
        <v>1.0791218697829723</v>
      </c>
      <c r="I64" s="8">
        <f t="shared" si="4"/>
        <v>0</v>
      </c>
      <c r="J64" s="2" t="str">
        <f t="shared" si="5"/>
        <v>Y</v>
      </c>
      <c r="K64" s="2" t="str">
        <f t="shared" si="6"/>
        <v/>
      </c>
      <c r="L64" s="2" t="str">
        <f t="shared" si="7"/>
        <v/>
      </c>
    </row>
    <row r="65" spans="1:12">
      <c r="A65" s="9">
        <v>53</v>
      </c>
      <c r="B65" s="8">
        <v>702.56899999999996</v>
      </c>
      <c r="C65" s="8">
        <f t="shared" si="8"/>
        <v>0.49900000000002365</v>
      </c>
      <c r="D65" s="8">
        <f t="shared" si="1"/>
        <v>1.3215777815545913</v>
      </c>
      <c r="E65" s="8">
        <f t="shared" si="2"/>
        <v>1.0616604361005504</v>
      </c>
      <c r="F65" s="8">
        <f t="shared" si="9"/>
        <v>0</v>
      </c>
      <c r="G65" s="8">
        <f t="shared" si="10"/>
        <v>3.5254911485809703</v>
      </c>
      <c r="H65" s="8">
        <f t="shared" si="3"/>
        <v>1.0791218697829723</v>
      </c>
      <c r="I65" s="8">
        <f t="shared" si="4"/>
        <v>0</v>
      </c>
      <c r="J65" s="2" t="str">
        <f t="shared" si="5"/>
        <v>Y</v>
      </c>
      <c r="K65" s="2" t="str">
        <f t="shared" si="6"/>
        <v/>
      </c>
      <c r="L65" s="2" t="str">
        <f t="shared" si="7"/>
        <v/>
      </c>
    </row>
    <row r="66" spans="1:12">
      <c r="A66" s="9">
        <v>54</v>
      </c>
      <c r="B66" s="8">
        <v>701.53899999999999</v>
      </c>
      <c r="C66" s="8">
        <f t="shared" si="8"/>
        <v>1.0299999999999727</v>
      </c>
      <c r="D66" s="8">
        <f t="shared" si="1"/>
        <v>1.3215777815545913</v>
      </c>
      <c r="E66" s="8">
        <f t="shared" si="2"/>
        <v>1.0616604361005504</v>
      </c>
      <c r="F66" s="8">
        <f t="shared" si="9"/>
        <v>0</v>
      </c>
      <c r="G66" s="8">
        <f t="shared" si="10"/>
        <v>3.5254911485809703</v>
      </c>
      <c r="H66" s="8">
        <f t="shared" si="3"/>
        <v>1.0791218697829723</v>
      </c>
      <c r="I66" s="8">
        <f t="shared" si="4"/>
        <v>0</v>
      </c>
      <c r="J66" s="2" t="str">
        <f t="shared" si="5"/>
        <v>Y</v>
      </c>
      <c r="K66" s="2" t="str">
        <f t="shared" si="6"/>
        <v/>
      </c>
      <c r="L66" s="2" t="str">
        <f t="shared" si="7"/>
        <v/>
      </c>
    </row>
    <row r="67" spans="1:12">
      <c r="A67" s="9">
        <v>55</v>
      </c>
      <c r="B67" s="8">
        <v>700.69100000000003</v>
      </c>
      <c r="C67" s="8">
        <f t="shared" si="8"/>
        <v>0.84799999999995634</v>
      </c>
      <c r="D67" s="8">
        <f t="shared" si="1"/>
        <v>1.3215777815545913</v>
      </c>
      <c r="E67" s="8">
        <f t="shared" si="2"/>
        <v>1.0616604361005504</v>
      </c>
      <c r="F67" s="8">
        <f t="shared" si="9"/>
        <v>0</v>
      </c>
      <c r="G67" s="8">
        <f t="shared" si="10"/>
        <v>3.5254911485809703</v>
      </c>
      <c r="H67" s="8">
        <f t="shared" si="3"/>
        <v>1.0791218697829723</v>
      </c>
      <c r="I67" s="8">
        <f t="shared" si="4"/>
        <v>0</v>
      </c>
      <c r="J67" s="2" t="str">
        <f t="shared" si="5"/>
        <v>Y</v>
      </c>
      <c r="K67" s="2" t="str">
        <f t="shared" si="6"/>
        <v/>
      </c>
      <c r="L67" s="2" t="str">
        <f t="shared" si="7"/>
        <v/>
      </c>
    </row>
    <row r="68" spans="1:12">
      <c r="A68" s="9">
        <v>56</v>
      </c>
      <c r="B68" s="8">
        <v>698.35699999999997</v>
      </c>
      <c r="C68" s="8">
        <f t="shared" si="8"/>
        <v>2.33400000000006</v>
      </c>
      <c r="D68" s="8">
        <f t="shared" si="1"/>
        <v>1.3215777815545913</v>
      </c>
      <c r="E68" s="8">
        <f t="shared" si="2"/>
        <v>1.0616604361005504</v>
      </c>
      <c r="F68" s="8">
        <f t="shared" si="9"/>
        <v>0</v>
      </c>
      <c r="G68" s="8">
        <f t="shared" si="10"/>
        <v>3.5254911485809703</v>
      </c>
      <c r="H68" s="8">
        <f t="shared" si="3"/>
        <v>1.0791218697829723</v>
      </c>
      <c r="I68" s="8">
        <f t="shared" si="4"/>
        <v>0</v>
      </c>
      <c r="J68" s="2" t="str">
        <f t="shared" si="5"/>
        <v>Y</v>
      </c>
      <c r="K68" s="2" t="str">
        <f t="shared" si="6"/>
        <v/>
      </c>
      <c r="L68" s="2" t="str">
        <f t="shared" si="7"/>
        <v/>
      </c>
    </row>
    <row r="69" spans="1:12">
      <c r="A69" s="9">
        <v>57</v>
      </c>
      <c r="B69" s="8">
        <v>700.08799999999997</v>
      </c>
      <c r="C69" s="8">
        <f t="shared" si="8"/>
        <v>1.7309999999999945</v>
      </c>
      <c r="D69" s="8">
        <f t="shared" si="1"/>
        <v>1.3215777815545913</v>
      </c>
      <c r="E69" s="8">
        <f t="shared" si="2"/>
        <v>1.0616604361005504</v>
      </c>
      <c r="F69" s="8">
        <f t="shared" si="9"/>
        <v>0</v>
      </c>
      <c r="G69" s="8">
        <f t="shared" si="10"/>
        <v>3.5254911485809703</v>
      </c>
      <c r="H69" s="8">
        <f t="shared" si="3"/>
        <v>1.0791218697829723</v>
      </c>
      <c r="I69" s="8">
        <f t="shared" si="4"/>
        <v>0</v>
      </c>
      <c r="J69" s="2" t="str">
        <f t="shared" si="5"/>
        <v>Y</v>
      </c>
      <c r="K69" s="2" t="str">
        <f t="shared" si="6"/>
        <v/>
      </c>
      <c r="L69" s="2" t="str">
        <f t="shared" si="7"/>
        <v/>
      </c>
    </row>
    <row r="70" spans="1:12">
      <c r="A70" s="9">
        <v>58</v>
      </c>
      <c r="B70" s="8">
        <v>700.10699999999997</v>
      </c>
      <c r="C70" s="8">
        <f t="shared" si="8"/>
        <v>1.9000000000005457E-2</v>
      </c>
      <c r="D70" s="8">
        <f t="shared" si="1"/>
        <v>1.3215777815545913</v>
      </c>
      <c r="E70" s="8">
        <f t="shared" si="2"/>
        <v>1.0616604361005504</v>
      </c>
      <c r="F70" s="8">
        <f t="shared" si="9"/>
        <v>0</v>
      </c>
      <c r="G70" s="8">
        <f t="shared" si="10"/>
        <v>3.5254911485809703</v>
      </c>
      <c r="H70" s="8">
        <f t="shared" si="3"/>
        <v>1.0791218697829723</v>
      </c>
      <c r="I70" s="8">
        <f t="shared" si="4"/>
        <v>0</v>
      </c>
      <c r="J70" s="2" t="str">
        <f t="shared" si="5"/>
        <v>Y</v>
      </c>
      <c r="K70" s="2" t="str">
        <f t="shared" si="6"/>
        <v/>
      </c>
      <c r="L70" s="2" t="str">
        <f t="shared" si="7"/>
        <v/>
      </c>
    </row>
    <row r="71" spans="1:12">
      <c r="A71" s="9">
        <v>59</v>
      </c>
      <c r="B71" s="8">
        <v>700.13900000000001</v>
      </c>
      <c r="C71" s="8">
        <f t="shared" si="8"/>
        <v>3.2000000000039108E-2</v>
      </c>
      <c r="D71" s="8">
        <f t="shared" si="1"/>
        <v>1.3215777815545913</v>
      </c>
      <c r="E71" s="8">
        <f t="shared" si="2"/>
        <v>1.0616604361005504</v>
      </c>
      <c r="F71" s="8">
        <f t="shared" si="9"/>
        <v>0</v>
      </c>
      <c r="G71" s="8">
        <f t="shared" si="10"/>
        <v>3.5254911485809703</v>
      </c>
      <c r="H71" s="8">
        <f t="shared" si="3"/>
        <v>1.0791218697829723</v>
      </c>
      <c r="I71" s="8">
        <f t="shared" si="4"/>
        <v>0</v>
      </c>
      <c r="J71" s="2" t="str">
        <f t="shared" si="5"/>
        <v>Y</v>
      </c>
      <c r="K71" s="2" t="str">
        <f t="shared" si="6"/>
        <v/>
      </c>
      <c r="L71" s="2" t="str">
        <f t="shared" si="7"/>
        <v/>
      </c>
    </row>
    <row r="72" spans="1:12">
      <c r="A72" s="9">
        <v>60</v>
      </c>
      <c r="B72" s="8">
        <v>702.745</v>
      </c>
      <c r="C72" s="8">
        <f t="shared" si="8"/>
        <v>2.6059999999999945</v>
      </c>
      <c r="D72" s="8">
        <f t="shared" si="1"/>
        <v>1.3215777815545913</v>
      </c>
      <c r="E72" s="8">
        <f t="shared" si="2"/>
        <v>1.0616604361005504</v>
      </c>
      <c r="F72" s="8">
        <f t="shared" si="9"/>
        <v>0</v>
      </c>
      <c r="G72" s="8">
        <f t="shared" si="10"/>
        <v>3.5254911485809703</v>
      </c>
      <c r="H72" s="8">
        <f t="shared" si="3"/>
        <v>1.0791218697829723</v>
      </c>
      <c r="I72" s="8">
        <f t="shared" si="4"/>
        <v>0</v>
      </c>
      <c r="J72" s="2" t="str">
        <f t="shared" si="5"/>
        <v>Y</v>
      </c>
      <c r="K72" s="2" t="str">
        <f t="shared" si="6"/>
        <v/>
      </c>
      <c r="L72" s="2" t="str">
        <f t="shared" si="7"/>
        <v/>
      </c>
    </row>
    <row r="73" spans="1:12">
      <c r="A73" s="9">
        <v>61</v>
      </c>
      <c r="B73" s="8">
        <v>701.27300000000002</v>
      </c>
      <c r="C73" s="8">
        <f t="shared" si="8"/>
        <v>1.47199999999998</v>
      </c>
      <c r="D73" s="8">
        <f t="shared" si="1"/>
        <v>1.3215777815545913</v>
      </c>
      <c r="E73" s="8">
        <f t="shared" si="2"/>
        <v>1.0616604361005504</v>
      </c>
      <c r="F73" s="8">
        <f t="shared" si="9"/>
        <v>0</v>
      </c>
      <c r="G73" s="8">
        <f t="shared" si="10"/>
        <v>3.5254911485809703</v>
      </c>
      <c r="H73" s="8">
        <f t="shared" si="3"/>
        <v>1.0791218697829723</v>
      </c>
      <c r="I73" s="8">
        <f t="shared" si="4"/>
        <v>0</v>
      </c>
      <c r="J73" s="2" t="str">
        <f t="shared" si="5"/>
        <v>Y</v>
      </c>
      <c r="K73" s="2" t="str">
        <f t="shared" si="6"/>
        <v/>
      </c>
      <c r="L73" s="2" t="str">
        <f t="shared" si="7"/>
        <v/>
      </c>
    </row>
    <row r="74" spans="1:12">
      <c r="A74" s="9">
        <v>62</v>
      </c>
      <c r="B74" s="8">
        <v>701.09900000000005</v>
      </c>
      <c r="C74" s="8">
        <f t="shared" si="8"/>
        <v>0.17399999999997817</v>
      </c>
      <c r="D74" s="8">
        <f t="shared" si="1"/>
        <v>1.3215777815545913</v>
      </c>
      <c r="E74" s="8">
        <f t="shared" si="2"/>
        <v>1.0616604361005504</v>
      </c>
      <c r="F74" s="8">
        <f t="shared" si="9"/>
        <v>0</v>
      </c>
      <c r="G74" s="8">
        <f t="shared" si="10"/>
        <v>3.5254911485809703</v>
      </c>
      <c r="H74" s="8">
        <f t="shared" si="3"/>
        <v>1.0791218697829723</v>
      </c>
      <c r="I74" s="8">
        <f t="shared" si="4"/>
        <v>0</v>
      </c>
      <c r="J74" s="2" t="str">
        <f t="shared" si="5"/>
        <v>Y</v>
      </c>
      <c r="K74" s="2" t="str">
        <f t="shared" si="6"/>
        <v/>
      </c>
      <c r="L74" s="2" t="str">
        <f t="shared" si="7"/>
        <v/>
      </c>
    </row>
    <row r="75" spans="1:12">
      <c r="A75" s="9">
        <v>63</v>
      </c>
      <c r="B75" s="8">
        <v>700.89499999999998</v>
      </c>
      <c r="C75" s="8">
        <f t="shared" si="8"/>
        <v>0.20400000000006457</v>
      </c>
      <c r="D75" s="8">
        <f t="shared" si="1"/>
        <v>1.3215777815545913</v>
      </c>
      <c r="E75" s="8">
        <f t="shared" si="2"/>
        <v>1.0616604361005504</v>
      </c>
      <c r="F75" s="8">
        <f t="shared" si="9"/>
        <v>0</v>
      </c>
      <c r="G75" s="8">
        <f t="shared" si="10"/>
        <v>3.5254911485809703</v>
      </c>
      <c r="H75" s="8">
        <f t="shared" si="3"/>
        <v>1.0791218697829723</v>
      </c>
      <c r="I75" s="8">
        <f t="shared" si="4"/>
        <v>0</v>
      </c>
      <c r="J75" s="2" t="str">
        <f t="shared" si="5"/>
        <v>Y</v>
      </c>
      <c r="K75" s="2" t="str">
        <f t="shared" si="6"/>
        <v/>
      </c>
      <c r="L75" s="2" t="str">
        <f t="shared" si="7"/>
        <v/>
      </c>
    </row>
    <row r="76" spans="1:12">
      <c r="A76" s="9">
        <v>64</v>
      </c>
      <c r="B76" s="8">
        <v>701.33</v>
      </c>
      <c r="C76" s="8">
        <f t="shared" si="8"/>
        <v>0.43500000000005912</v>
      </c>
      <c r="D76" s="8">
        <f t="shared" si="1"/>
        <v>1.3215777815545913</v>
      </c>
      <c r="E76" s="8">
        <f t="shared" si="2"/>
        <v>1.0616604361005504</v>
      </c>
      <c r="F76" s="8">
        <f t="shared" si="9"/>
        <v>0</v>
      </c>
      <c r="G76" s="8">
        <f t="shared" si="10"/>
        <v>3.5254911485809703</v>
      </c>
      <c r="H76" s="8">
        <f t="shared" si="3"/>
        <v>1.0791218697829723</v>
      </c>
      <c r="I76" s="8">
        <f t="shared" si="4"/>
        <v>0</v>
      </c>
      <c r="J76" s="2" t="str">
        <f t="shared" si="5"/>
        <v>Y</v>
      </c>
      <c r="K76" s="2" t="str">
        <f t="shared" si="6"/>
        <v/>
      </c>
      <c r="L76" s="2" t="str">
        <f t="shared" si="7"/>
        <v/>
      </c>
    </row>
    <row r="77" spans="1:12">
      <c r="A77" s="9">
        <v>65</v>
      </c>
      <c r="B77" s="8">
        <v>700.99300000000005</v>
      </c>
      <c r="C77" s="8">
        <f t="shared" si="8"/>
        <v>0.33699999999998909</v>
      </c>
      <c r="D77" s="8">
        <f t="shared" ref="D77:D140" si="11">$G$13</f>
        <v>1.3215777815545913</v>
      </c>
      <c r="E77" s="8">
        <f t="shared" ref="E77:E140" si="12">$G$14</f>
        <v>1.0616604361005504</v>
      </c>
      <c r="F77" s="8">
        <f t="shared" si="9"/>
        <v>0</v>
      </c>
      <c r="G77" s="8">
        <f t="shared" si="10"/>
        <v>3.5254911485809703</v>
      </c>
      <c r="H77" s="8">
        <f t="shared" ref="H77:H140" si="13">$G$17</f>
        <v>1.0791218697829723</v>
      </c>
      <c r="I77" s="8">
        <f t="shared" ref="I77:I140" si="14">$G$18</f>
        <v>0</v>
      </c>
      <c r="J77" s="2" t="str">
        <f t="shared" ref="J77:J140" si="15">IF(OR(B77&gt;D77,B77&lt;F77),"Y","")</f>
        <v>Y</v>
      </c>
      <c r="K77" s="2" t="str">
        <f t="shared" ref="K77:K140" si="16">IF(AND(C77&lt;&gt;"",C77&gt;G77),"Y","")</f>
        <v/>
      </c>
      <c r="L77" s="2" t="str">
        <f t="shared" ref="L77:L140" si="17">IF(OR(B77&lt;$B$5,B77&gt;$D$5),"Y","")</f>
        <v/>
      </c>
    </row>
    <row r="78" spans="1:12">
      <c r="A78" s="9">
        <v>66</v>
      </c>
      <c r="B78" s="8">
        <v>700.99699999999996</v>
      </c>
      <c r="C78" s="8">
        <f t="shared" ref="C78:C141" si="18">ABS(B78-B77)</f>
        <v>3.9999999999054126E-3</v>
      </c>
      <c r="D78" s="8">
        <f t="shared" si="11"/>
        <v>1.3215777815545913</v>
      </c>
      <c r="E78" s="8">
        <f t="shared" si="12"/>
        <v>1.0616604361005504</v>
      </c>
      <c r="F78" s="8">
        <f t="shared" si="9"/>
        <v>0</v>
      </c>
      <c r="G78" s="8">
        <f t="shared" si="10"/>
        <v>3.5254911485809703</v>
      </c>
      <c r="H78" s="8">
        <f t="shared" si="13"/>
        <v>1.0791218697829723</v>
      </c>
      <c r="I78" s="8">
        <f t="shared" si="14"/>
        <v>0</v>
      </c>
      <c r="J78" s="2" t="str">
        <f t="shared" si="15"/>
        <v>Y</v>
      </c>
      <c r="K78" s="2" t="str">
        <f t="shared" si="16"/>
        <v/>
      </c>
      <c r="L78" s="2" t="str">
        <f t="shared" si="17"/>
        <v/>
      </c>
    </row>
    <row r="79" spans="1:12">
      <c r="A79" s="9">
        <v>67</v>
      </c>
      <c r="B79" s="8">
        <v>701.053</v>
      </c>
      <c r="C79" s="8">
        <f t="shared" si="18"/>
        <v>5.6000000000040018E-2</v>
      </c>
      <c r="D79" s="8">
        <f t="shared" si="11"/>
        <v>1.3215777815545913</v>
      </c>
      <c r="E79" s="8">
        <f t="shared" si="12"/>
        <v>1.0616604361005504</v>
      </c>
      <c r="F79" s="8">
        <f t="shared" si="9"/>
        <v>0</v>
      </c>
      <c r="G79" s="8">
        <f t="shared" si="10"/>
        <v>3.5254911485809703</v>
      </c>
      <c r="H79" s="8">
        <f t="shared" si="13"/>
        <v>1.0791218697829723</v>
      </c>
      <c r="I79" s="8">
        <f t="shared" si="14"/>
        <v>0</v>
      </c>
      <c r="J79" s="2" t="str">
        <f t="shared" si="15"/>
        <v>Y</v>
      </c>
      <c r="K79" s="2" t="str">
        <f t="shared" si="16"/>
        <v/>
      </c>
      <c r="L79" s="2" t="str">
        <f t="shared" si="17"/>
        <v/>
      </c>
    </row>
    <row r="80" spans="1:12">
      <c r="A80" s="9">
        <v>68</v>
      </c>
      <c r="B80" s="8">
        <v>701.43200000000002</v>
      </c>
      <c r="C80" s="8">
        <f t="shared" si="18"/>
        <v>0.3790000000000191</v>
      </c>
      <c r="D80" s="8">
        <f t="shared" si="11"/>
        <v>1.3215777815545913</v>
      </c>
      <c r="E80" s="8">
        <f t="shared" si="12"/>
        <v>1.0616604361005504</v>
      </c>
      <c r="F80" s="8">
        <f t="shared" ref="F80:F143" si="19">$G$15</f>
        <v>0</v>
      </c>
      <c r="G80" s="8">
        <f t="shared" si="10"/>
        <v>3.5254911485809703</v>
      </c>
      <c r="H80" s="8">
        <f t="shared" si="13"/>
        <v>1.0791218697829723</v>
      </c>
      <c r="I80" s="8">
        <f t="shared" si="14"/>
        <v>0</v>
      </c>
      <c r="J80" s="2" t="str">
        <f t="shared" si="15"/>
        <v>Y</v>
      </c>
      <c r="K80" s="2" t="str">
        <f t="shared" si="16"/>
        <v/>
      </c>
      <c r="L80" s="2" t="str">
        <f t="shared" si="17"/>
        <v/>
      </c>
    </row>
    <row r="81" spans="1:12">
      <c r="A81" s="9">
        <v>69</v>
      </c>
      <c r="B81" s="8">
        <v>701.61400000000003</v>
      </c>
      <c r="C81" s="8">
        <f t="shared" si="18"/>
        <v>0.18200000000001637</v>
      </c>
      <c r="D81" s="8">
        <f t="shared" si="11"/>
        <v>1.3215777815545913</v>
      </c>
      <c r="E81" s="8">
        <f t="shared" si="12"/>
        <v>1.0616604361005504</v>
      </c>
      <c r="F81" s="8">
        <f t="shared" si="19"/>
        <v>0</v>
      </c>
      <c r="G81" s="8">
        <f t="shared" si="10"/>
        <v>3.5254911485809703</v>
      </c>
      <c r="H81" s="8">
        <f t="shared" si="13"/>
        <v>1.0791218697829723</v>
      </c>
      <c r="I81" s="8">
        <f t="shared" si="14"/>
        <v>0</v>
      </c>
      <c r="J81" s="2" t="str">
        <f t="shared" si="15"/>
        <v>Y</v>
      </c>
      <c r="K81" s="2" t="str">
        <f t="shared" si="16"/>
        <v/>
      </c>
      <c r="L81" s="2" t="str">
        <f t="shared" si="17"/>
        <v/>
      </c>
    </row>
    <row r="82" spans="1:12">
      <c r="A82" s="9">
        <v>70</v>
      </c>
      <c r="B82" s="8">
        <v>700.72799999999995</v>
      </c>
      <c r="C82" s="8">
        <f t="shared" si="18"/>
        <v>0.88600000000008095</v>
      </c>
      <c r="D82" s="8">
        <f t="shared" si="11"/>
        <v>1.3215777815545913</v>
      </c>
      <c r="E82" s="8">
        <f t="shared" si="12"/>
        <v>1.0616604361005504</v>
      </c>
      <c r="F82" s="8">
        <f t="shared" si="19"/>
        <v>0</v>
      </c>
      <c r="G82" s="8">
        <f t="shared" si="10"/>
        <v>3.5254911485809703</v>
      </c>
      <c r="H82" s="8">
        <f t="shared" si="13"/>
        <v>1.0791218697829723</v>
      </c>
      <c r="I82" s="8">
        <f t="shared" si="14"/>
        <v>0</v>
      </c>
      <c r="J82" s="2" t="str">
        <f t="shared" si="15"/>
        <v>Y</v>
      </c>
      <c r="K82" s="2" t="str">
        <f t="shared" si="16"/>
        <v/>
      </c>
      <c r="L82" s="2" t="str">
        <f t="shared" si="17"/>
        <v/>
      </c>
    </row>
    <row r="83" spans="1:12">
      <c r="A83" s="9">
        <v>71</v>
      </c>
      <c r="B83" s="8">
        <v>700.72500000000002</v>
      </c>
      <c r="C83" s="8">
        <f t="shared" si="18"/>
        <v>2.9999999999290594E-3</v>
      </c>
      <c r="D83" s="8">
        <f t="shared" si="11"/>
        <v>1.3215777815545913</v>
      </c>
      <c r="E83" s="8">
        <f t="shared" si="12"/>
        <v>1.0616604361005504</v>
      </c>
      <c r="F83" s="8">
        <f t="shared" si="19"/>
        <v>0</v>
      </c>
      <c r="G83" s="8">
        <f t="shared" ref="G83:G146" si="20">$G$16</f>
        <v>3.5254911485809703</v>
      </c>
      <c r="H83" s="8">
        <f t="shared" si="13"/>
        <v>1.0791218697829723</v>
      </c>
      <c r="I83" s="8">
        <f t="shared" si="14"/>
        <v>0</v>
      </c>
      <c r="J83" s="2" t="str">
        <f t="shared" si="15"/>
        <v>Y</v>
      </c>
      <c r="K83" s="2" t="str">
        <f t="shared" si="16"/>
        <v/>
      </c>
      <c r="L83" s="2" t="str">
        <f t="shared" si="17"/>
        <v/>
      </c>
    </row>
    <row r="84" spans="1:12">
      <c r="A84" s="9">
        <v>72</v>
      </c>
      <c r="B84" s="8">
        <v>700.71699999999998</v>
      </c>
      <c r="C84" s="8">
        <f t="shared" si="18"/>
        <v>8.0000000000381988E-3</v>
      </c>
      <c r="D84" s="8">
        <f t="shared" si="11"/>
        <v>1.3215777815545913</v>
      </c>
      <c r="E84" s="8">
        <f t="shared" si="12"/>
        <v>1.0616604361005504</v>
      </c>
      <c r="F84" s="8">
        <f t="shared" si="19"/>
        <v>0</v>
      </c>
      <c r="G84" s="8">
        <f t="shared" si="20"/>
        <v>3.5254911485809703</v>
      </c>
      <c r="H84" s="8">
        <f t="shared" si="13"/>
        <v>1.0791218697829723</v>
      </c>
      <c r="I84" s="8">
        <f t="shared" si="14"/>
        <v>0</v>
      </c>
      <c r="J84" s="2" t="str">
        <f t="shared" si="15"/>
        <v>Y</v>
      </c>
      <c r="K84" s="2" t="str">
        <f t="shared" si="16"/>
        <v/>
      </c>
      <c r="L84" s="2" t="str">
        <f t="shared" si="17"/>
        <v/>
      </c>
    </row>
    <row r="85" spans="1:12">
      <c r="A85" s="9">
        <v>73</v>
      </c>
      <c r="B85" s="8">
        <v>700.87900000000002</v>
      </c>
      <c r="C85" s="8">
        <f t="shared" si="18"/>
        <v>0.16200000000003456</v>
      </c>
      <c r="D85" s="8">
        <f t="shared" si="11"/>
        <v>1.3215777815545913</v>
      </c>
      <c r="E85" s="8">
        <f t="shared" si="12"/>
        <v>1.0616604361005504</v>
      </c>
      <c r="F85" s="8">
        <f t="shared" si="19"/>
        <v>0</v>
      </c>
      <c r="G85" s="8">
        <f t="shared" si="20"/>
        <v>3.5254911485809703</v>
      </c>
      <c r="H85" s="8">
        <f t="shared" si="13"/>
        <v>1.0791218697829723</v>
      </c>
      <c r="I85" s="8">
        <f t="shared" si="14"/>
        <v>0</v>
      </c>
      <c r="J85" s="2" t="str">
        <f t="shared" si="15"/>
        <v>Y</v>
      </c>
      <c r="K85" s="2" t="str">
        <f t="shared" si="16"/>
        <v/>
      </c>
      <c r="L85" s="2" t="str">
        <f t="shared" si="17"/>
        <v/>
      </c>
    </row>
    <row r="86" spans="1:12">
      <c r="A86" s="9">
        <v>74</v>
      </c>
      <c r="B86" s="8">
        <v>700.68100000000004</v>
      </c>
      <c r="C86" s="8">
        <f t="shared" si="18"/>
        <v>0.19799999999997908</v>
      </c>
      <c r="D86" s="8">
        <f t="shared" si="11"/>
        <v>1.3215777815545913</v>
      </c>
      <c r="E86" s="8">
        <f t="shared" si="12"/>
        <v>1.0616604361005504</v>
      </c>
      <c r="F86" s="8">
        <f t="shared" si="19"/>
        <v>0</v>
      </c>
      <c r="G86" s="8">
        <f t="shared" si="20"/>
        <v>3.5254911485809703</v>
      </c>
      <c r="H86" s="8">
        <f t="shared" si="13"/>
        <v>1.0791218697829723</v>
      </c>
      <c r="I86" s="8">
        <f t="shared" si="14"/>
        <v>0</v>
      </c>
      <c r="J86" s="2" t="str">
        <f t="shared" si="15"/>
        <v>Y</v>
      </c>
      <c r="K86" s="2" t="str">
        <f t="shared" si="16"/>
        <v/>
      </c>
      <c r="L86" s="2" t="str">
        <f t="shared" si="17"/>
        <v/>
      </c>
    </row>
    <row r="87" spans="1:12">
      <c r="A87" s="9">
        <v>75</v>
      </c>
      <c r="B87" s="8">
        <v>700.98800000000006</v>
      </c>
      <c r="C87" s="8">
        <f t="shared" si="18"/>
        <v>0.30700000000001637</v>
      </c>
      <c r="D87" s="8">
        <f t="shared" si="11"/>
        <v>1.3215777815545913</v>
      </c>
      <c r="E87" s="8">
        <f t="shared" si="12"/>
        <v>1.0616604361005504</v>
      </c>
      <c r="F87" s="8">
        <f t="shared" si="19"/>
        <v>0</v>
      </c>
      <c r="G87" s="8">
        <f t="shared" si="20"/>
        <v>3.5254911485809703</v>
      </c>
      <c r="H87" s="8">
        <f t="shared" si="13"/>
        <v>1.0791218697829723</v>
      </c>
      <c r="I87" s="8">
        <f t="shared" si="14"/>
        <v>0</v>
      </c>
      <c r="J87" s="2" t="str">
        <f t="shared" si="15"/>
        <v>Y</v>
      </c>
      <c r="K87" s="2" t="str">
        <f t="shared" si="16"/>
        <v/>
      </c>
      <c r="L87" s="2" t="str">
        <f t="shared" si="17"/>
        <v/>
      </c>
    </row>
    <row r="88" spans="1:12">
      <c r="A88" s="9">
        <v>76</v>
      </c>
      <c r="B88" s="8">
        <v>698.06200000000001</v>
      </c>
      <c r="C88" s="8">
        <f t="shared" si="18"/>
        <v>2.9260000000000446</v>
      </c>
      <c r="D88" s="8">
        <f t="shared" si="11"/>
        <v>1.3215777815545913</v>
      </c>
      <c r="E88" s="8">
        <f t="shared" si="12"/>
        <v>1.0616604361005504</v>
      </c>
      <c r="F88" s="8">
        <f t="shared" si="19"/>
        <v>0</v>
      </c>
      <c r="G88" s="8">
        <f t="shared" si="20"/>
        <v>3.5254911485809703</v>
      </c>
      <c r="H88" s="8">
        <f t="shared" si="13"/>
        <v>1.0791218697829723</v>
      </c>
      <c r="I88" s="8">
        <f t="shared" si="14"/>
        <v>0</v>
      </c>
      <c r="J88" s="2" t="str">
        <f t="shared" si="15"/>
        <v>Y</v>
      </c>
      <c r="K88" s="2" t="str">
        <f t="shared" si="16"/>
        <v/>
      </c>
      <c r="L88" s="2" t="str">
        <f t="shared" si="17"/>
        <v/>
      </c>
    </row>
    <row r="89" spans="1:12">
      <c r="A89" s="9">
        <v>77</v>
      </c>
      <c r="B89" s="8">
        <v>700.94299999999998</v>
      </c>
      <c r="C89" s="8">
        <f t="shared" si="18"/>
        <v>2.8809999999999718</v>
      </c>
      <c r="D89" s="8">
        <f t="shared" si="11"/>
        <v>1.3215777815545913</v>
      </c>
      <c r="E89" s="8">
        <f t="shared" si="12"/>
        <v>1.0616604361005504</v>
      </c>
      <c r="F89" s="8">
        <f t="shared" si="19"/>
        <v>0</v>
      </c>
      <c r="G89" s="8">
        <f t="shared" si="20"/>
        <v>3.5254911485809703</v>
      </c>
      <c r="H89" s="8">
        <f t="shared" si="13"/>
        <v>1.0791218697829723</v>
      </c>
      <c r="I89" s="8">
        <f t="shared" si="14"/>
        <v>0</v>
      </c>
      <c r="J89" s="2" t="str">
        <f t="shared" si="15"/>
        <v>Y</v>
      </c>
      <c r="K89" s="2" t="str">
        <f t="shared" si="16"/>
        <v/>
      </c>
      <c r="L89" s="2" t="str">
        <f t="shared" si="17"/>
        <v/>
      </c>
    </row>
    <row r="90" spans="1:12">
      <c r="A90" s="9">
        <v>78</v>
      </c>
      <c r="B90" s="8">
        <v>702.375</v>
      </c>
      <c r="C90" s="8">
        <f t="shared" si="18"/>
        <v>1.4320000000000164</v>
      </c>
      <c r="D90" s="8">
        <f t="shared" si="11"/>
        <v>1.3215777815545913</v>
      </c>
      <c r="E90" s="8">
        <f t="shared" si="12"/>
        <v>1.0616604361005504</v>
      </c>
      <c r="F90" s="8">
        <f t="shared" si="19"/>
        <v>0</v>
      </c>
      <c r="G90" s="8">
        <f t="shared" si="20"/>
        <v>3.5254911485809703</v>
      </c>
      <c r="H90" s="8">
        <f t="shared" si="13"/>
        <v>1.0791218697829723</v>
      </c>
      <c r="I90" s="8">
        <f t="shared" si="14"/>
        <v>0</v>
      </c>
      <c r="J90" s="2" t="str">
        <f t="shared" si="15"/>
        <v>Y</v>
      </c>
      <c r="K90" s="2" t="str">
        <f t="shared" si="16"/>
        <v/>
      </c>
      <c r="L90" s="2" t="str">
        <f t="shared" si="17"/>
        <v/>
      </c>
    </row>
    <row r="91" spans="1:12">
      <c r="A91" s="9">
        <v>79</v>
      </c>
      <c r="B91" s="8">
        <v>701.85699999999997</v>
      </c>
      <c r="C91" s="8">
        <f t="shared" si="18"/>
        <v>0.5180000000000291</v>
      </c>
      <c r="D91" s="8">
        <f t="shared" si="11"/>
        <v>1.3215777815545913</v>
      </c>
      <c r="E91" s="8">
        <f t="shared" si="12"/>
        <v>1.0616604361005504</v>
      </c>
      <c r="F91" s="8">
        <f t="shared" si="19"/>
        <v>0</v>
      </c>
      <c r="G91" s="8">
        <f t="shared" si="20"/>
        <v>3.5254911485809703</v>
      </c>
      <c r="H91" s="8">
        <f t="shared" si="13"/>
        <v>1.0791218697829723</v>
      </c>
      <c r="I91" s="8">
        <f t="shared" si="14"/>
        <v>0</v>
      </c>
      <c r="J91" s="2" t="str">
        <f t="shared" si="15"/>
        <v>Y</v>
      </c>
      <c r="K91" s="2" t="str">
        <f t="shared" si="16"/>
        <v/>
      </c>
      <c r="L91" s="2" t="str">
        <f t="shared" si="17"/>
        <v/>
      </c>
    </row>
    <row r="92" spans="1:12">
      <c r="A92" s="9">
        <v>80</v>
      </c>
      <c r="B92" s="8">
        <v>700.34100000000001</v>
      </c>
      <c r="C92" s="8">
        <f t="shared" si="18"/>
        <v>1.5159999999999627</v>
      </c>
      <c r="D92" s="8">
        <f t="shared" si="11"/>
        <v>1.3215777815545913</v>
      </c>
      <c r="E92" s="8">
        <f t="shared" si="12"/>
        <v>1.0616604361005504</v>
      </c>
      <c r="F92" s="8">
        <f t="shared" si="19"/>
        <v>0</v>
      </c>
      <c r="G92" s="8">
        <f t="shared" si="20"/>
        <v>3.5254911485809703</v>
      </c>
      <c r="H92" s="8">
        <f t="shared" si="13"/>
        <v>1.0791218697829723</v>
      </c>
      <c r="I92" s="8">
        <f t="shared" si="14"/>
        <v>0</v>
      </c>
      <c r="J92" s="2" t="str">
        <f t="shared" si="15"/>
        <v>Y</v>
      </c>
      <c r="K92" s="2" t="str">
        <f t="shared" si="16"/>
        <v/>
      </c>
      <c r="L92" s="2" t="str">
        <f t="shared" si="17"/>
        <v/>
      </c>
    </row>
    <row r="93" spans="1:12">
      <c r="A93" s="9">
        <v>81</v>
      </c>
      <c r="B93" s="8">
        <v>702.89400000000001</v>
      </c>
      <c r="C93" s="8">
        <f t="shared" si="18"/>
        <v>2.5529999999999973</v>
      </c>
      <c r="D93" s="8">
        <f t="shared" si="11"/>
        <v>1.3215777815545913</v>
      </c>
      <c r="E93" s="8">
        <f t="shared" si="12"/>
        <v>1.0616604361005504</v>
      </c>
      <c r="F93" s="8">
        <f t="shared" si="19"/>
        <v>0</v>
      </c>
      <c r="G93" s="8">
        <f t="shared" si="20"/>
        <v>3.5254911485809703</v>
      </c>
      <c r="H93" s="8">
        <f t="shared" si="13"/>
        <v>1.0791218697829723</v>
      </c>
      <c r="I93" s="8">
        <f t="shared" si="14"/>
        <v>0</v>
      </c>
      <c r="J93" s="2" t="str">
        <f t="shared" si="15"/>
        <v>Y</v>
      </c>
      <c r="K93" s="2" t="str">
        <f t="shared" si="16"/>
        <v/>
      </c>
      <c r="L93" s="2" t="str">
        <f t="shared" si="17"/>
        <v/>
      </c>
    </row>
    <row r="94" spans="1:12">
      <c r="A94" s="9">
        <v>82</v>
      </c>
      <c r="B94" s="8">
        <v>703.06899999999996</v>
      </c>
      <c r="C94" s="8">
        <f t="shared" si="18"/>
        <v>0.17499999999995453</v>
      </c>
      <c r="D94" s="8">
        <f t="shared" si="11"/>
        <v>1.3215777815545913</v>
      </c>
      <c r="E94" s="8">
        <f t="shared" si="12"/>
        <v>1.0616604361005504</v>
      </c>
      <c r="F94" s="8">
        <f t="shared" si="19"/>
        <v>0</v>
      </c>
      <c r="G94" s="8">
        <f t="shared" si="20"/>
        <v>3.5254911485809703</v>
      </c>
      <c r="H94" s="8">
        <f t="shared" si="13"/>
        <v>1.0791218697829723</v>
      </c>
      <c r="I94" s="8">
        <f t="shared" si="14"/>
        <v>0</v>
      </c>
      <c r="J94" s="2" t="str">
        <f t="shared" si="15"/>
        <v>Y</v>
      </c>
      <c r="K94" s="2" t="str">
        <f t="shared" si="16"/>
        <v/>
      </c>
      <c r="L94" s="2" t="str">
        <f t="shared" si="17"/>
        <v/>
      </c>
    </row>
    <row r="95" spans="1:12">
      <c r="A95" s="9">
        <v>83</v>
      </c>
      <c r="B95" s="8">
        <v>699.70500000000004</v>
      </c>
      <c r="C95" s="8">
        <f t="shared" si="18"/>
        <v>3.3639999999999191</v>
      </c>
      <c r="D95" s="8">
        <f t="shared" si="11"/>
        <v>1.3215777815545913</v>
      </c>
      <c r="E95" s="8">
        <f t="shared" si="12"/>
        <v>1.0616604361005504</v>
      </c>
      <c r="F95" s="8">
        <f t="shared" si="19"/>
        <v>0</v>
      </c>
      <c r="G95" s="8">
        <f t="shared" si="20"/>
        <v>3.5254911485809703</v>
      </c>
      <c r="H95" s="8">
        <f t="shared" si="13"/>
        <v>1.0791218697829723</v>
      </c>
      <c r="I95" s="8">
        <f t="shared" si="14"/>
        <v>0</v>
      </c>
      <c r="J95" s="2" t="str">
        <f t="shared" si="15"/>
        <v>Y</v>
      </c>
      <c r="K95" s="2" t="str">
        <f t="shared" si="16"/>
        <v/>
      </c>
      <c r="L95" s="2" t="str">
        <f t="shared" si="17"/>
        <v/>
      </c>
    </row>
    <row r="96" spans="1:12">
      <c r="A96" s="9">
        <v>84</v>
      </c>
      <c r="B96" s="8">
        <v>699.79600000000005</v>
      </c>
      <c r="C96" s="8">
        <f t="shared" si="18"/>
        <v>9.1000000000008185E-2</v>
      </c>
      <c r="D96" s="8">
        <f t="shared" si="11"/>
        <v>1.3215777815545913</v>
      </c>
      <c r="E96" s="8">
        <f t="shared" si="12"/>
        <v>1.0616604361005504</v>
      </c>
      <c r="F96" s="8">
        <f t="shared" si="19"/>
        <v>0</v>
      </c>
      <c r="G96" s="8">
        <f t="shared" si="20"/>
        <v>3.5254911485809703</v>
      </c>
      <c r="H96" s="8">
        <f t="shared" si="13"/>
        <v>1.0791218697829723</v>
      </c>
      <c r="I96" s="8">
        <f t="shared" si="14"/>
        <v>0</v>
      </c>
      <c r="J96" s="2" t="str">
        <f t="shared" si="15"/>
        <v>Y</v>
      </c>
      <c r="K96" s="2" t="str">
        <f t="shared" si="16"/>
        <v/>
      </c>
      <c r="L96" s="2" t="str">
        <f t="shared" si="17"/>
        <v/>
      </c>
    </row>
    <row r="97" spans="1:12">
      <c r="A97" s="9">
        <v>85</v>
      </c>
      <c r="B97" s="8">
        <v>699.58900000000006</v>
      </c>
      <c r="C97" s="8">
        <f t="shared" si="18"/>
        <v>0.20699999999999363</v>
      </c>
      <c r="D97" s="8">
        <f t="shared" si="11"/>
        <v>1.3215777815545913</v>
      </c>
      <c r="E97" s="8">
        <f t="shared" si="12"/>
        <v>1.0616604361005504</v>
      </c>
      <c r="F97" s="8">
        <f t="shared" si="19"/>
        <v>0</v>
      </c>
      <c r="G97" s="8">
        <f t="shared" si="20"/>
        <v>3.5254911485809703</v>
      </c>
      <c r="H97" s="8">
        <f t="shared" si="13"/>
        <v>1.0791218697829723</v>
      </c>
      <c r="I97" s="8">
        <f t="shared" si="14"/>
        <v>0</v>
      </c>
      <c r="J97" s="2" t="str">
        <f t="shared" si="15"/>
        <v>Y</v>
      </c>
      <c r="K97" s="2" t="str">
        <f t="shared" si="16"/>
        <v/>
      </c>
      <c r="L97" s="2" t="str">
        <f t="shared" si="17"/>
        <v/>
      </c>
    </row>
    <row r="98" spans="1:12">
      <c r="A98" s="9">
        <v>86</v>
      </c>
      <c r="B98" s="8">
        <v>699.88499999999999</v>
      </c>
      <c r="C98" s="8">
        <f t="shared" si="18"/>
        <v>0.29599999999993543</v>
      </c>
      <c r="D98" s="8">
        <f t="shared" si="11"/>
        <v>1.3215777815545913</v>
      </c>
      <c r="E98" s="8">
        <f t="shared" si="12"/>
        <v>1.0616604361005504</v>
      </c>
      <c r="F98" s="8">
        <f t="shared" si="19"/>
        <v>0</v>
      </c>
      <c r="G98" s="8">
        <f t="shared" si="20"/>
        <v>3.5254911485809703</v>
      </c>
      <c r="H98" s="8">
        <f t="shared" si="13"/>
        <v>1.0791218697829723</v>
      </c>
      <c r="I98" s="8">
        <f t="shared" si="14"/>
        <v>0</v>
      </c>
      <c r="J98" s="2" t="str">
        <f t="shared" si="15"/>
        <v>Y</v>
      </c>
      <c r="K98" s="2" t="str">
        <f t="shared" si="16"/>
        <v/>
      </c>
      <c r="L98" s="2" t="str">
        <f t="shared" si="17"/>
        <v/>
      </c>
    </row>
    <row r="99" spans="1:12">
      <c r="A99" s="9">
        <v>87</v>
      </c>
      <c r="B99" s="8">
        <v>699.87199999999996</v>
      </c>
      <c r="C99" s="8">
        <f t="shared" si="18"/>
        <v>1.3000000000033651E-2</v>
      </c>
      <c r="D99" s="8">
        <f t="shared" si="11"/>
        <v>1.3215777815545913</v>
      </c>
      <c r="E99" s="8">
        <f t="shared" si="12"/>
        <v>1.0616604361005504</v>
      </c>
      <c r="F99" s="8">
        <f t="shared" si="19"/>
        <v>0</v>
      </c>
      <c r="G99" s="8">
        <f t="shared" si="20"/>
        <v>3.5254911485809703</v>
      </c>
      <c r="H99" s="8">
        <f t="shared" si="13"/>
        <v>1.0791218697829723</v>
      </c>
      <c r="I99" s="8">
        <f t="shared" si="14"/>
        <v>0</v>
      </c>
      <c r="J99" s="2" t="str">
        <f t="shared" si="15"/>
        <v>Y</v>
      </c>
      <c r="K99" s="2" t="str">
        <f t="shared" si="16"/>
        <v/>
      </c>
      <c r="L99" s="2" t="str">
        <f t="shared" si="17"/>
        <v/>
      </c>
    </row>
    <row r="100" spans="1:12">
      <c r="A100" s="9">
        <v>88</v>
      </c>
      <c r="B100" s="8">
        <v>699.75900000000001</v>
      </c>
      <c r="C100" s="8">
        <f t="shared" si="18"/>
        <v>0.1129999999999427</v>
      </c>
      <c r="D100" s="8">
        <f t="shared" si="11"/>
        <v>1.3215777815545913</v>
      </c>
      <c r="E100" s="8">
        <f t="shared" si="12"/>
        <v>1.0616604361005504</v>
      </c>
      <c r="F100" s="8">
        <f t="shared" si="19"/>
        <v>0</v>
      </c>
      <c r="G100" s="8">
        <f t="shared" si="20"/>
        <v>3.5254911485809703</v>
      </c>
      <c r="H100" s="8">
        <f t="shared" si="13"/>
        <v>1.0791218697829723</v>
      </c>
      <c r="I100" s="8">
        <f t="shared" si="14"/>
        <v>0</v>
      </c>
      <c r="J100" s="2" t="str">
        <f t="shared" si="15"/>
        <v>Y</v>
      </c>
      <c r="K100" s="2" t="str">
        <f t="shared" si="16"/>
        <v/>
      </c>
      <c r="L100" s="2" t="str">
        <f t="shared" si="17"/>
        <v/>
      </c>
    </row>
    <row r="101" spans="1:12">
      <c r="A101" s="9">
        <v>89</v>
      </c>
      <c r="B101" s="8">
        <v>699.79</v>
      </c>
      <c r="C101" s="8">
        <f t="shared" si="18"/>
        <v>3.0999999999949068E-2</v>
      </c>
      <c r="D101" s="8">
        <f t="shared" si="11"/>
        <v>1.3215777815545913</v>
      </c>
      <c r="E101" s="8">
        <f t="shared" si="12"/>
        <v>1.0616604361005504</v>
      </c>
      <c r="F101" s="8">
        <f t="shared" si="19"/>
        <v>0</v>
      </c>
      <c r="G101" s="8">
        <f t="shared" si="20"/>
        <v>3.5254911485809703</v>
      </c>
      <c r="H101" s="8">
        <f t="shared" si="13"/>
        <v>1.0791218697829723</v>
      </c>
      <c r="I101" s="8">
        <f t="shared" si="14"/>
        <v>0</v>
      </c>
      <c r="J101" s="2" t="str">
        <f t="shared" si="15"/>
        <v>Y</v>
      </c>
      <c r="K101" s="2" t="str">
        <f t="shared" si="16"/>
        <v/>
      </c>
      <c r="L101" s="2" t="str">
        <f t="shared" si="17"/>
        <v/>
      </c>
    </row>
    <row r="102" spans="1:12">
      <c r="A102" s="9">
        <v>90</v>
      </c>
      <c r="B102" s="8">
        <v>697.72799999999995</v>
      </c>
      <c r="C102" s="8">
        <f t="shared" si="18"/>
        <v>2.0620000000000118</v>
      </c>
      <c r="D102" s="8">
        <f t="shared" si="11"/>
        <v>1.3215777815545913</v>
      </c>
      <c r="E102" s="8">
        <f t="shared" si="12"/>
        <v>1.0616604361005504</v>
      </c>
      <c r="F102" s="8">
        <f t="shared" si="19"/>
        <v>0</v>
      </c>
      <c r="G102" s="8">
        <f t="shared" si="20"/>
        <v>3.5254911485809703</v>
      </c>
      <c r="H102" s="8">
        <f t="shared" si="13"/>
        <v>1.0791218697829723</v>
      </c>
      <c r="I102" s="8">
        <f t="shared" si="14"/>
        <v>0</v>
      </c>
      <c r="J102" s="2" t="str">
        <f t="shared" si="15"/>
        <v>Y</v>
      </c>
      <c r="K102" s="2" t="str">
        <f t="shared" si="16"/>
        <v/>
      </c>
      <c r="L102" s="2" t="str">
        <f t="shared" si="17"/>
        <v/>
      </c>
    </row>
    <row r="103" spans="1:12">
      <c r="A103" s="9">
        <v>91</v>
      </c>
      <c r="B103" s="8">
        <v>697.88199999999995</v>
      </c>
      <c r="C103" s="8">
        <f t="shared" si="18"/>
        <v>0.15399999999999636</v>
      </c>
      <c r="D103" s="8">
        <f t="shared" si="11"/>
        <v>1.3215777815545913</v>
      </c>
      <c r="E103" s="8">
        <f t="shared" si="12"/>
        <v>1.0616604361005504</v>
      </c>
      <c r="F103" s="8">
        <f t="shared" si="19"/>
        <v>0</v>
      </c>
      <c r="G103" s="8">
        <f t="shared" si="20"/>
        <v>3.5254911485809703</v>
      </c>
      <c r="H103" s="8">
        <f t="shared" si="13"/>
        <v>1.0791218697829723</v>
      </c>
      <c r="I103" s="8">
        <f t="shared" si="14"/>
        <v>0</v>
      </c>
      <c r="J103" s="2" t="str">
        <f t="shared" si="15"/>
        <v>Y</v>
      </c>
      <c r="K103" s="2" t="str">
        <f t="shared" si="16"/>
        <v/>
      </c>
      <c r="L103" s="2" t="str">
        <f t="shared" si="17"/>
        <v/>
      </c>
    </row>
    <row r="104" spans="1:12">
      <c r="A104" s="9">
        <v>92</v>
      </c>
      <c r="B104" s="8">
        <v>700.02300000000002</v>
      </c>
      <c r="C104" s="8">
        <f t="shared" si="18"/>
        <v>2.1410000000000764</v>
      </c>
      <c r="D104" s="8">
        <f t="shared" si="11"/>
        <v>1.3215777815545913</v>
      </c>
      <c r="E104" s="8">
        <f t="shared" si="12"/>
        <v>1.0616604361005504</v>
      </c>
      <c r="F104" s="8">
        <f t="shared" si="19"/>
        <v>0</v>
      </c>
      <c r="G104" s="8">
        <f t="shared" si="20"/>
        <v>3.5254911485809703</v>
      </c>
      <c r="H104" s="8">
        <f t="shared" si="13"/>
        <v>1.0791218697829723</v>
      </c>
      <c r="I104" s="8">
        <f t="shared" si="14"/>
        <v>0</v>
      </c>
      <c r="J104" s="2" t="str">
        <f t="shared" si="15"/>
        <v>Y</v>
      </c>
      <c r="K104" s="2" t="str">
        <f t="shared" si="16"/>
        <v/>
      </c>
      <c r="L104" s="2" t="str">
        <f t="shared" si="17"/>
        <v/>
      </c>
    </row>
    <row r="105" spans="1:12">
      <c r="A105" s="9">
        <v>93</v>
      </c>
      <c r="B105" s="8">
        <v>698.00699999999995</v>
      </c>
      <c r="C105" s="8">
        <f t="shared" si="18"/>
        <v>2.0160000000000764</v>
      </c>
      <c r="D105" s="8">
        <f t="shared" si="11"/>
        <v>1.3215777815545913</v>
      </c>
      <c r="E105" s="8">
        <f t="shared" si="12"/>
        <v>1.0616604361005504</v>
      </c>
      <c r="F105" s="8">
        <f t="shared" si="19"/>
        <v>0</v>
      </c>
      <c r="G105" s="8">
        <f t="shared" si="20"/>
        <v>3.5254911485809703</v>
      </c>
      <c r="H105" s="8">
        <f t="shared" si="13"/>
        <v>1.0791218697829723</v>
      </c>
      <c r="I105" s="8">
        <f t="shared" si="14"/>
        <v>0</v>
      </c>
      <c r="J105" s="2" t="str">
        <f t="shared" si="15"/>
        <v>Y</v>
      </c>
      <c r="K105" s="2" t="str">
        <f t="shared" si="16"/>
        <v/>
      </c>
      <c r="L105" s="2" t="str">
        <f t="shared" si="17"/>
        <v/>
      </c>
    </row>
    <row r="106" spans="1:12">
      <c r="A106" s="9">
        <v>94</v>
      </c>
      <c r="B106" s="8">
        <v>700.33500000000004</v>
      </c>
      <c r="C106" s="8">
        <f t="shared" si="18"/>
        <v>2.3280000000000882</v>
      </c>
      <c r="D106" s="8">
        <f t="shared" si="11"/>
        <v>1.3215777815545913</v>
      </c>
      <c r="E106" s="8">
        <f t="shared" si="12"/>
        <v>1.0616604361005504</v>
      </c>
      <c r="F106" s="8">
        <f t="shared" si="19"/>
        <v>0</v>
      </c>
      <c r="G106" s="8">
        <f t="shared" si="20"/>
        <v>3.5254911485809703</v>
      </c>
      <c r="H106" s="8">
        <f t="shared" si="13"/>
        <v>1.0791218697829723</v>
      </c>
      <c r="I106" s="8">
        <f t="shared" si="14"/>
        <v>0</v>
      </c>
      <c r="J106" s="2" t="str">
        <f t="shared" si="15"/>
        <v>Y</v>
      </c>
      <c r="K106" s="2" t="str">
        <f t="shared" si="16"/>
        <v/>
      </c>
      <c r="L106" s="2" t="str">
        <f t="shared" si="17"/>
        <v/>
      </c>
    </row>
    <row r="107" spans="1:12">
      <c r="A107" s="9">
        <v>95</v>
      </c>
      <c r="B107" s="8">
        <v>700.49400000000003</v>
      </c>
      <c r="C107" s="8">
        <f t="shared" si="18"/>
        <v>0.15899999999999181</v>
      </c>
      <c r="D107" s="8">
        <f t="shared" si="11"/>
        <v>1.3215777815545913</v>
      </c>
      <c r="E107" s="8">
        <f t="shared" si="12"/>
        <v>1.0616604361005504</v>
      </c>
      <c r="F107" s="8">
        <f t="shared" si="19"/>
        <v>0</v>
      </c>
      <c r="G107" s="8">
        <f t="shared" si="20"/>
        <v>3.5254911485809703</v>
      </c>
      <c r="H107" s="8">
        <f t="shared" si="13"/>
        <v>1.0791218697829723</v>
      </c>
      <c r="I107" s="8">
        <f t="shared" si="14"/>
        <v>0</v>
      </c>
      <c r="J107" s="2" t="str">
        <f t="shared" si="15"/>
        <v>Y</v>
      </c>
      <c r="K107" s="2" t="str">
        <f t="shared" si="16"/>
        <v/>
      </c>
      <c r="L107" s="2" t="str">
        <f t="shared" si="17"/>
        <v/>
      </c>
    </row>
    <row r="108" spans="1:12">
      <c r="A108" s="9">
        <v>96</v>
      </c>
      <c r="B108" s="8">
        <v>701.2</v>
      </c>
      <c r="C108" s="8">
        <f t="shared" si="18"/>
        <v>0.70600000000001728</v>
      </c>
      <c r="D108" s="8">
        <f t="shared" si="11"/>
        <v>1.3215777815545913</v>
      </c>
      <c r="E108" s="8">
        <f t="shared" si="12"/>
        <v>1.0616604361005504</v>
      </c>
      <c r="F108" s="8">
        <f t="shared" si="19"/>
        <v>0</v>
      </c>
      <c r="G108" s="8">
        <f t="shared" si="20"/>
        <v>3.5254911485809703</v>
      </c>
      <c r="H108" s="8">
        <f t="shared" si="13"/>
        <v>1.0791218697829723</v>
      </c>
      <c r="I108" s="8">
        <f t="shared" si="14"/>
        <v>0</v>
      </c>
      <c r="J108" s="2" t="str">
        <f t="shared" si="15"/>
        <v>Y</v>
      </c>
      <c r="K108" s="2" t="str">
        <f t="shared" si="16"/>
        <v/>
      </c>
      <c r="L108" s="2" t="str">
        <f t="shared" si="17"/>
        <v/>
      </c>
    </row>
    <row r="109" spans="1:12">
      <c r="A109" s="9">
        <v>97</v>
      </c>
      <c r="B109" s="8">
        <v>697.73099999999999</v>
      </c>
      <c r="C109" s="8">
        <f t="shared" si="18"/>
        <v>3.4690000000000509</v>
      </c>
      <c r="D109" s="8">
        <f t="shared" si="11"/>
        <v>1.3215777815545913</v>
      </c>
      <c r="E109" s="8">
        <f t="shared" si="12"/>
        <v>1.0616604361005504</v>
      </c>
      <c r="F109" s="8">
        <f t="shared" si="19"/>
        <v>0</v>
      </c>
      <c r="G109" s="8">
        <f t="shared" si="20"/>
        <v>3.5254911485809703</v>
      </c>
      <c r="H109" s="8">
        <f t="shared" si="13"/>
        <v>1.0791218697829723</v>
      </c>
      <c r="I109" s="8">
        <f t="shared" si="14"/>
        <v>0</v>
      </c>
      <c r="J109" s="2" t="str">
        <f t="shared" si="15"/>
        <v>Y</v>
      </c>
      <c r="K109" s="2" t="str">
        <f t="shared" si="16"/>
        <v/>
      </c>
      <c r="L109" s="2" t="str">
        <f t="shared" si="17"/>
        <v/>
      </c>
    </row>
    <row r="110" spans="1:12">
      <c r="A110" s="9">
        <v>98</v>
      </c>
      <c r="B110" s="8">
        <v>697.77099999999996</v>
      </c>
      <c r="C110" s="8">
        <f t="shared" si="18"/>
        <v>3.999999999996362E-2</v>
      </c>
      <c r="D110" s="8">
        <f t="shared" si="11"/>
        <v>1.3215777815545913</v>
      </c>
      <c r="E110" s="8">
        <f t="shared" si="12"/>
        <v>1.0616604361005504</v>
      </c>
      <c r="F110" s="8">
        <f t="shared" si="19"/>
        <v>0</v>
      </c>
      <c r="G110" s="8">
        <f t="shared" si="20"/>
        <v>3.5254911485809703</v>
      </c>
      <c r="H110" s="8">
        <f t="shared" si="13"/>
        <v>1.0791218697829723</v>
      </c>
      <c r="I110" s="8">
        <f t="shared" si="14"/>
        <v>0</v>
      </c>
      <c r="J110" s="2" t="str">
        <f t="shared" si="15"/>
        <v>Y</v>
      </c>
      <c r="K110" s="2" t="str">
        <f t="shared" si="16"/>
        <v/>
      </c>
      <c r="L110" s="2" t="str">
        <f t="shared" si="17"/>
        <v/>
      </c>
    </row>
    <row r="111" spans="1:12">
      <c r="A111" s="9">
        <v>99</v>
      </c>
      <c r="B111" s="8">
        <v>697.91600000000005</v>
      </c>
      <c r="C111" s="8">
        <f t="shared" si="18"/>
        <v>0.1450000000000955</v>
      </c>
      <c r="D111" s="8">
        <f t="shared" si="11"/>
        <v>1.3215777815545913</v>
      </c>
      <c r="E111" s="8">
        <f t="shared" si="12"/>
        <v>1.0616604361005504</v>
      </c>
      <c r="F111" s="8">
        <f t="shared" si="19"/>
        <v>0</v>
      </c>
      <c r="G111" s="8">
        <f t="shared" si="20"/>
        <v>3.5254911485809703</v>
      </c>
      <c r="H111" s="8">
        <f t="shared" si="13"/>
        <v>1.0791218697829723</v>
      </c>
      <c r="I111" s="8">
        <f t="shared" si="14"/>
        <v>0</v>
      </c>
      <c r="J111" s="2" t="str">
        <f t="shared" si="15"/>
        <v>Y</v>
      </c>
      <c r="K111" s="2" t="str">
        <f t="shared" si="16"/>
        <v/>
      </c>
      <c r="L111" s="2" t="str">
        <f t="shared" si="17"/>
        <v/>
      </c>
    </row>
    <row r="112" spans="1:12">
      <c r="A112" s="9">
        <v>100</v>
      </c>
      <c r="B112" s="8">
        <v>701.00199999999995</v>
      </c>
      <c r="C112" s="8">
        <f t="shared" si="18"/>
        <v>3.085999999999899</v>
      </c>
      <c r="D112" s="8">
        <f t="shared" si="11"/>
        <v>1.3215777815545913</v>
      </c>
      <c r="E112" s="8">
        <f t="shared" si="12"/>
        <v>1.0616604361005504</v>
      </c>
      <c r="F112" s="8">
        <f t="shared" si="19"/>
        <v>0</v>
      </c>
      <c r="G112" s="8">
        <f t="shared" si="20"/>
        <v>3.5254911485809703</v>
      </c>
      <c r="H112" s="8">
        <f t="shared" si="13"/>
        <v>1.0791218697829723</v>
      </c>
      <c r="I112" s="8">
        <f t="shared" si="14"/>
        <v>0</v>
      </c>
      <c r="J112" s="2" t="str">
        <f t="shared" si="15"/>
        <v>Y</v>
      </c>
      <c r="K112" s="2" t="str">
        <f t="shared" si="16"/>
        <v/>
      </c>
      <c r="L112" s="2" t="str">
        <f t="shared" si="17"/>
        <v/>
      </c>
    </row>
    <row r="113" spans="1:12">
      <c r="A113" s="9">
        <v>101</v>
      </c>
      <c r="B113" s="8">
        <v>702.54499999999996</v>
      </c>
      <c r="C113" s="8">
        <f t="shared" si="18"/>
        <v>1.5430000000000064</v>
      </c>
      <c r="D113" s="8">
        <f t="shared" si="11"/>
        <v>1.3215777815545913</v>
      </c>
      <c r="E113" s="8">
        <f t="shared" si="12"/>
        <v>1.0616604361005504</v>
      </c>
      <c r="F113" s="8">
        <f t="shared" si="19"/>
        <v>0</v>
      </c>
      <c r="G113" s="8">
        <f t="shared" si="20"/>
        <v>3.5254911485809703</v>
      </c>
      <c r="H113" s="8">
        <f t="shared" si="13"/>
        <v>1.0791218697829723</v>
      </c>
      <c r="I113" s="8">
        <f t="shared" si="14"/>
        <v>0</v>
      </c>
      <c r="J113" s="2" t="str">
        <f t="shared" si="15"/>
        <v>Y</v>
      </c>
      <c r="K113" s="2" t="str">
        <f t="shared" si="16"/>
        <v/>
      </c>
      <c r="L113" s="2" t="str">
        <f t="shared" si="17"/>
        <v/>
      </c>
    </row>
    <row r="114" spans="1:12">
      <c r="A114" s="9">
        <v>102</v>
      </c>
      <c r="B114" s="8">
        <v>701.51099999999997</v>
      </c>
      <c r="C114" s="8">
        <f t="shared" si="18"/>
        <v>1.0339999999999918</v>
      </c>
      <c r="D114" s="8">
        <f t="shared" si="11"/>
        <v>1.3215777815545913</v>
      </c>
      <c r="E114" s="8">
        <f t="shared" si="12"/>
        <v>1.0616604361005504</v>
      </c>
      <c r="F114" s="8">
        <f t="shared" si="19"/>
        <v>0</v>
      </c>
      <c r="G114" s="8">
        <f t="shared" si="20"/>
        <v>3.5254911485809703</v>
      </c>
      <c r="H114" s="8">
        <f t="shared" si="13"/>
        <v>1.0791218697829723</v>
      </c>
      <c r="I114" s="8">
        <f t="shared" si="14"/>
        <v>0</v>
      </c>
      <c r="J114" s="2" t="str">
        <f t="shared" si="15"/>
        <v>Y</v>
      </c>
      <c r="K114" s="2" t="str">
        <f t="shared" si="16"/>
        <v/>
      </c>
      <c r="L114" s="2" t="str">
        <f t="shared" si="17"/>
        <v/>
      </c>
    </row>
    <row r="115" spans="1:12">
      <c r="A115" s="9">
        <v>103</v>
      </c>
      <c r="B115" s="8">
        <v>701.40899999999999</v>
      </c>
      <c r="C115" s="8">
        <f t="shared" si="18"/>
        <v>0.10199999999997544</v>
      </c>
      <c r="D115" s="8">
        <f t="shared" si="11"/>
        <v>1.3215777815545913</v>
      </c>
      <c r="E115" s="8">
        <f t="shared" si="12"/>
        <v>1.0616604361005504</v>
      </c>
      <c r="F115" s="8">
        <f t="shared" si="19"/>
        <v>0</v>
      </c>
      <c r="G115" s="8">
        <f t="shared" si="20"/>
        <v>3.5254911485809703</v>
      </c>
      <c r="H115" s="8">
        <f t="shared" si="13"/>
        <v>1.0791218697829723</v>
      </c>
      <c r="I115" s="8">
        <f t="shared" si="14"/>
        <v>0</v>
      </c>
      <c r="J115" s="2" t="str">
        <f t="shared" si="15"/>
        <v>Y</v>
      </c>
      <c r="K115" s="2" t="str">
        <f t="shared" si="16"/>
        <v/>
      </c>
      <c r="L115" s="2" t="str">
        <f t="shared" si="17"/>
        <v/>
      </c>
    </row>
    <row r="116" spans="1:12">
      <c r="A116" s="9">
        <v>104</v>
      </c>
      <c r="B116" s="8">
        <v>701.66399999999999</v>
      </c>
      <c r="C116" s="8">
        <f t="shared" si="18"/>
        <v>0.25499999999999545</v>
      </c>
      <c r="D116" s="8">
        <f t="shared" si="11"/>
        <v>1.3215777815545913</v>
      </c>
      <c r="E116" s="8">
        <f t="shared" si="12"/>
        <v>1.0616604361005504</v>
      </c>
      <c r="F116" s="8">
        <f t="shared" si="19"/>
        <v>0</v>
      </c>
      <c r="G116" s="8">
        <f t="shared" si="20"/>
        <v>3.5254911485809703</v>
      </c>
      <c r="H116" s="8">
        <f t="shared" si="13"/>
        <v>1.0791218697829723</v>
      </c>
      <c r="I116" s="8">
        <f t="shared" si="14"/>
        <v>0</v>
      </c>
      <c r="J116" s="2" t="str">
        <f t="shared" si="15"/>
        <v>Y</v>
      </c>
      <c r="K116" s="2" t="str">
        <f t="shared" si="16"/>
        <v/>
      </c>
      <c r="L116" s="2" t="str">
        <f t="shared" si="17"/>
        <v/>
      </c>
    </row>
    <row r="117" spans="1:12">
      <c r="A117" s="9">
        <v>105</v>
      </c>
      <c r="B117" s="8">
        <v>701.79700000000003</v>
      </c>
      <c r="C117" s="8">
        <f t="shared" si="18"/>
        <v>0.1330000000000382</v>
      </c>
      <c r="D117" s="8">
        <f t="shared" si="11"/>
        <v>1.3215777815545913</v>
      </c>
      <c r="E117" s="8">
        <f t="shared" si="12"/>
        <v>1.0616604361005504</v>
      </c>
      <c r="F117" s="8">
        <f t="shared" si="19"/>
        <v>0</v>
      </c>
      <c r="G117" s="8">
        <f t="shared" si="20"/>
        <v>3.5254911485809703</v>
      </c>
      <c r="H117" s="8">
        <f t="shared" si="13"/>
        <v>1.0791218697829723</v>
      </c>
      <c r="I117" s="8">
        <f t="shared" si="14"/>
        <v>0</v>
      </c>
      <c r="J117" s="2" t="str">
        <f t="shared" si="15"/>
        <v>Y</v>
      </c>
      <c r="K117" s="2" t="str">
        <f t="shared" si="16"/>
        <v/>
      </c>
      <c r="L117" s="2" t="str">
        <f t="shared" si="17"/>
        <v/>
      </c>
    </row>
    <row r="118" spans="1:12">
      <c r="A118" s="9">
        <v>106</v>
      </c>
      <c r="B118" s="8">
        <v>701.49199999999996</v>
      </c>
      <c r="C118" s="8">
        <f t="shared" si="18"/>
        <v>0.30500000000006366</v>
      </c>
      <c r="D118" s="8">
        <f t="shared" si="11"/>
        <v>1.3215777815545913</v>
      </c>
      <c r="E118" s="8">
        <f t="shared" si="12"/>
        <v>1.0616604361005504</v>
      </c>
      <c r="F118" s="8">
        <f t="shared" si="19"/>
        <v>0</v>
      </c>
      <c r="G118" s="8">
        <f t="shared" si="20"/>
        <v>3.5254911485809703</v>
      </c>
      <c r="H118" s="8">
        <f t="shared" si="13"/>
        <v>1.0791218697829723</v>
      </c>
      <c r="I118" s="8">
        <f t="shared" si="14"/>
        <v>0</v>
      </c>
      <c r="J118" s="2" t="str">
        <f t="shared" si="15"/>
        <v>Y</v>
      </c>
      <c r="K118" s="2" t="str">
        <f t="shared" si="16"/>
        <v/>
      </c>
      <c r="L118" s="2" t="str">
        <f t="shared" si="17"/>
        <v/>
      </c>
    </row>
    <row r="119" spans="1:12">
      <c r="A119" s="9">
        <v>107</v>
      </c>
      <c r="B119" s="8">
        <v>701.61300000000006</v>
      </c>
      <c r="C119" s="8">
        <f t="shared" si="18"/>
        <v>0.12100000000009459</v>
      </c>
      <c r="D119" s="8">
        <f t="shared" si="11"/>
        <v>1.3215777815545913</v>
      </c>
      <c r="E119" s="8">
        <f t="shared" si="12"/>
        <v>1.0616604361005504</v>
      </c>
      <c r="F119" s="8">
        <f t="shared" si="19"/>
        <v>0</v>
      </c>
      <c r="G119" s="8">
        <f t="shared" si="20"/>
        <v>3.5254911485809703</v>
      </c>
      <c r="H119" s="8">
        <f t="shared" si="13"/>
        <v>1.0791218697829723</v>
      </c>
      <c r="I119" s="8">
        <f t="shared" si="14"/>
        <v>0</v>
      </c>
      <c r="J119" s="2" t="str">
        <f t="shared" si="15"/>
        <v>Y</v>
      </c>
      <c r="K119" s="2" t="str">
        <f t="shared" si="16"/>
        <v/>
      </c>
      <c r="L119" s="2" t="str">
        <f t="shared" si="17"/>
        <v/>
      </c>
    </row>
    <row r="120" spans="1:12">
      <c r="A120" s="9">
        <v>108</v>
      </c>
      <c r="B120" s="8">
        <v>701.66499999999996</v>
      </c>
      <c r="C120" s="8">
        <f t="shared" si="18"/>
        <v>5.1999999999907232E-2</v>
      </c>
      <c r="D120" s="8">
        <f t="shared" si="11"/>
        <v>1.3215777815545913</v>
      </c>
      <c r="E120" s="8">
        <f t="shared" si="12"/>
        <v>1.0616604361005504</v>
      </c>
      <c r="F120" s="8">
        <f t="shared" si="19"/>
        <v>0</v>
      </c>
      <c r="G120" s="8">
        <f t="shared" si="20"/>
        <v>3.5254911485809703</v>
      </c>
      <c r="H120" s="8">
        <f t="shared" si="13"/>
        <v>1.0791218697829723</v>
      </c>
      <c r="I120" s="8">
        <f t="shared" si="14"/>
        <v>0</v>
      </c>
      <c r="J120" s="2" t="str">
        <f t="shared" si="15"/>
        <v>Y</v>
      </c>
      <c r="K120" s="2" t="str">
        <f t="shared" si="16"/>
        <v/>
      </c>
      <c r="L120" s="2" t="str">
        <f t="shared" si="17"/>
        <v/>
      </c>
    </row>
    <row r="121" spans="1:12">
      <c r="A121" s="9">
        <v>109</v>
      </c>
      <c r="B121" s="8">
        <v>701.70600000000002</v>
      </c>
      <c r="C121" s="8">
        <f t="shared" si="18"/>
        <v>4.100000000005366E-2</v>
      </c>
      <c r="D121" s="8">
        <f t="shared" si="11"/>
        <v>1.3215777815545913</v>
      </c>
      <c r="E121" s="8">
        <f t="shared" si="12"/>
        <v>1.0616604361005504</v>
      </c>
      <c r="F121" s="8">
        <f t="shared" si="19"/>
        <v>0</v>
      </c>
      <c r="G121" s="8">
        <f t="shared" si="20"/>
        <v>3.5254911485809703</v>
      </c>
      <c r="H121" s="8">
        <f t="shared" si="13"/>
        <v>1.0791218697829723</v>
      </c>
      <c r="I121" s="8">
        <f t="shared" si="14"/>
        <v>0</v>
      </c>
      <c r="J121" s="2" t="str">
        <f t="shared" si="15"/>
        <v>Y</v>
      </c>
      <c r="K121" s="2" t="str">
        <f t="shared" si="16"/>
        <v/>
      </c>
      <c r="L121" s="2" t="str">
        <f t="shared" si="17"/>
        <v/>
      </c>
    </row>
    <row r="122" spans="1:12">
      <c r="A122" s="9">
        <v>110</v>
      </c>
      <c r="B122" s="8">
        <v>700.03399999999999</v>
      </c>
      <c r="C122" s="8">
        <f t="shared" si="18"/>
        <v>1.6720000000000255</v>
      </c>
      <c r="D122" s="8">
        <f t="shared" si="11"/>
        <v>1.3215777815545913</v>
      </c>
      <c r="E122" s="8">
        <f t="shared" si="12"/>
        <v>1.0616604361005504</v>
      </c>
      <c r="F122" s="8">
        <f t="shared" si="19"/>
        <v>0</v>
      </c>
      <c r="G122" s="8">
        <f t="shared" si="20"/>
        <v>3.5254911485809703</v>
      </c>
      <c r="H122" s="8">
        <f t="shared" si="13"/>
        <v>1.0791218697829723</v>
      </c>
      <c r="I122" s="8">
        <f t="shared" si="14"/>
        <v>0</v>
      </c>
      <c r="J122" s="2" t="str">
        <f t="shared" si="15"/>
        <v>Y</v>
      </c>
      <c r="K122" s="2" t="str">
        <f t="shared" si="16"/>
        <v/>
      </c>
      <c r="L122" s="2" t="str">
        <f t="shared" si="17"/>
        <v/>
      </c>
    </row>
    <row r="123" spans="1:12">
      <c r="A123" s="9">
        <v>111</v>
      </c>
      <c r="B123" s="8">
        <v>702.01300000000003</v>
      </c>
      <c r="C123" s="8">
        <f t="shared" si="18"/>
        <v>1.9790000000000418</v>
      </c>
      <c r="D123" s="8">
        <f t="shared" si="11"/>
        <v>1.3215777815545913</v>
      </c>
      <c r="E123" s="8">
        <f t="shared" si="12"/>
        <v>1.0616604361005504</v>
      </c>
      <c r="F123" s="8">
        <f t="shared" si="19"/>
        <v>0</v>
      </c>
      <c r="G123" s="8">
        <f t="shared" si="20"/>
        <v>3.5254911485809703</v>
      </c>
      <c r="H123" s="8">
        <f t="shared" si="13"/>
        <v>1.0791218697829723</v>
      </c>
      <c r="I123" s="8">
        <f t="shared" si="14"/>
        <v>0</v>
      </c>
      <c r="J123" s="2" t="str">
        <f t="shared" si="15"/>
        <v>Y</v>
      </c>
      <c r="K123" s="2" t="str">
        <f t="shared" si="16"/>
        <v/>
      </c>
      <c r="L123" s="2" t="str">
        <f t="shared" si="17"/>
        <v/>
      </c>
    </row>
    <row r="124" spans="1:12">
      <c r="A124" s="9">
        <v>112</v>
      </c>
      <c r="B124" s="8">
        <v>700.90099999999995</v>
      </c>
      <c r="C124" s="8">
        <f t="shared" si="18"/>
        <v>1.11200000000008</v>
      </c>
      <c r="D124" s="8">
        <f t="shared" si="11"/>
        <v>1.3215777815545913</v>
      </c>
      <c r="E124" s="8">
        <f t="shared" si="12"/>
        <v>1.0616604361005504</v>
      </c>
      <c r="F124" s="8">
        <f t="shared" si="19"/>
        <v>0</v>
      </c>
      <c r="G124" s="8">
        <f t="shared" si="20"/>
        <v>3.5254911485809703</v>
      </c>
      <c r="H124" s="8">
        <f t="shared" si="13"/>
        <v>1.0791218697829723</v>
      </c>
      <c r="I124" s="8">
        <f t="shared" si="14"/>
        <v>0</v>
      </c>
      <c r="J124" s="2" t="str">
        <f t="shared" si="15"/>
        <v>Y</v>
      </c>
      <c r="K124" s="2" t="str">
        <f t="shared" si="16"/>
        <v/>
      </c>
      <c r="L124" s="2" t="str">
        <f t="shared" si="17"/>
        <v/>
      </c>
    </row>
    <row r="125" spans="1:12">
      <c r="A125" s="9">
        <v>113</v>
      </c>
      <c r="B125" s="8">
        <v>700.04399999999998</v>
      </c>
      <c r="C125" s="8">
        <f t="shared" si="18"/>
        <v>0.8569999999999709</v>
      </c>
      <c r="D125" s="8">
        <f t="shared" si="11"/>
        <v>1.3215777815545913</v>
      </c>
      <c r="E125" s="8">
        <f t="shared" si="12"/>
        <v>1.0616604361005504</v>
      </c>
      <c r="F125" s="8">
        <f t="shared" si="19"/>
        <v>0</v>
      </c>
      <c r="G125" s="8">
        <f t="shared" si="20"/>
        <v>3.5254911485809703</v>
      </c>
      <c r="H125" s="8">
        <f t="shared" si="13"/>
        <v>1.0791218697829723</v>
      </c>
      <c r="I125" s="8">
        <f t="shared" si="14"/>
        <v>0</v>
      </c>
      <c r="J125" s="2" t="str">
        <f t="shared" si="15"/>
        <v>Y</v>
      </c>
      <c r="K125" s="2" t="str">
        <f t="shared" si="16"/>
        <v/>
      </c>
      <c r="L125" s="2" t="str">
        <f t="shared" si="17"/>
        <v/>
      </c>
    </row>
    <row r="126" spans="1:12">
      <c r="A126" s="9">
        <v>114</v>
      </c>
      <c r="B126" s="8">
        <v>701.25</v>
      </c>
      <c r="C126" s="8">
        <f t="shared" si="18"/>
        <v>1.2060000000000173</v>
      </c>
      <c r="D126" s="8">
        <f t="shared" si="11"/>
        <v>1.3215777815545913</v>
      </c>
      <c r="E126" s="8">
        <f t="shared" si="12"/>
        <v>1.0616604361005504</v>
      </c>
      <c r="F126" s="8">
        <f t="shared" si="19"/>
        <v>0</v>
      </c>
      <c r="G126" s="8">
        <f t="shared" si="20"/>
        <v>3.5254911485809703</v>
      </c>
      <c r="H126" s="8">
        <f t="shared" si="13"/>
        <v>1.0791218697829723</v>
      </c>
      <c r="I126" s="8">
        <f t="shared" si="14"/>
        <v>0</v>
      </c>
      <c r="J126" s="2" t="str">
        <f t="shared" si="15"/>
        <v>Y</v>
      </c>
      <c r="K126" s="2" t="str">
        <f t="shared" si="16"/>
        <v/>
      </c>
      <c r="L126" s="2" t="str">
        <f t="shared" si="17"/>
        <v/>
      </c>
    </row>
    <row r="127" spans="1:12">
      <c r="A127" s="9">
        <v>115</v>
      </c>
      <c r="B127" s="8">
        <v>702.94899999999996</v>
      </c>
      <c r="C127" s="8">
        <f t="shared" si="18"/>
        <v>1.6989999999999554</v>
      </c>
      <c r="D127" s="8">
        <f t="shared" si="11"/>
        <v>1.3215777815545913</v>
      </c>
      <c r="E127" s="8">
        <f t="shared" si="12"/>
        <v>1.0616604361005504</v>
      </c>
      <c r="F127" s="8">
        <f t="shared" si="19"/>
        <v>0</v>
      </c>
      <c r="G127" s="8">
        <f t="shared" si="20"/>
        <v>3.5254911485809703</v>
      </c>
      <c r="H127" s="8">
        <f t="shared" si="13"/>
        <v>1.0791218697829723</v>
      </c>
      <c r="I127" s="8">
        <f t="shared" si="14"/>
        <v>0</v>
      </c>
      <c r="J127" s="2" t="str">
        <f t="shared" si="15"/>
        <v>Y</v>
      </c>
      <c r="K127" s="2" t="str">
        <f t="shared" si="16"/>
        <v/>
      </c>
      <c r="L127" s="2" t="str">
        <f t="shared" si="17"/>
        <v/>
      </c>
    </row>
    <row r="128" spans="1:12">
      <c r="A128" s="9">
        <v>116</v>
      </c>
      <c r="B128" s="8">
        <v>700.38800000000003</v>
      </c>
      <c r="C128" s="8">
        <f t="shared" si="18"/>
        <v>2.5609999999999218</v>
      </c>
      <c r="D128" s="8">
        <f t="shared" si="11"/>
        <v>1.3215777815545913</v>
      </c>
      <c r="E128" s="8">
        <f t="shared" si="12"/>
        <v>1.0616604361005504</v>
      </c>
      <c r="F128" s="8">
        <f t="shared" si="19"/>
        <v>0</v>
      </c>
      <c r="G128" s="8">
        <f t="shared" si="20"/>
        <v>3.5254911485809703</v>
      </c>
      <c r="H128" s="8">
        <f t="shared" si="13"/>
        <v>1.0791218697829723</v>
      </c>
      <c r="I128" s="8">
        <f t="shared" si="14"/>
        <v>0</v>
      </c>
      <c r="J128" s="2" t="str">
        <f t="shared" si="15"/>
        <v>Y</v>
      </c>
      <c r="K128" s="2" t="str">
        <f t="shared" si="16"/>
        <v/>
      </c>
      <c r="L128" s="2" t="str">
        <f t="shared" si="17"/>
        <v/>
      </c>
    </row>
    <row r="129" spans="1:12">
      <c r="A129" s="9">
        <v>117</v>
      </c>
      <c r="B129" s="8">
        <v>700.351</v>
      </c>
      <c r="C129" s="8">
        <f t="shared" si="18"/>
        <v>3.7000000000034561E-2</v>
      </c>
      <c r="D129" s="8">
        <f t="shared" si="11"/>
        <v>1.3215777815545913</v>
      </c>
      <c r="E129" s="8">
        <f t="shared" si="12"/>
        <v>1.0616604361005504</v>
      </c>
      <c r="F129" s="8">
        <f t="shared" si="19"/>
        <v>0</v>
      </c>
      <c r="G129" s="8">
        <f t="shared" si="20"/>
        <v>3.5254911485809703</v>
      </c>
      <c r="H129" s="8">
        <f t="shared" si="13"/>
        <v>1.0791218697829723</v>
      </c>
      <c r="I129" s="8">
        <f t="shared" si="14"/>
        <v>0</v>
      </c>
      <c r="J129" s="2" t="str">
        <f t="shared" si="15"/>
        <v>Y</v>
      </c>
      <c r="K129" s="2" t="str">
        <f t="shared" si="16"/>
        <v/>
      </c>
      <c r="L129" s="2" t="str">
        <f t="shared" si="17"/>
        <v/>
      </c>
    </row>
    <row r="130" spans="1:12">
      <c r="A130" s="9">
        <v>118</v>
      </c>
      <c r="B130" s="8">
        <v>700.88900000000001</v>
      </c>
      <c r="C130" s="8">
        <f t="shared" si="18"/>
        <v>0.53800000000001091</v>
      </c>
      <c r="D130" s="8">
        <f t="shared" si="11"/>
        <v>1.3215777815545913</v>
      </c>
      <c r="E130" s="8">
        <f t="shared" si="12"/>
        <v>1.0616604361005504</v>
      </c>
      <c r="F130" s="8">
        <f t="shared" si="19"/>
        <v>0</v>
      </c>
      <c r="G130" s="8">
        <f t="shared" si="20"/>
        <v>3.5254911485809703</v>
      </c>
      <c r="H130" s="8">
        <f t="shared" si="13"/>
        <v>1.0791218697829723</v>
      </c>
      <c r="I130" s="8">
        <f t="shared" si="14"/>
        <v>0</v>
      </c>
      <c r="J130" s="2" t="str">
        <f t="shared" si="15"/>
        <v>Y</v>
      </c>
      <c r="K130" s="2" t="str">
        <f t="shared" si="16"/>
        <v/>
      </c>
      <c r="L130" s="2" t="str">
        <f t="shared" si="17"/>
        <v/>
      </c>
    </row>
    <row r="131" spans="1:12">
      <c r="A131" s="9">
        <v>119</v>
      </c>
      <c r="B131" s="8">
        <v>699.851</v>
      </c>
      <c r="C131" s="8">
        <f t="shared" si="18"/>
        <v>1.0380000000000109</v>
      </c>
      <c r="D131" s="8">
        <f t="shared" si="11"/>
        <v>1.3215777815545913</v>
      </c>
      <c r="E131" s="8">
        <f t="shared" si="12"/>
        <v>1.0616604361005504</v>
      </c>
      <c r="F131" s="8">
        <f t="shared" si="19"/>
        <v>0</v>
      </c>
      <c r="G131" s="8">
        <f t="shared" si="20"/>
        <v>3.5254911485809703</v>
      </c>
      <c r="H131" s="8">
        <f t="shared" si="13"/>
        <v>1.0791218697829723</v>
      </c>
      <c r="I131" s="8">
        <f t="shared" si="14"/>
        <v>0</v>
      </c>
      <c r="J131" s="2" t="str">
        <f t="shared" si="15"/>
        <v>Y</v>
      </c>
      <c r="K131" s="2" t="str">
        <f t="shared" si="16"/>
        <v/>
      </c>
      <c r="L131" s="2" t="str">
        <f t="shared" si="17"/>
        <v/>
      </c>
    </row>
    <row r="132" spans="1:12">
      <c r="A132" s="9">
        <v>120</v>
      </c>
      <c r="B132" s="8">
        <v>700.03300000000002</v>
      </c>
      <c r="C132" s="8">
        <f t="shared" si="18"/>
        <v>0.18200000000001637</v>
      </c>
      <c r="D132" s="8">
        <f t="shared" si="11"/>
        <v>1.3215777815545913</v>
      </c>
      <c r="E132" s="8">
        <f t="shared" si="12"/>
        <v>1.0616604361005504</v>
      </c>
      <c r="F132" s="8">
        <f t="shared" si="19"/>
        <v>0</v>
      </c>
      <c r="G132" s="8">
        <f t="shared" si="20"/>
        <v>3.5254911485809703</v>
      </c>
      <c r="H132" s="8">
        <f t="shared" si="13"/>
        <v>1.0791218697829723</v>
      </c>
      <c r="I132" s="8">
        <f t="shared" si="14"/>
        <v>0</v>
      </c>
      <c r="J132" s="2" t="str">
        <f t="shared" si="15"/>
        <v>Y</v>
      </c>
      <c r="K132" s="2" t="str">
        <f t="shared" si="16"/>
        <v/>
      </c>
      <c r="L132" s="2" t="str">
        <f t="shared" si="17"/>
        <v/>
      </c>
    </row>
    <row r="133" spans="1:12">
      <c r="A133" s="9">
        <v>121</v>
      </c>
      <c r="B133" s="8">
        <v>701.63499999999999</v>
      </c>
      <c r="C133" s="8">
        <f t="shared" si="18"/>
        <v>1.6019999999999754</v>
      </c>
      <c r="D133" s="8">
        <f t="shared" si="11"/>
        <v>1.3215777815545913</v>
      </c>
      <c r="E133" s="8">
        <f t="shared" si="12"/>
        <v>1.0616604361005504</v>
      </c>
      <c r="F133" s="8">
        <f t="shared" si="19"/>
        <v>0</v>
      </c>
      <c r="G133" s="8">
        <f t="shared" si="20"/>
        <v>3.5254911485809703</v>
      </c>
      <c r="H133" s="8">
        <f t="shared" si="13"/>
        <v>1.0791218697829723</v>
      </c>
      <c r="I133" s="8">
        <f t="shared" si="14"/>
        <v>0</v>
      </c>
      <c r="J133" s="2" t="str">
        <f t="shared" si="15"/>
        <v>Y</v>
      </c>
      <c r="K133" s="2" t="str">
        <f t="shared" si="16"/>
        <v/>
      </c>
      <c r="L133" s="2" t="str">
        <f t="shared" si="17"/>
        <v/>
      </c>
    </row>
    <row r="134" spans="1:12">
      <c r="A134" s="9">
        <v>122</v>
      </c>
      <c r="B134" s="8">
        <v>701.73400000000004</v>
      </c>
      <c r="C134" s="8">
        <f t="shared" si="18"/>
        <v>9.9000000000046384E-2</v>
      </c>
      <c r="D134" s="8">
        <f t="shared" si="11"/>
        <v>1.3215777815545913</v>
      </c>
      <c r="E134" s="8">
        <f t="shared" si="12"/>
        <v>1.0616604361005504</v>
      </c>
      <c r="F134" s="8">
        <f t="shared" si="19"/>
        <v>0</v>
      </c>
      <c r="G134" s="8">
        <f t="shared" si="20"/>
        <v>3.5254911485809703</v>
      </c>
      <c r="H134" s="8">
        <f t="shared" si="13"/>
        <v>1.0791218697829723</v>
      </c>
      <c r="I134" s="8">
        <f t="shared" si="14"/>
        <v>0</v>
      </c>
      <c r="J134" s="2" t="str">
        <f t="shared" si="15"/>
        <v>Y</v>
      </c>
      <c r="K134" s="2" t="str">
        <f t="shared" si="16"/>
        <v/>
      </c>
      <c r="L134" s="2" t="str">
        <f t="shared" si="17"/>
        <v/>
      </c>
    </row>
    <row r="135" spans="1:12">
      <c r="A135" s="9">
        <v>123</v>
      </c>
      <c r="B135" s="8">
        <v>703.45600000000002</v>
      </c>
      <c r="C135" s="8">
        <f t="shared" si="18"/>
        <v>1.72199999999998</v>
      </c>
      <c r="D135" s="8">
        <f t="shared" si="11"/>
        <v>1.3215777815545913</v>
      </c>
      <c r="E135" s="8">
        <f t="shared" si="12"/>
        <v>1.0616604361005504</v>
      </c>
      <c r="F135" s="8">
        <f t="shared" si="19"/>
        <v>0</v>
      </c>
      <c r="G135" s="8">
        <f t="shared" si="20"/>
        <v>3.5254911485809703</v>
      </c>
      <c r="H135" s="8">
        <f t="shared" si="13"/>
        <v>1.0791218697829723</v>
      </c>
      <c r="I135" s="8">
        <f t="shared" si="14"/>
        <v>0</v>
      </c>
      <c r="J135" s="2" t="str">
        <f t="shared" si="15"/>
        <v>Y</v>
      </c>
      <c r="K135" s="2" t="str">
        <f t="shared" si="16"/>
        <v/>
      </c>
      <c r="L135" s="2" t="str">
        <f t="shared" si="17"/>
        <v/>
      </c>
    </row>
    <row r="136" spans="1:12">
      <c r="A136" s="9">
        <v>124</v>
      </c>
      <c r="B136" s="8">
        <v>703.202</v>
      </c>
      <c r="C136" s="8">
        <f t="shared" si="18"/>
        <v>0.2540000000000191</v>
      </c>
      <c r="D136" s="8">
        <f t="shared" si="11"/>
        <v>1.3215777815545913</v>
      </c>
      <c r="E136" s="8">
        <f t="shared" si="12"/>
        <v>1.0616604361005504</v>
      </c>
      <c r="F136" s="8">
        <f t="shared" si="19"/>
        <v>0</v>
      </c>
      <c r="G136" s="8">
        <f t="shared" si="20"/>
        <v>3.5254911485809703</v>
      </c>
      <c r="H136" s="8">
        <f t="shared" si="13"/>
        <v>1.0791218697829723</v>
      </c>
      <c r="I136" s="8">
        <f t="shared" si="14"/>
        <v>0</v>
      </c>
      <c r="J136" s="2" t="str">
        <f t="shared" si="15"/>
        <v>Y</v>
      </c>
      <c r="K136" s="2" t="str">
        <f t="shared" si="16"/>
        <v/>
      </c>
      <c r="L136" s="2" t="str">
        <f t="shared" si="17"/>
        <v/>
      </c>
    </row>
    <row r="137" spans="1:12">
      <c r="A137" s="9">
        <v>125</v>
      </c>
      <c r="B137" s="8">
        <v>701.83799999999997</v>
      </c>
      <c r="C137" s="8">
        <f t="shared" si="18"/>
        <v>1.3640000000000327</v>
      </c>
      <c r="D137" s="8">
        <f t="shared" si="11"/>
        <v>1.3215777815545913</v>
      </c>
      <c r="E137" s="8">
        <f t="shared" si="12"/>
        <v>1.0616604361005504</v>
      </c>
      <c r="F137" s="8">
        <f t="shared" si="19"/>
        <v>0</v>
      </c>
      <c r="G137" s="8">
        <f t="shared" si="20"/>
        <v>3.5254911485809703</v>
      </c>
      <c r="H137" s="8">
        <f t="shared" si="13"/>
        <v>1.0791218697829723</v>
      </c>
      <c r="I137" s="8">
        <f t="shared" si="14"/>
        <v>0</v>
      </c>
      <c r="J137" s="2" t="str">
        <f t="shared" si="15"/>
        <v>Y</v>
      </c>
      <c r="K137" s="2" t="str">
        <f t="shared" si="16"/>
        <v/>
      </c>
      <c r="L137" s="2" t="str">
        <f t="shared" si="17"/>
        <v/>
      </c>
    </row>
    <row r="138" spans="1:12">
      <c r="A138" s="9">
        <v>126</v>
      </c>
      <c r="B138" s="8">
        <v>700.13300000000004</v>
      </c>
      <c r="C138" s="8">
        <f t="shared" si="18"/>
        <v>1.7049999999999272</v>
      </c>
      <c r="D138" s="8">
        <f t="shared" si="11"/>
        <v>1.3215777815545913</v>
      </c>
      <c r="E138" s="8">
        <f t="shared" si="12"/>
        <v>1.0616604361005504</v>
      </c>
      <c r="F138" s="8">
        <f t="shared" si="19"/>
        <v>0</v>
      </c>
      <c r="G138" s="8">
        <f t="shared" si="20"/>
        <v>3.5254911485809703</v>
      </c>
      <c r="H138" s="8">
        <f t="shared" si="13"/>
        <v>1.0791218697829723</v>
      </c>
      <c r="I138" s="8">
        <f t="shared" si="14"/>
        <v>0</v>
      </c>
      <c r="J138" s="2" t="str">
        <f t="shared" si="15"/>
        <v>Y</v>
      </c>
      <c r="K138" s="2" t="str">
        <f t="shared" si="16"/>
        <v/>
      </c>
      <c r="L138" s="2" t="str">
        <f t="shared" si="17"/>
        <v/>
      </c>
    </row>
    <row r="139" spans="1:12">
      <c r="A139" s="9">
        <v>127</v>
      </c>
      <c r="B139" s="8">
        <v>702.75</v>
      </c>
      <c r="C139" s="8">
        <f t="shared" si="18"/>
        <v>2.6169999999999618</v>
      </c>
      <c r="D139" s="8">
        <f t="shared" si="11"/>
        <v>1.3215777815545913</v>
      </c>
      <c r="E139" s="8">
        <f t="shared" si="12"/>
        <v>1.0616604361005504</v>
      </c>
      <c r="F139" s="8">
        <f t="shared" si="19"/>
        <v>0</v>
      </c>
      <c r="G139" s="8">
        <f t="shared" si="20"/>
        <v>3.5254911485809703</v>
      </c>
      <c r="H139" s="8">
        <f t="shared" si="13"/>
        <v>1.0791218697829723</v>
      </c>
      <c r="I139" s="8">
        <f t="shared" si="14"/>
        <v>0</v>
      </c>
      <c r="J139" s="2" t="str">
        <f t="shared" si="15"/>
        <v>Y</v>
      </c>
      <c r="K139" s="2" t="str">
        <f t="shared" si="16"/>
        <v/>
      </c>
      <c r="L139" s="2" t="str">
        <f t="shared" si="17"/>
        <v/>
      </c>
    </row>
    <row r="140" spans="1:12">
      <c r="A140" s="9">
        <v>128</v>
      </c>
      <c r="B140" s="8">
        <v>701.33299999999997</v>
      </c>
      <c r="C140" s="8">
        <f t="shared" si="18"/>
        <v>1.41700000000003</v>
      </c>
      <c r="D140" s="8">
        <f t="shared" si="11"/>
        <v>1.3215777815545913</v>
      </c>
      <c r="E140" s="8">
        <f t="shared" si="12"/>
        <v>1.0616604361005504</v>
      </c>
      <c r="F140" s="8">
        <f t="shared" si="19"/>
        <v>0</v>
      </c>
      <c r="G140" s="8">
        <f t="shared" si="20"/>
        <v>3.5254911485809703</v>
      </c>
      <c r="H140" s="8">
        <f t="shared" si="13"/>
        <v>1.0791218697829723</v>
      </c>
      <c r="I140" s="8">
        <f t="shared" si="14"/>
        <v>0</v>
      </c>
      <c r="J140" s="2" t="str">
        <f t="shared" si="15"/>
        <v>Y</v>
      </c>
      <c r="K140" s="2" t="str">
        <f t="shared" si="16"/>
        <v/>
      </c>
      <c r="L140" s="2" t="str">
        <f t="shared" si="17"/>
        <v/>
      </c>
    </row>
    <row r="141" spans="1:12">
      <c r="A141" s="9">
        <v>129</v>
      </c>
      <c r="B141" s="8">
        <v>702.26099999999997</v>
      </c>
      <c r="C141" s="8">
        <f t="shared" si="18"/>
        <v>0.92799999999999727</v>
      </c>
      <c r="D141" s="8">
        <f t="shared" ref="D141:D204" si="21">$G$13</f>
        <v>1.3215777815545913</v>
      </c>
      <c r="E141" s="8">
        <f t="shared" ref="E141:E204" si="22">$G$14</f>
        <v>1.0616604361005504</v>
      </c>
      <c r="F141" s="8">
        <f t="shared" si="19"/>
        <v>0</v>
      </c>
      <c r="G141" s="8">
        <f t="shared" si="20"/>
        <v>3.5254911485809703</v>
      </c>
      <c r="H141" s="8">
        <f t="shared" ref="H141:H204" si="23">$G$17</f>
        <v>1.0791218697829723</v>
      </c>
      <c r="I141" s="8">
        <f t="shared" ref="I141:I204" si="24">$G$18</f>
        <v>0</v>
      </c>
      <c r="J141" s="2" t="str">
        <f t="shared" ref="J141:J204" si="25">IF(OR(B141&gt;D141,B141&lt;F141),"Y","")</f>
        <v>Y</v>
      </c>
      <c r="K141" s="2" t="str">
        <f t="shared" ref="K141:K204" si="26">IF(AND(C141&lt;&gt;"",C141&gt;G141),"Y","")</f>
        <v/>
      </c>
      <c r="L141" s="2" t="str">
        <f t="shared" ref="L141:L204" si="27">IF(OR(B141&lt;$B$5,B141&gt;$D$5),"Y","")</f>
        <v/>
      </c>
    </row>
    <row r="142" spans="1:12">
      <c r="A142" s="9">
        <v>130</v>
      </c>
      <c r="B142" s="8">
        <v>702.01099999999997</v>
      </c>
      <c r="C142" s="8">
        <f t="shared" ref="C142:C205" si="28">ABS(B142-B141)</f>
        <v>0.25</v>
      </c>
      <c r="D142" s="8">
        <f t="shared" si="21"/>
        <v>1.3215777815545913</v>
      </c>
      <c r="E142" s="8">
        <f t="shared" si="22"/>
        <v>1.0616604361005504</v>
      </c>
      <c r="F142" s="8">
        <f t="shared" si="19"/>
        <v>0</v>
      </c>
      <c r="G142" s="8">
        <f t="shared" si="20"/>
        <v>3.5254911485809703</v>
      </c>
      <c r="H142" s="8">
        <f t="shared" si="23"/>
        <v>1.0791218697829723</v>
      </c>
      <c r="I142" s="8">
        <f t="shared" si="24"/>
        <v>0</v>
      </c>
      <c r="J142" s="2" t="str">
        <f t="shared" si="25"/>
        <v>Y</v>
      </c>
      <c r="K142" s="2" t="str">
        <f t="shared" si="26"/>
        <v/>
      </c>
      <c r="L142" s="2" t="str">
        <f t="shared" si="27"/>
        <v/>
      </c>
    </row>
    <row r="143" spans="1:12">
      <c r="A143" s="9">
        <v>131</v>
      </c>
      <c r="B143" s="8">
        <v>702.06700000000001</v>
      </c>
      <c r="C143" s="8">
        <f t="shared" si="28"/>
        <v>5.6000000000040018E-2</v>
      </c>
      <c r="D143" s="8">
        <f t="shared" si="21"/>
        <v>1.3215777815545913</v>
      </c>
      <c r="E143" s="8">
        <f t="shared" si="22"/>
        <v>1.0616604361005504</v>
      </c>
      <c r="F143" s="8">
        <f t="shared" si="19"/>
        <v>0</v>
      </c>
      <c r="G143" s="8">
        <f t="shared" si="20"/>
        <v>3.5254911485809703</v>
      </c>
      <c r="H143" s="8">
        <f t="shared" si="23"/>
        <v>1.0791218697829723</v>
      </c>
      <c r="I143" s="8">
        <f t="shared" si="24"/>
        <v>0</v>
      </c>
      <c r="J143" s="2" t="str">
        <f t="shared" si="25"/>
        <v>Y</v>
      </c>
      <c r="K143" s="2" t="str">
        <f t="shared" si="26"/>
        <v/>
      </c>
      <c r="L143" s="2" t="str">
        <f t="shared" si="27"/>
        <v/>
      </c>
    </row>
    <row r="144" spans="1:12">
      <c r="A144" s="9">
        <v>132</v>
      </c>
      <c r="B144" s="8">
        <v>701.52300000000002</v>
      </c>
      <c r="C144" s="8">
        <f t="shared" si="28"/>
        <v>0.54399999999998272</v>
      </c>
      <c r="D144" s="8">
        <f t="shared" si="21"/>
        <v>1.3215777815545913</v>
      </c>
      <c r="E144" s="8">
        <f t="shared" si="22"/>
        <v>1.0616604361005504</v>
      </c>
      <c r="F144" s="8">
        <f t="shared" ref="F144:F207" si="29">$G$15</f>
        <v>0</v>
      </c>
      <c r="G144" s="8">
        <f t="shared" si="20"/>
        <v>3.5254911485809703</v>
      </c>
      <c r="H144" s="8">
        <f t="shared" si="23"/>
        <v>1.0791218697829723</v>
      </c>
      <c r="I144" s="8">
        <f t="shared" si="24"/>
        <v>0</v>
      </c>
      <c r="J144" s="2" t="str">
        <f t="shared" si="25"/>
        <v>Y</v>
      </c>
      <c r="K144" s="2" t="str">
        <f t="shared" si="26"/>
        <v/>
      </c>
      <c r="L144" s="2" t="str">
        <f t="shared" si="27"/>
        <v/>
      </c>
    </row>
    <row r="145" spans="1:12">
      <c r="A145" s="9">
        <v>133</v>
      </c>
      <c r="B145" s="8">
        <v>702.21</v>
      </c>
      <c r="C145" s="8">
        <f t="shared" si="28"/>
        <v>0.68700000000001182</v>
      </c>
      <c r="D145" s="8">
        <f t="shared" si="21"/>
        <v>1.3215777815545913</v>
      </c>
      <c r="E145" s="8">
        <f t="shared" si="22"/>
        <v>1.0616604361005504</v>
      </c>
      <c r="F145" s="8">
        <f t="shared" si="29"/>
        <v>0</v>
      </c>
      <c r="G145" s="8">
        <f t="shared" si="20"/>
        <v>3.5254911485809703</v>
      </c>
      <c r="H145" s="8">
        <f t="shared" si="23"/>
        <v>1.0791218697829723</v>
      </c>
      <c r="I145" s="8">
        <f t="shared" si="24"/>
        <v>0</v>
      </c>
      <c r="J145" s="2" t="str">
        <f t="shared" si="25"/>
        <v>Y</v>
      </c>
      <c r="K145" s="2" t="str">
        <f t="shared" si="26"/>
        <v/>
      </c>
      <c r="L145" s="2" t="str">
        <f t="shared" si="27"/>
        <v/>
      </c>
    </row>
    <row r="146" spans="1:12">
      <c r="A146" s="9">
        <v>134</v>
      </c>
      <c r="B146" s="8">
        <v>701.64400000000001</v>
      </c>
      <c r="C146" s="8">
        <f t="shared" si="28"/>
        <v>0.56600000000003092</v>
      </c>
      <c r="D146" s="8">
        <f t="shared" si="21"/>
        <v>1.3215777815545913</v>
      </c>
      <c r="E146" s="8">
        <f t="shared" si="22"/>
        <v>1.0616604361005504</v>
      </c>
      <c r="F146" s="8">
        <f t="shared" si="29"/>
        <v>0</v>
      </c>
      <c r="G146" s="8">
        <f t="shared" si="20"/>
        <v>3.5254911485809703</v>
      </c>
      <c r="H146" s="8">
        <f t="shared" si="23"/>
        <v>1.0791218697829723</v>
      </c>
      <c r="I146" s="8">
        <f t="shared" si="24"/>
        <v>0</v>
      </c>
      <c r="J146" s="2" t="str">
        <f t="shared" si="25"/>
        <v>Y</v>
      </c>
      <c r="K146" s="2" t="str">
        <f t="shared" si="26"/>
        <v/>
      </c>
      <c r="L146" s="2" t="str">
        <f t="shared" si="27"/>
        <v/>
      </c>
    </row>
    <row r="147" spans="1:12">
      <c r="A147" s="9">
        <v>135</v>
      </c>
      <c r="B147" s="8">
        <v>700.16399999999999</v>
      </c>
      <c r="C147" s="8">
        <f t="shared" si="28"/>
        <v>1.4800000000000182</v>
      </c>
      <c r="D147" s="8">
        <f t="shared" si="21"/>
        <v>1.3215777815545913</v>
      </c>
      <c r="E147" s="8">
        <f t="shared" si="22"/>
        <v>1.0616604361005504</v>
      </c>
      <c r="F147" s="8">
        <f t="shared" si="29"/>
        <v>0</v>
      </c>
      <c r="G147" s="8">
        <f t="shared" ref="G147:G210" si="30">$G$16</f>
        <v>3.5254911485809703</v>
      </c>
      <c r="H147" s="8">
        <f t="shared" si="23"/>
        <v>1.0791218697829723</v>
      </c>
      <c r="I147" s="8">
        <f t="shared" si="24"/>
        <v>0</v>
      </c>
      <c r="J147" s="2" t="str">
        <f t="shared" si="25"/>
        <v>Y</v>
      </c>
      <c r="K147" s="2" t="str">
        <f t="shared" si="26"/>
        <v/>
      </c>
      <c r="L147" s="2" t="str">
        <f t="shared" si="27"/>
        <v/>
      </c>
    </row>
    <row r="148" spans="1:12">
      <c r="A148" s="9">
        <v>136</v>
      </c>
      <c r="B148" s="8">
        <v>698.35900000000004</v>
      </c>
      <c r="C148" s="8">
        <f t="shared" si="28"/>
        <v>1.80499999999995</v>
      </c>
      <c r="D148" s="8">
        <f t="shared" si="21"/>
        <v>1.3215777815545913</v>
      </c>
      <c r="E148" s="8">
        <f t="shared" si="22"/>
        <v>1.0616604361005504</v>
      </c>
      <c r="F148" s="8">
        <f t="shared" si="29"/>
        <v>0</v>
      </c>
      <c r="G148" s="8">
        <f t="shared" si="30"/>
        <v>3.5254911485809703</v>
      </c>
      <c r="H148" s="8">
        <f t="shared" si="23"/>
        <v>1.0791218697829723</v>
      </c>
      <c r="I148" s="8">
        <f t="shared" si="24"/>
        <v>0</v>
      </c>
      <c r="J148" s="2" t="str">
        <f t="shared" si="25"/>
        <v>Y</v>
      </c>
      <c r="K148" s="2" t="str">
        <f t="shared" si="26"/>
        <v/>
      </c>
      <c r="L148" s="2" t="str">
        <f t="shared" si="27"/>
        <v/>
      </c>
    </row>
    <row r="149" spans="1:12">
      <c r="A149" s="9">
        <v>137</v>
      </c>
      <c r="B149" s="8">
        <v>700.23699999999997</v>
      </c>
      <c r="C149" s="8">
        <f t="shared" si="28"/>
        <v>1.8779999999999291</v>
      </c>
      <c r="D149" s="8">
        <f t="shared" si="21"/>
        <v>1.3215777815545913</v>
      </c>
      <c r="E149" s="8">
        <f t="shared" si="22"/>
        <v>1.0616604361005504</v>
      </c>
      <c r="F149" s="8">
        <f t="shared" si="29"/>
        <v>0</v>
      </c>
      <c r="G149" s="8">
        <f t="shared" si="30"/>
        <v>3.5254911485809703</v>
      </c>
      <c r="H149" s="8">
        <f t="shared" si="23"/>
        <v>1.0791218697829723</v>
      </c>
      <c r="I149" s="8">
        <f t="shared" si="24"/>
        <v>0</v>
      </c>
      <c r="J149" s="2" t="str">
        <f t="shared" si="25"/>
        <v>Y</v>
      </c>
      <c r="K149" s="2" t="str">
        <f t="shared" si="26"/>
        <v/>
      </c>
      <c r="L149" s="2" t="str">
        <f t="shared" si="27"/>
        <v/>
      </c>
    </row>
    <row r="150" spans="1:12">
      <c r="A150" s="9">
        <v>138</v>
      </c>
      <c r="B150" s="8">
        <v>700.06700000000001</v>
      </c>
      <c r="C150" s="8">
        <f t="shared" si="28"/>
        <v>0.16999999999995907</v>
      </c>
      <c r="D150" s="8">
        <f t="shared" si="21"/>
        <v>1.3215777815545913</v>
      </c>
      <c r="E150" s="8">
        <f t="shared" si="22"/>
        <v>1.0616604361005504</v>
      </c>
      <c r="F150" s="8">
        <f t="shared" si="29"/>
        <v>0</v>
      </c>
      <c r="G150" s="8">
        <f t="shared" si="30"/>
        <v>3.5254911485809703</v>
      </c>
      <c r="H150" s="8">
        <f t="shared" si="23"/>
        <v>1.0791218697829723</v>
      </c>
      <c r="I150" s="8">
        <f t="shared" si="24"/>
        <v>0</v>
      </c>
      <c r="J150" s="2" t="str">
        <f t="shared" si="25"/>
        <v>Y</v>
      </c>
      <c r="K150" s="2" t="str">
        <f t="shared" si="26"/>
        <v/>
      </c>
      <c r="L150" s="2" t="str">
        <f t="shared" si="27"/>
        <v/>
      </c>
    </row>
    <row r="151" spans="1:12">
      <c r="A151" s="9">
        <v>139</v>
      </c>
      <c r="B151" s="8">
        <v>700.06100000000004</v>
      </c>
      <c r="C151" s="8">
        <f t="shared" si="28"/>
        <v>5.9999999999718057E-3</v>
      </c>
      <c r="D151" s="8">
        <f t="shared" si="21"/>
        <v>1.3215777815545913</v>
      </c>
      <c r="E151" s="8">
        <f t="shared" si="22"/>
        <v>1.0616604361005504</v>
      </c>
      <c r="F151" s="8">
        <f t="shared" si="29"/>
        <v>0</v>
      </c>
      <c r="G151" s="8">
        <f t="shared" si="30"/>
        <v>3.5254911485809703</v>
      </c>
      <c r="H151" s="8">
        <f t="shared" si="23"/>
        <v>1.0791218697829723</v>
      </c>
      <c r="I151" s="8">
        <f t="shared" si="24"/>
        <v>0</v>
      </c>
      <c r="J151" s="2" t="str">
        <f t="shared" si="25"/>
        <v>Y</v>
      </c>
      <c r="K151" s="2" t="str">
        <f t="shared" si="26"/>
        <v/>
      </c>
      <c r="L151" s="2" t="str">
        <f t="shared" si="27"/>
        <v/>
      </c>
    </row>
    <row r="152" spans="1:12">
      <c r="A152" s="9">
        <v>140</v>
      </c>
      <c r="B152" s="8">
        <v>700.16600000000005</v>
      </c>
      <c r="C152" s="8">
        <f t="shared" si="28"/>
        <v>0.10500000000001819</v>
      </c>
      <c r="D152" s="8">
        <f t="shared" si="21"/>
        <v>1.3215777815545913</v>
      </c>
      <c r="E152" s="8">
        <f t="shared" si="22"/>
        <v>1.0616604361005504</v>
      </c>
      <c r="F152" s="8">
        <f t="shared" si="29"/>
        <v>0</v>
      </c>
      <c r="G152" s="8">
        <f t="shared" si="30"/>
        <v>3.5254911485809703</v>
      </c>
      <c r="H152" s="8">
        <f t="shared" si="23"/>
        <v>1.0791218697829723</v>
      </c>
      <c r="I152" s="8">
        <f t="shared" si="24"/>
        <v>0</v>
      </c>
      <c r="J152" s="2" t="str">
        <f t="shared" si="25"/>
        <v>Y</v>
      </c>
      <c r="K152" s="2" t="str">
        <f t="shared" si="26"/>
        <v/>
      </c>
      <c r="L152" s="2" t="str">
        <f t="shared" si="27"/>
        <v/>
      </c>
    </row>
    <row r="153" spans="1:12">
      <c r="A153" s="9">
        <v>141</v>
      </c>
      <c r="B153" s="8">
        <v>698.93299999999999</v>
      </c>
      <c r="C153" s="8">
        <f t="shared" si="28"/>
        <v>1.2330000000000609</v>
      </c>
      <c r="D153" s="8">
        <f t="shared" si="21"/>
        <v>1.3215777815545913</v>
      </c>
      <c r="E153" s="8">
        <f t="shared" si="22"/>
        <v>1.0616604361005504</v>
      </c>
      <c r="F153" s="8">
        <f t="shared" si="29"/>
        <v>0</v>
      </c>
      <c r="G153" s="8">
        <f t="shared" si="30"/>
        <v>3.5254911485809703</v>
      </c>
      <c r="H153" s="8">
        <f t="shared" si="23"/>
        <v>1.0791218697829723</v>
      </c>
      <c r="I153" s="8">
        <f t="shared" si="24"/>
        <v>0</v>
      </c>
      <c r="J153" s="2" t="str">
        <f t="shared" si="25"/>
        <v>Y</v>
      </c>
      <c r="K153" s="2" t="str">
        <f t="shared" si="26"/>
        <v/>
      </c>
      <c r="L153" s="2" t="str">
        <f t="shared" si="27"/>
        <v/>
      </c>
    </row>
    <row r="154" spans="1:12">
      <c r="A154" s="9">
        <v>142</v>
      </c>
      <c r="B154" s="8">
        <v>698.77</v>
      </c>
      <c r="C154" s="8">
        <f t="shared" si="28"/>
        <v>0.16300000000001091</v>
      </c>
      <c r="D154" s="8">
        <f t="shared" si="21"/>
        <v>1.3215777815545913</v>
      </c>
      <c r="E154" s="8">
        <f t="shared" si="22"/>
        <v>1.0616604361005504</v>
      </c>
      <c r="F154" s="8">
        <f t="shared" si="29"/>
        <v>0</v>
      </c>
      <c r="G154" s="8">
        <f t="shared" si="30"/>
        <v>3.5254911485809703</v>
      </c>
      <c r="H154" s="8">
        <f t="shared" si="23"/>
        <v>1.0791218697829723</v>
      </c>
      <c r="I154" s="8">
        <f t="shared" si="24"/>
        <v>0</v>
      </c>
      <c r="J154" s="2" t="str">
        <f t="shared" si="25"/>
        <v>Y</v>
      </c>
      <c r="K154" s="2" t="str">
        <f t="shared" si="26"/>
        <v/>
      </c>
      <c r="L154" s="2" t="str">
        <f t="shared" si="27"/>
        <v/>
      </c>
    </row>
    <row r="155" spans="1:12">
      <c r="A155" s="9">
        <v>143</v>
      </c>
      <c r="B155" s="8">
        <v>700.23599999999999</v>
      </c>
      <c r="C155" s="8">
        <f t="shared" si="28"/>
        <v>1.4660000000000082</v>
      </c>
      <c r="D155" s="8">
        <f t="shared" si="21"/>
        <v>1.3215777815545913</v>
      </c>
      <c r="E155" s="8">
        <f t="shared" si="22"/>
        <v>1.0616604361005504</v>
      </c>
      <c r="F155" s="8">
        <f t="shared" si="29"/>
        <v>0</v>
      </c>
      <c r="G155" s="8">
        <f t="shared" si="30"/>
        <v>3.5254911485809703</v>
      </c>
      <c r="H155" s="8">
        <f t="shared" si="23"/>
        <v>1.0791218697829723</v>
      </c>
      <c r="I155" s="8">
        <f t="shared" si="24"/>
        <v>0</v>
      </c>
      <c r="J155" s="2" t="str">
        <f t="shared" si="25"/>
        <v>Y</v>
      </c>
      <c r="K155" s="2" t="str">
        <f t="shared" si="26"/>
        <v/>
      </c>
      <c r="L155" s="2" t="str">
        <f t="shared" si="27"/>
        <v/>
      </c>
    </row>
    <row r="156" spans="1:12">
      <c r="A156" s="9">
        <v>144</v>
      </c>
      <c r="B156" s="8">
        <v>702.58199999999999</v>
      </c>
      <c r="C156" s="8">
        <f t="shared" si="28"/>
        <v>2.3460000000000036</v>
      </c>
      <c r="D156" s="8">
        <f t="shared" si="21"/>
        <v>1.3215777815545913</v>
      </c>
      <c r="E156" s="8">
        <f t="shared" si="22"/>
        <v>1.0616604361005504</v>
      </c>
      <c r="F156" s="8">
        <f t="shared" si="29"/>
        <v>0</v>
      </c>
      <c r="G156" s="8">
        <f t="shared" si="30"/>
        <v>3.5254911485809703</v>
      </c>
      <c r="H156" s="8">
        <f t="shared" si="23"/>
        <v>1.0791218697829723</v>
      </c>
      <c r="I156" s="8">
        <f t="shared" si="24"/>
        <v>0</v>
      </c>
      <c r="J156" s="2" t="str">
        <f t="shared" si="25"/>
        <v>Y</v>
      </c>
      <c r="K156" s="2" t="str">
        <f t="shared" si="26"/>
        <v/>
      </c>
      <c r="L156" s="2" t="str">
        <f t="shared" si="27"/>
        <v/>
      </c>
    </row>
    <row r="157" spans="1:12">
      <c r="A157" s="9">
        <v>145</v>
      </c>
      <c r="B157" s="8">
        <v>702.46900000000005</v>
      </c>
      <c r="C157" s="8">
        <f t="shared" si="28"/>
        <v>0.1129999999999427</v>
      </c>
      <c r="D157" s="8">
        <f t="shared" si="21"/>
        <v>1.3215777815545913</v>
      </c>
      <c r="E157" s="8">
        <f t="shared" si="22"/>
        <v>1.0616604361005504</v>
      </c>
      <c r="F157" s="8">
        <f t="shared" si="29"/>
        <v>0</v>
      </c>
      <c r="G157" s="8">
        <f t="shared" si="30"/>
        <v>3.5254911485809703</v>
      </c>
      <c r="H157" s="8">
        <f t="shared" si="23"/>
        <v>1.0791218697829723</v>
      </c>
      <c r="I157" s="8">
        <f t="shared" si="24"/>
        <v>0</v>
      </c>
      <c r="J157" s="2" t="str">
        <f t="shared" si="25"/>
        <v>Y</v>
      </c>
      <c r="K157" s="2" t="str">
        <f t="shared" si="26"/>
        <v/>
      </c>
      <c r="L157" s="2" t="str">
        <f t="shared" si="27"/>
        <v/>
      </c>
    </row>
    <row r="158" spans="1:12">
      <c r="A158" s="9">
        <v>146</v>
      </c>
      <c r="B158" s="8">
        <v>701.05499999999995</v>
      </c>
      <c r="C158" s="8">
        <f t="shared" si="28"/>
        <v>1.414000000000101</v>
      </c>
      <c r="D158" s="8">
        <f t="shared" si="21"/>
        <v>1.3215777815545913</v>
      </c>
      <c r="E158" s="8">
        <f t="shared" si="22"/>
        <v>1.0616604361005504</v>
      </c>
      <c r="F158" s="8">
        <f t="shared" si="29"/>
        <v>0</v>
      </c>
      <c r="G158" s="8">
        <f t="shared" si="30"/>
        <v>3.5254911485809703</v>
      </c>
      <c r="H158" s="8">
        <f t="shared" si="23"/>
        <v>1.0791218697829723</v>
      </c>
      <c r="I158" s="8">
        <f t="shared" si="24"/>
        <v>0</v>
      </c>
      <c r="J158" s="2" t="str">
        <f t="shared" si="25"/>
        <v>Y</v>
      </c>
      <c r="K158" s="2" t="str">
        <f t="shared" si="26"/>
        <v/>
      </c>
      <c r="L158" s="2" t="str">
        <f t="shared" si="27"/>
        <v/>
      </c>
    </row>
    <row r="159" spans="1:12">
      <c r="A159" s="9">
        <v>147</v>
      </c>
      <c r="B159" s="8">
        <v>702.19200000000001</v>
      </c>
      <c r="C159" s="8">
        <f t="shared" si="28"/>
        <v>1.1370000000000573</v>
      </c>
      <c r="D159" s="8">
        <f t="shared" si="21"/>
        <v>1.3215777815545913</v>
      </c>
      <c r="E159" s="8">
        <f t="shared" si="22"/>
        <v>1.0616604361005504</v>
      </c>
      <c r="F159" s="8">
        <f t="shared" si="29"/>
        <v>0</v>
      </c>
      <c r="G159" s="8">
        <f t="shared" si="30"/>
        <v>3.5254911485809703</v>
      </c>
      <c r="H159" s="8">
        <f t="shared" si="23"/>
        <v>1.0791218697829723</v>
      </c>
      <c r="I159" s="8">
        <f t="shared" si="24"/>
        <v>0</v>
      </c>
      <c r="J159" s="2" t="str">
        <f t="shared" si="25"/>
        <v>Y</v>
      </c>
      <c r="K159" s="2" t="str">
        <f t="shared" si="26"/>
        <v/>
      </c>
      <c r="L159" s="2" t="str">
        <f t="shared" si="27"/>
        <v/>
      </c>
    </row>
    <row r="160" spans="1:12">
      <c r="A160" s="9">
        <v>148</v>
      </c>
      <c r="B160" s="8">
        <v>701.71299999999997</v>
      </c>
      <c r="C160" s="8">
        <f t="shared" si="28"/>
        <v>0.47900000000004184</v>
      </c>
      <c r="D160" s="8">
        <f t="shared" si="21"/>
        <v>1.3215777815545913</v>
      </c>
      <c r="E160" s="8">
        <f t="shared" si="22"/>
        <v>1.0616604361005504</v>
      </c>
      <c r="F160" s="8">
        <f t="shared" si="29"/>
        <v>0</v>
      </c>
      <c r="G160" s="8">
        <f t="shared" si="30"/>
        <v>3.5254911485809703</v>
      </c>
      <c r="H160" s="8">
        <f t="shared" si="23"/>
        <v>1.0791218697829723</v>
      </c>
      <c r="I160" s="8">
        <f t="shared" si="24"/>
        <v>0</v>
      </c>
      <c r="J160" s="2" t="str">
        <f t="shared" si="25"/>
        <v>Y</v>
      </c>
      <c r="K160" s="2" t="str">
        <f t="shared" si="26"/>
        <v/>
      </c>
      <c r="L160" s="2" t="str">
        <f t="shared" si="27"/>
        <v/>
      </c>
    </row>
    <row r="161" spans="1:12">
      <c r="A161" s="9">
        <v>149</v>
      </c>
      <c r="B161" s="8">
        <v>702.28599999999994</v>
      </c>
      <c r="C161" s="8">
        <f t="shared" si="28"/>
        <v>0.57299999999997908</v>
      </c>
      <c r="D161" s="8">
        <f t="shared" si="21"/>
        <v>1.3215777815545913</v>
      </c>
      <c r="E161" s="8">
        <f t="shared" si="22"/>
        <v>1.0616604361005504</v>
      </c>
      <c r="F161" s="8">
        <f t="shared" si="29"/>
        <v>0</v>
      </c>
      <c r="G161" s="8">
        <f t="shared" si="30"/>
        <v>3.5254911485809703</v>
      </c>
      <c r="H161" s="8">
        <f t="shared" si="23"/>
        <v>1.0791218697829723</v>
      </c>
      <c r="I161" s="8">
        <f t="shared" si="24"/>
        <v>0</v>
      </c>
      <c r="J161" s="2" t="str">
        <f t="shared" si="25"/>
        <v>Y</v>
      </c>
      <c r="K161" s="2" t="str">
        <f t="shared" si="26"/>
        <v/>
      </c>
      <c r="L161" s="2" t="str">
        <f t="shared" si="27"/>
        <v/>
      </c>
    </row>
    <row r="162" spans="1:12">
      <c r="A162" s="9">
        <v>150</v>
      </c>
      <c r="B162" s="8">
        <v>702.04100000000005</v>
      </c>
      <c r="C162" s="8">
        <f t="shared" si="28"/>
        <v>0.24499999999989086</v>
      </c>
      <c r="D162" s="8">
        <f t="shared" si="21"/>
        <v>1.3215777815545913</v>
      </c>
      <c r="E162" s="8">
        <f t="shared" si="22"/>
        <v>1.0616604361005504</v>
      </c>
      <c r="F162" s="8">
        <f t="shared" si="29"/>
        <v>0</v>
      </c>
      <c r="G162" s="8">
        <f t="shared" si="30"/>
        <v>3.5254911485809703</v>
      </c>
      <c r="H162" s="8">
        <f t="shared" si="23"/>
        <v>1.0791218697829723</v>
      </c>
      <c r="I162" s="8">
        <f t="shared" si="24"/>
        <v>0</v>
      </c>
      <c r="J162" s="2" t="str">
        <f t="shared" si="25"/>
        <v>Y</v>
      </c>
      <c r="K162" s="2" t="str">
        <f t="shared" si="26"/>
        <v/>
      </c>
      <c r="L162" s="2" t="str">
        <f t="shared" si="27"/>
        <v/>
      </c>
    </row>
    <row r="163" spans="1:12">
      <c r="A163" s="9">
        <v>151</v>
      </c>
      <c r="B163" s="8">
        <v>703.13599999999997</v>
      </c>
      <c r="C163" s="8">
        <f t="shared" si="28"/>
        <v>1.0949999999999136</v>
      </c>
      <c r="D163" s="8">
        <f t="shared" si="21"/>
        <v>1.3215777815545913</v>
      </c>
      <c r="E163" s="8">
        <f t="shared" si="22"/>
        <v>1.0616604361005504</v>
      </c>
      <c r="F163" s="8">
        <f t="shared" si="29"/>
        <v>0</v>
      </c>
      <c r="G163" s="8">
        <f t="shared" si="30"/>
        <v>3.5254911485809703</v>
      </c>
      <c r="H163" s="8">
        <f t="shared" si="23"/>
        <v>1.0791218697829723</v>
      </c>
      <c r="I163" s="8">
        <f t="shared" si="24"/>
        <v>0</v>
      </c>
      <c r="J163" s="2" t="str">
        <f t="shared" si="25"/>
        <v>Y</v>
      </c>
      <c r="K163" s="2" t="str">
        <f t="shared" si="26"/>
        <v/>
      </c>
      <c r="L163" s="2" t="str">
        <f t="shared" si="27"/>
        <v/>
      </c>
    </row>
    <row r="164" spans="1:12">
      <c r="A164" s="9">
        <v>152</v>
      </c>
      <c r="B164" s="8">
        <v>700.60799999999995</v>
      </c>
      <c r="C164" s="8">
        <f t="shared" si="28"/>
        <v>2.52800000000002</v>
      </c>
      <c r="D164" s="8">
        <f t="shared" si="21"/>
        <v>1.3215777815545913</v>
      </c>
      <c r="E164" s="8">
        <f t="shared" si="22"/>
        <v>1.0616604361005504</v>
      </c>
      <c r="F164" s="8">
        <f t="shared" si="29"/>
        <v>0</v>
      </c>
      <c r="G164" s="8">
        <f t="shared" si="30"/>
        <v>3.5254911485809703</v>
      </c>
      <c r="H164" s="8">
        <f t="shared" si="23"/>
        <v>1.0791218697829723</v>
      </c>
      <c r="I164" s="8">
        <f t="shared" si="24"/>
        <v>0</v>
      </c>
      <c r="J164" s="2" t="str">
        <f t="shared" si="25"/>
        <v>Y</v>
      </c>
      <c r="K164" s="2" t="str">
        <f t="shared" si="26"/>
        <v/>
      </c>
      <c r="L164" s="2" t="str">
        <f t="shared" si="27"/>
        <v/>
      </c>
    </row>
    <row r="165" spans="1:12">
      <c r="A165" s="9">
        <v>153</v>
      </c>
      <c r="B165" s="8">
        <v>700.51400000000001</v>
      </c>
      <c r="C165" s="8">
        <f t="shared" si="28"/>
        <v>9.3999999999937245E-2</v>
      </c>
      <c r="D165" s="8">
        <f t="shared" si="21"/>
        <v>1.3215777815545913</v>
      </c>
      <c r="E165" s="8">
        <f t="shared" si="22"/>
        <v>1.0616604361005504</v>
      </c>
      <c r="F165" s="8">
        <f t="shared" si="29"/>
        <v>0</v>
      </c>
      <c r="G165" s="8">
        <f t="shared" si="30"/>
        <v>3.5254911485809703</v>
      </c>
      <c r="H165" s="8">
        <f t="shared" si="23"/>
        <v>1.0791218697829723</v>
      </c>
      <c r="I165" s="8">
        <f t="shared" si="24"/>
        <v>0</v>
      </c>
      <c r="J165" s="2" t="str">
        <f t="shared" si="25"/>
        <v>Y</v>
      </c>
      <c r="K165" s="2" t="str">
        <f t="shared" si="26"/>
        <v/>
      </c>
      <c r="L165" s="2" t="str">
        <f t="shared" si="27"/>
        <v/>
      </c>
    </row>
    <row r="166" spans="1:12">
      <c r="A166" s="9">
        <v>154</v>
      </c>
      <c r="B166" s="8">
        <v>698.22900000000004</v>
      </c>
      <c r="C166" s="8">
        <f t="shared" si="28"/>
        <v>2.2849999999999682</v>
      </c>
      <c r="D166" s="8">
        <f t="shared" si="21"/>
        <v>1.3215777815545913</v>
      </c>
      <c r="E166" s="8">
        <f t="shared" si="22"/>
        <v>1.0616604361005504</v>
      </c>
      <c r="F166" s="8">
        <f t="shared" si="29"/>
        <v>0</v>
      </c>
      <c r="G166" s="8">
        <f t="shared" si="30"/>
        <v>3.5254911485809703</v>
      </c>
      <c r="H166" s="8">
        <f t="shared" si="23"/>
        <v>1.0791218697829723</v>
      </c>
      <c r="I166" s="8">
        <f t="shared" si="24"/>
        <v>0</v>
      </c>
      <c r="J166" s="2" t="str">
        <f t="shared" si="25"/>
        <v>Y</v>
      </c>
      <c r="K166" s="2" t="str">
        <f t="shared" si="26"/>
        <v/>
      </c>
      <c r="L166" s="2" t="str">
        <f t="shared" si="27"/>
        <v/>
      </c>
    </row>
    <row r="167" spans="1:12">
      <c r="A167" s="9">
        <v>155</v>
      </c>
      <c r="B167" s="8">
        <v>702.28899999999999</v>
      </c>
      <c r="C167" s="8">
        <f t="shared" si="28"/>
        <v>4.0599999999999454</v>
      </c>
      <c r="D167" s="8">
        <f t="shared" si="21"/>
        <v>1.3215777815545913</v>
      </c>
      <c r="E167" s="8">
        <f t="shared" si="22"/>
        <v>1.0616604361005504</v>
      </c>
      <c r="F167" s="8">
        <f t="shared" si="29"/>
        <v>0</v>
      </c>
      <c r="G167" s="8">
        <f t="shared" si="30"/>
        <v>3.5254911485809703</v>
      </c>
      <c r="H167" s="8">
        <f t="shared" si="23"/>
        <v>1.0791218697829723</v>
      </c>
      <c r="I167" s="8">
        <f t="shared" si="24"/>
        <v>0</v>
      </c>
      <c r="J167" s="2" t="str">
        <f t="shared" si="25"/>
        <v>Y</v>
      </c>
      <c r="K167" s="2" t="str">
        <f t="shared" si="26"/>
        <v>Y</v>
      </c>
      <c r="L167" s="2" t="str">
        <f t="shared" si="27"/>
        <v/>
      </c>
    </row>
    <row r="168" spans="1:12">
      <c r="A168" s="9">
        <v>156</v>
      </c>
      <c r="B168" s="8">
        <v>698.53300000000002</v>
      </c>
      <c r="C168" s="8">
        <f t="shared" si="28"/>
        <v>3.7559999999999718</v>
      </c>
      <c r="D168" s="8">
        <f t="shared" si="21"/>
        <v>1.3215777815545913</v>
      </c>
      <c r="E168" s="8">
        <f t="shared" si="22"/>
        <v>1.0616604361005504</v>
      </c>
      <c r="F168" s="8">
        <f t="shared" si="29"/>
        <v>0</v>
      </c>
      <c r="G168" s="8">
        <f t="shared" si="30"/>
        <v>3.5254911485809703</v>
      </c>
      <c r="H168" s="8">
        <f t="shared" si="23"/>
        <v>1.0791218697829723</v>
      </c>
      <c r="I168" s="8">
        <f t="shared" si="24"/>
        <v>0</v>
      </c>
      <c r="J168" s="2" t="str">
        <f t="shared" si="25"/>
        <v>Y</v>
      </c>
      <c r="K168" s="2" t="str">
        <f t="shared" si="26"/>
        <v>Y</v>
      </c>
      <c r="L168" s="2" t="str">
        <f t="shared" si="27"/>
        <v/>
      </c>
    </row>
    <row r="169" spans="1:12">
      <c r="A169" s="9">
        <v>157</v>
      </c>
      <c r="B169" s="8">
        <v>701.23699999999997</v>
      </c>
      <c r="C169" s="8">
        <f t="shared" si="28"/>
        <v>2.7039999999999509</v>
      </c>
      <c r="D169" s="8">
        <f t="shared" si="21"/>
        <v>1.3215777815545913</v>
      </c>
      <c r="E169" s="8">
        <f t="shared" si="22"/>
        <v>1.0616604361005504</v>
      </c>
      <c r="F169" s="8">
        <f t="shared" si="29"/>
        <v>0</v>
      </c>
      <c r="G169" s="8">
        <f t="shared" si="30"/>
        <v>3.5254911485809703</v>
      </c>
      <c r="H169" s="8">
        <f t="shared" si="23"/>
        <v>1.0791218697829723</v>
      </c>
      <c r="I169" s="8">
        <f t="shared" si="24"/>
        <v>0</v>
      </c>
      <c r="J169" s="2" t="str">
        <f t="shared" si="25"/>
        <v>Y</v>
      </c>
      <c r="K169" s="2" t="str">
        <f t="shared" si="26"/>
        <v/>
      </c>
      <c r="L169" s="2" t="str">
        <f t="shared" si="27"/>
        <v/>
      </c>
    </row>
    <row r="170" spans="1:12">
      <c r="A170" s="9">
        <v>158</v>
      </c>
      <c r="B170" s="8">
        <v>699.49199999999996</v>
      </c>
      <c r="C170" s="8">
        <f t="shared" si="28"/>
        <v>1.7450000000000045</v>
      </c>
      <c r="D170" s="8">
        <f t="shared" si="21"/>
        <v>1.3215777815545913</v>
      </c>
      <c r="E170" s="8">
        <f t="shared" si="22"/>
        <v>1.0616604361005504</v>
      </c>
      <c r="F170" s="8">
        <f t="shared" si="29"/>
        <v>0</v>
      </c>
      <c r="G170" s="8">
        <f t="shared" si="30"/>
        <v>3.5254911485809703</v>
      </c>
      <c r="H170" s="8">
        <f t="shared" si="23"/>
        <v>1.0791218697829723</v>
      </c>
      <c r="I170" s="8">
        <f t="shared" si="24"/>
        <v>0</v>
      </c>
      <c r="J170" s="2" t="str">
        <f t="shared" si="25"/>
        <v>Y</v>
      </c>
      <c r="K170" s="2" t="str">
        <f t="shared" si="26"/>
        <v/>
      </c>
      <c r="L170" s="2" t="str">
        <f t="shared" si="27"/>
        <v/>
      </c>
    </row>
    <row r="171" spans="1:12">
      <c r="A171" s="9">
        <v>159</v>
      </c>
      <c r="B171" s="8">
        <v>699.52099999999996</v>
      </c>
      <c r="C171" s="8">
        <f t="shared" si="28"/>
        <v>2.8999999999996362E-2</v>
      </c>
      <c r="D171" s="8">
        <f t="shared" si="21"/>
        <v>1.3215777815545913</v>
      </c>
      <c r="E171" s="8">
        <f t="shared" si="22"/>
        <v>1.0616604361005504</v>
      </c>
      <c r="F171" s="8">
        <f t="shared" si="29"/>
        <v>0</v>
      </c>
      <c r="G171" s="8">
        <f t="shared" si="30"/>
        <v>3.5254911485809703</v>
      </c>
      <c r="H171" s="8">
        <f t="shared" si="23"/>
        <v>1.0791218697829723</v>
      </c>
      <c r="I171" s="8">
        <f t="shared" si="24"/>
        <v>0</v>
      </c>
      <c r="J171" s="2" t="str">
        <f t="shared" si="25"/>
        <v>Y</v>
      </c>
      <c r="K171" s="2" t="str">
        <f t="shared" si="26"/>
        <v/>
      </c>
      <c r="L171" s="2" t="str">
        <f t="shared" si="27"/>
        <v/>
      </c>
    </row>
    <row r="172" spans="1:12">
      <c r="A172" s="9">
        <v>160</v>
      </c>
      <c r="B172" s="8">
        <v>701.27700000000004</v>
      </c>
      <c r="C172" s="8">
        <f t="shared" si="28"/>
        <v>1.7560000000000855</v>
      </c>
      <c r="D172" s="8">
        <f t="shared" si="21"/>
        <v>1.3215777815545913</v>
      </c>
      <c r="E172" s="8">
        <f t="shared" si="22"/>
        <v>1.0616604361005504</v>
      </c>
      <c r="F172" s="8">
        <f t="shared" si="29"/>
        <v>0</v>
      </c>
      <c r="G172" s="8">
        <f t="shared" si="30"/>
        <v>3.5254911485809703</v>
      </c>
      <c r="H172" s="8">
        <f t="shared" si="23"/>
        <v>1.0791218697829723</v>
      </c>
      <c r="I172" s="8">
        <f t="shared" si="24"/>
        <v>0</v>
      </c>
      <c r="J172" s="2" t="str">
        <f t="shared" si="25"/>
        <v>Y</v>
      </c>
      <c r="K172" s="2" t="str">
        <f t="shared" si="26"/>
        <v/>
      </c>
      <c r="L172" s="2" t="str">
        <f t="shared" si="27"/>
        <v/>
      </c>
    </row>
    <row r="173" spans="1:12">
      <c r="A173" s="9">
        <v>161</v>
      </c>
      <c r="B173" s="8">
        <v>701.61500000000001</v>
      </c>
      <c r="C173" s="8">
        <f t="shared" si="28"/>
        <v>0.33799999999996544</v>
      </c>
      <c r="D173" s="8">
        <f t="shared" si="21"/>
        <v>1.3215777815545913</v>
      </c>
      <c r="E173" s="8">
        <f t="shared" si="22"/>
        <v>1.0616604361005504</v>
      </c>
      <c r="F173" s="8">
        <f t="shared" si="29"/>
        <v>0</v>
      </c>
      <c r="G173" s="8">
        <f t="shared" si="30"/>
        <v>3.5254911485809703</v>
      </c>
      <c r="H173" s="8">
        <f t="shared" si="23"/>
        <v>1.0791218697829723</v>
      </c>
      <c r="I173" s="8">
        <f t="shared" si="24"/>
        <v>0</v>
      </c>
      <c r="J173" s="2" t="str">
        <f t="shared" si="25"/>
        <v>Y</v>
      </c>
      <c r="K173" s="2" t="str">
        <f t="shared" si="26"/>
        <v/>
      </c>
      <c r="L173" s="2" t="str">
        <f t="shared" si="27"/>
        <v/>
      </c>
    </row>
    <row r="174" spans="1:12">
      <c r="A174" s="9">
        <v>162</v>
      </c>
      <c r="B174" s="8">
        <v>698.33699999999999</v>
      </c>
      <c r="C174" s="8">
        <f t="shared" si="28"/>
        <v>3.27800000000002</v>
      </c>
      <c r="D174" s="8">
        <f t="shared" si="21"/>
        <v>1.3215777815545913</v>
      </c>
      <c r="E174" s="8">
        <f t="shared" si="22"/>
        <v>1.0616604361005504</v>
      </c>
      <c r="F174" s="8">
        <f t="shared" si="29"/>
        <v>0</v>
      </c>
      <c r="G174" s="8">
        <f t="shared" si="30"/>
        <v>3.5254911485809703</v>
      </c>
      <c r="H174" s="8">
        <f t="shared" si="23"/>
        <v>1.0791218697829723</v>
      </c>
      <c r="I174" s="8">
        <f t="shared" si="24"/>
        <v>0</v>
      </c>
      <c r="J174" s="2" t="str">
        <f t="shared" si="25"/>
        <v>Y</v>
      </c>
      <c r="K174" s="2" t="str">
        <f t="shared" si="26"/>
        <v/>
      </c>
      <c r="L174" s="2" t="str">
        <f t="shared" si="27"/>
        <v/>
      </c>
    </row>
    <row r="175" spans="1:12">
      <c r="A175" s="9">
        <v>163</v>
      </c>
      <c r="B175" s="8">
        <v>700.12099999999998</v>
      </c>
      <c r="C175" s="8">
        <f t="shared" si="28"/>
        <v>1.7839999999999918</v>
      </c>
      <c r="D175" s="8">
        <f t="shared" si="21"/>
        <v>1.3215777815545913</v>
      </c>
      <c r="E175" s="8">
        <f t="shared" si="22"/>
        <v>1.0616604361005504</v>
      </c>
      <c r="F175" s="8">
        <f t="shared" si="29"/>
        <v>0</v>
      </c>
      <c r="G175" s="8">
        <f t="shared" si="30"/>
        <v>3.5254911485809703</v>
      </c>
      <c r="H175" s="8">
        <f t="shared" si="23"/>
        <v>1.0791218697829723</v>
      </c>
      <c r="I175" s="8">
        <f t="shared" si="24"/>
        <v>0</v>
      </c>
      <c r="J175" s="2" t="str">
        <f t="shared" si="25"/>
        <v>Y</v>
      </c>
      <c r="K175" s="2" t="str">
        <f t="shared" si="26"/>
        <v/>
      </c>
      <c r="L175" s="2" t="str">
        <f t="shared" si="27"/>
        <v/>
      </c>
    </row>
    <row r="176" spans="1:12">
      <c r="A176" s="9">
        <v>164</v>
      </c>
      <c r="B176" s="8">
        <v>700.95399999999995</v>
      </c>
      <c r="C176" s="8">
        <f t="shared" si="28"/>
        <v>0.83299999999996999</v>
      </c>
      <c r="D176" s="8">
        <f t="shared" si="21"/>
        <v>1.3215777815545913</v>
      </c>
      <c r="E176" s="8">
        <f t="shared" si="22"/>
        <v>1.0616604361005504</v>
      </c>
      <c r="F176" s="8">
        <f t="shared" si="29"/>
        <v>0</v>
      </c>
      <c r="G176" s="8">
        <f t="shared" si="30"/>
        <v>3.5254911485809703</v>
      </c>
      <c r="H176" s="8">
        <f t="shared" si="23"/>
        <v>1.0791218697829723</v>
      </c>
      <c r="I176" s="8">
        <f t="shared" si="24"/>
        <v>0</v>
      </c>
      <c r="J176" s="2" t="str">
        <f t="shared" si="25"/>
        <v>Y</v>
      </c>
      <c r="K176" s="2" t="str">
        <f t="shared" si="26"/>
        <v/>
      </c>
      <c r="L176" s="2" t="str">
        <f t="shared" si="27"/>
        <v/>
      </c>
    </row>
    <row r="177" spans="1:12">
      <c r="A177" s="9">
        <v>165</v>
      </c>
      <c r="B177" s="8">
        <v>701.26800000000003</v>
      </c>
      <c r="C177" s="8">
        <f t="shared" si="28"/>
        <v>0.31400000000007822</v>
      </c>
      <c r="D177" s="8">
        <f t="shared" si="21"/>
        <v>1.3215777815545913</v>
      </c>
      <c r="E177" s="8">
        <f t="shared" si="22"/>
        <v>1.0616604361005504</v>
      </c>
      <c r="F177" s="8">
        <f t="shared" si="29"/>
        <v>0</v>
      </c>
      <c r="G177" s="8">
        <f t="shared" si="30"/>
        <v>3.5254911485809703</v>
      </c>
      <c r="H177" s="8">
        <f t="shared" si="23"/>
        <v>1.0791218697829723</v>
      </c>
      <c r="I177" s="8">
        <f t="shared" si="24"/>
        <v>0</v>
      </c>
      <c r="J177" s="2" t="str">
        <f t="shared" si="25"/>
        <v>Y</v>
      </c>
      <c r="K177" s="2" t="str">
        <f t="shared" si="26"/>
        <v/>
      </c>
      <c r="L177" s="2" t="str">
        <f t="shared" si="27"/>
        <v/>
      </c>
    </row>
    <row r="178" spans="1:12">
      <c r="A178" s="9">
        <v>166</v>
      </c>
      <c r="B178" s="8">
        <v>701.67399999999998</v>
      </c>
      <c r="C178" s="8">
        <f t="shared" si="28"/>
        <v>0.40599999999994907</v>
      </c>
      <c r="D178" s="8">
        <f t="shared" si="21"/>
        <v>1.3215777815545913</v>
      </c>
      <c r="E178" s="8">
        <f t="shared" si="22"/>
        <v>1.0616604361005504</v>
      </c>
      <c r="F178" s="8">
        <f t="shared" si="29"/>
        <v>0</v>
      </c>
      <c r="G178" s="8">
        <f t="shared" si="30"/>
        <v>3.5254911485809703</v>
      </c>
      <c r="H178" s="8">
        <f t="shared" si="23"/>
        <v>1.0791218697829723</v>
      </c>
      <c r="I178" s="8">
        <f t="shared" si="24"/>
        <v>0</v>
      </c>
      <c r="J178" s="2" t="str">
        <f t="shared" si="25"/>
        <v>Y</v>
      </c>
      <c r="K178" s="2" t="str">
        <f t="shared" si="26"/>
        <v/>
      </c>
      <c r="L178" s="2" t="str">
        <f t="shared" si="27"/>
        <v/>
      </c>
    </row>
    <row r="179" spans="1:12">
      <c r="A179" s="9">
        <v>167</v>
      </c>
      <c r="B179" s="8">
        <v>700.98599999999999</v>
      </c>
      <c r="C179" s="8">
        <f t="shared" si="28"/>
        <v>0.68799999999998818</v>
      </c>
      <c r="D179" s="8">
        <f t="shared" si="21"/>
        <v>1.3215777815545913</v>
      </c>
      <c r="E179" s="8">
        <f t="shared" si="22"/>
        <v>1.0616604361005504</v>
      </c>
      <c r="F179" s="8">
        <f t="shared" si="29"/>
        <v>0</v>
      </c>
      <c r="G179" s="8">
        <f t="shared" si="30"/>
        <v>3.5254911485809703</v>
      </c>
      <c r="H179" s="8">
        <f t="shared" si="23"/>
        <v>1.0791218697829723</v>
      </c>
      <c r="I179" s="8">
        <f t="shared" si="24"/>
        <v>0</v>
      </c>
      <c r="J179" s="2" t="str">
        <f t="shared" si="25"/>
        <v>Y</v>
      </c>
      <c r="K179" s="2" t="str">
        <f t="shared" si="26"/>
        <v/>
      </c>
      <c r="L179" s="2" t="str">
        <f t="shared" si="27"/>
        <v/>
      </c>
    </row>
    <row r="180" spans="1:12">
      <c r="A180" s="9">
        <v>168</v>
      </c>
      <c r="B180" s="8">
        <v>701.25900000000001</v>
      </c>
      <c r="C180" s="8">
        <f t="shared" si="28"/>
        <v>0.27300000000002456</v>
      </c>
      <c r="D180" s="8">
        <f t="shared" si="21"/>
        <v>1.3215777815545913</v>
      </c>
      <c r="E180" s="8">
        <f t="shared" si="22"/>
        <v>1.0616604361005504</v>
      </c>
      <c r="F180" s="8">
        <f t="shared" si="29"/>
        <v>0</v>
      </c>
      <c r="G180" s="8">
        <f t="shared" si="30"/>
        <v>3.5254911485809703</v>
      </c>
      <c r="H180" s="8">
        <f t="shared" si="23"/>
        <v>1.0791218697829723</v>
      </c>
      <c r="I180" s="8">
        <f t="shared" si="24"/>
        <v>0</v>
      </c>
      <c r="J180" s="2" t="str">
        <f t="shared" si="25"/>
        <v>Y</v>
      </c>
      <c r="K180" s="2" t="str">
        <f t="shared" si="26"/>
        <v/>
      </c>
      <c r="L180" s="2" t="str">
        <f t="shared" si="27"/>
        <v/>
      </c>
    </row>
    <row r="181" spans="1:12">
      <c r="A181" s="9">
        <v>169</v>
      </c>
      <c r="B181" s="8">
        <v>700.2</v>
      </c>
      <c r="C181" s="8">
        <f t="shared" si="28"/>
        <v>1.0589999999999691</v>
      </c>
      <c r="D181" s="8">
        <f t="shared" si="21"/>
        <v>1.3215777815545913</v>
      </c>
      <c r="E181" s="8">
        <f t="shared" si="22"/>
        <v>1.0616604361005504</v>
      </c>
      <c r="F181" s="8">
        <f t="shared" si="29"/>
        <v>0</v>
      </c>
      <c r="G181" s="8">
        <f t="shared" si="30"/>
        <v>3.5254911485809703</v>
      </c>
      <c r="H181" s="8">
        <f t="shared" si="23"/>
        <v>1.0791218697829723</v>
      </c>
      <c r="I181" s="8">
        <f t="shared" si="24"/>
        <v>0</v>
      </c>
      <c r="J181" s="2" t="str">
        <f t="shared" si="25"/>
        <v>Y</v>
      </c>
      <c r="K181" s="2" t="str">
        <f t="shared" si="26"/>
        <v/>
      </c>
      <c r="L181" s="2" t="str">
        <f t="shared" si="27"/>
        <v/>
      </c>
    </row>
    <row r="182" spans="1:12">
      <c r="A182" s="9">
        <v>170</v>
      </c>
      <c r="B182" s="8">
        <v>701.75400000000002</v>
      </c>
      <c r="C182" s="8">
        <f t="shared" si="28"/>
        <v>1.5539999999999736</v>
      </c>
      <c r="D182" s="8">
        <f t="shared" si="21"/>
        <v>1.3215777815545913</v>
      </c>
      <c r="E182" s="8">
        <f t="shared" si="22"/>
        <v>1.0616604361005504</v>
      </c>
      <c r="F182" s="8">
        <f t="shared" si="29"/>
        <v>0</v>
      </c>
      <c r="G182" s="8">
        <f t="shared" si="30"/>
        <v>3.5254911485809703</v>
      </c>
      <c r="H182" s="8">
        <f t="shared" si="23"/>
        <v>1.0791218697829723</v>
      </c>
      <c r="I182" s="8">
        <f t="shared" si="24"/>
        <v>0</v>
      </c>
      <c r="J182" s="2" t="str">
        <f t="shared" si="25"/>
        <v>Y</v>
      </c>
      <c r="K182" s="2" t="str">
        <f t="shared" si="26"/>
        <v/>
      </c>
      <c r="L182" s="2" t="str">
        <f t="shared" si="27"/>
        <v/>
      </c>
    </row>
    <row r="183" spans="1:12">
      <c r="A183" s="9">
        <v>171</v>
      </c>
      <c r="B183" s="8">
        <v>701.56200000000001</v>
      </c>
      <c r="C183" s="8">
        <f t="shared" si="28"/>
        <v>0.19200000000000728</v>
      </c>
      <c r="D183" s="8">
        <f t="shared" si="21"/>
        <v>1.3215777815545913</v>
      </c>
      <c r="E183" s="8">
        <f t="shared" si="22"/>
        <v>1.0616604361005504</v>
      </c>
      <c r="F183" s="8">
        <f t="shared" si="29"/>
        <v>0</v>
      </c>
      <c r="G183" s="8">
        <f t="shared" si="30"/>
        <v>3.5254911485809703</v>
      </c>
      <c r="H183" s="8">
        <f t="shared" si="23"/>
        <v>1.0791218697829723</v>
      </c>
      <c r="I183" s="8">
        <f t="shared" si="24"/>
        <v>0</v>
      </c>
      <c r="J183" s="2" t="str">
        <f t="shared" si="25"/>
        <v>Y</v>
      </c>
      <c r="K183" s="2" t="str">
        <f t="shared" si="26"/>
        <v/>
      </c>
      <c r="L183" s="2" t="str">
        <f t="shared" si="27"/>
        <v/>
      </c>
    </row>
    <row r="184" spans="1:12">
      <c r="A184" s="9">
        <v>172</v>
      </c>
      <c r="B184" s="8">
        <v>701.15</v>
      </c>
      <c r="C184" s="8">
        <f t="shared" si="28"/>
        <v>0.41200000000003456</v>
      </c>
      <c r="D184" s="8">
        <f t="shared" si="21"/>
        <v>1.3215777815545913</v>
      </c>
      <c r="E184" s="8">
        <f t="shared" si="22"/>
        <v>1.0616604361005504</v>
      </c>
      <c r="F184" s="8">
        <f t="shared" si="29"/>
        <v>0</v>
      </c>
      <c r="G184" s="8">
        <f t="shared" si="30"/>
        <v>3.5254911485809703</v>
      </c>
      <c r="H184" s="8">
        <f t="shared" si="23"/>
        <v>1.0791218697829723</v>
      </c>
      <c r="I184" s="8">
        <f t="shared" si="24"/>
        <v>0</v>
      </c>
      <c r="J184" s="2" t="str">
        <f t="shared" si="25"/>
        <v>Y</v>
      </c>
      <c r="K184" s="2" t="str">
        <f t="shared" si="26"/>
        <v/>
      </c>
      <c r="L184" s="2" t="str">
        <f t="shared" si="27"/>
        <v/>
      </c>
    </row>
    <row r="185" spans="1:12">
      <c r="A185" s="9">
        <v>173</v>
      </c>
      <c r="B185" s="8">
        <v>699.50099999999998</v>
      </c>
      <c r="C185" s="8">
        <f t="shared" si="28"/>
        <v>1.6490000000000009</v>
      </c>
      <c r="D185" s="8">
        <f t="shared" si="21"/>
        <v>1.3215777815545913</v>
      </c>
      <c r="E185" s="8">
        <f t="shared" si="22"/>
        <v>1.0616604361005504</v>
      </c>
      <c r="F185" s="8">
        <f t="shared" si="29"/>
        <v>0</v>
      </c>
      <c r="G185" s="8">
        <f t="shared" si="30"/>
        <v>3.5254911485809703</v>
      </c>
      <c r="H185" s="8">
        <f t="shared" si="23"/>
        <v>1.0791218697829723</v>
      </c>
      <c r="I185" s="8">
        <f t="shared" si="24"/>
        <v>0</v>
      </c>
      <c r="J185" s="2" t="str">
        <f t="shared" si="25"/>
        <v>Y</v>
      </c>
      <c r="K185" s="2" t="str">
        <f t="shared" si="26"/>
        <v/>
      </c>
      <c r="L185" s="2" t="str">
        <f t="shared" si="27"/>
        <v/>
      </c>
    </row>
    <row r="186" spans="1:12">
      <c r="A186" s="9">
        <v>174</v>
      </c>
      <c r="B186" s="8">
        <v>702.37599999999998</v>
      </c>
      <c r="C186" s="8">
        <f t="shared" si="28"/>
        <v>2.875</v>
      </c>
      <c r="D186" s="8">
        <f t="shared" si="21"/>
        <v>1.3215777815545913</v>
      </c>
      <c r="E186" s="8">
        <f t="shared" si="22"/>
        <v>1.0616604361005504</v>
      </c>
      <c r="F186" s="8">
        <f t="shared" si="29"/>
        <v>0</v>
      </c>
      <c r="G186" s="8">
        <f t="shared" si="30"/>
        <v>3.5254911485809703</v>
      </c>
      <c r="H186" s="8">
        <f t="shared" si="23"/>
        <v>1.0791218697829723</v>
      </c>
      <c r="I186" s="8">
        <f t="shared" si="24"/>
        <v>0</v>
      </c>
      <c r="J186" s="2" t="str">
        <f t="shared" si="25"/>
        <v>Y</v>
      </c>
      <c r="K186" s="2" t="str">
        <f t="shared" si="26"/>
        <v/>
      </c>
      <c r="L186" s="2" t="str">
        <f t="shared" si="27"/>
        <v/>
      </c>
    </row>
    <row r="187" spans="1:12">
      <c r="A187" s="9">
        <v>175</v>
      </c>
      <c r="B187" s="8">
        <v>702.20699999999999</v>
      </c>
      <c r="C187" s="8">
        <f t="shared" si="28"/>
        <v>0.16899999999998272</v>
      </c>
      <c r="D187" s="8">
        <f t="shared" si="21"/>
        <v>1.3215777815545913</v>
      </c>
      <c r="E187" s="8">
        <f t="shared" si="22"/>
        <v>1.0616604361005504</v>
      </c>
      <c r="F187" s="8">
        <f t="shared" si="29"/>
        <v>0</v>
      </c>
      <c r="G187" s="8">
        <f t="shared" si="30"/>
        <v>3.5254911485809703</v>
      </c>
      <c r="H187" s="8">
        <f t="shared" si="23"/>
        <v>1.0791218697829723</v>
      </c>
      <c r="I187" s="8">
        <f t="shared" si="24"/>
        <v>0</v>
      </c>
      <c r="J187" s="2" t="str">
        <f t="shared" si="25"/>
        <v>Y</v>
      </c>
      <c r="K187" s="2" t="str">
        <f t="shared" si="26"/>
        <v/>
      </c>
      <c r="L187" s="2" t="str">
        <f t="shared" si="27"/>
        <v/>
      </c>
    </row>
    <row r="188" spans="1:12">
      <c r="A188" s="9">
        <v>176</v>
      </c>
      <c r="B188" s="8">
        <v>699.97699999999998</v>
      </c>
      <c r="C188" s="8">
        <f t="shared" si="28"/>
        <v>2.2300000000000182</v>
      </c>
      <c r="D188" s="8">
        <f t="shared" si="21"/>
        <v>1.3215777815545913</v>
      </c>
      <c r="E188" s="8">
        <f t="shared" si="22"/>
        <v>1.0616604361005504</v>
      </c>
      <c r="F188" s="8">
        <f t="shared" si="29"/>
        <v>0</v>
      </c>
      <c r="G188" s="8">
        <f t="shared" si="30"/>
        <v>3.5254911485809703</v>
      </c>
      <c r="H188" s="8">
        <f t="shared" si="23"/>
        <v>1.0791218697829723</v>
      </c>
      <c r="I188" s="8">
        <f t="shared" si="24"/>
        <v>0</v>
      </c>
      <c r="J188" s="2" t="str">
        <f t="shared" si="25"/>
        <v>Y</v>
      </c>
      <c r="K188" s="2" t="str">
        <f t="shared" si="26"/>
        <v/>
      </c>
      <c r="L188" s="2" t="str">
        <f t="shared" si="27"/>
        <v/>
      </c>
    </row>
    <row r="189" spans="1:12">
      <c r="A189" s="9">
        <v>177</v>
      </c>
      <c r="B189" s="8">
        <v>701.29100000000005</v>
      </c>
      <c r="C189" s="8">
        <f t="shared" si="28"/>
        <v>1.3140000000000782</v>
      </c>
      <c r="D189" s="8">
        <f t="shared" si="21"/>
        <v>1.3215777815545913</v>
      </c>
      <c r="E189" s="8">
        <f t="shared" si="22"/>
        <v>1.0616604361005504</v>
      </c>
      <c r="F189" s="8">
        <f t="shared" si="29"/>
        <v>0</v>
      </c>
      <c r="G189" s="8">
        <f t="shared" si="30"/>
        <v>3.5254911485809703</v>
      </c>
      <c r="H189" s="8">
        <f t="shared" si="23"/>
        <v>1.0791218697829723</v>
      </c>
      <c r="I189" s="8">
        <f t="shared" si="24"/>
        <v>0</v>
      </c>
      <c r="J189" s="2" t="str">
        <f t="shared" si="25"/>
        <v>Y</v>
      </c>
      <c r="K189" s="2" t="str">
        <f t="shared" si="26"/>
        <v/>
      </c>
      <c r="L189" s="2" t="str">
        <f t="shared" si="27"/>
        <v/>
      </c>
    </row>
    <row r="190" spans="1:12">
      <c r="A190" s="9">
        <v>178</v>
      </c>
      <c r="B190" s="8">
        <v>701.601</v>
      </c>
      <c r="C190" s="8">
        <f t="shared" si="28"/>
        <v>0.30999999999994543</v>
      </c>
      <c r="D190" s="8">
        <f t="shared" si="21"/>
        <v>1.3215777815545913</v>
      </c>
      <c r="E190" s="8">
        <f t="shared" si="22"/>
        <v>1.0616604361005504</v>
      </c>
      <c r="F190" s="8">
        <f t="shared" si="29"/>
        <v>0</v>
      </c>
      <c r="G190" s="8">
        <f t="shared" si="30"/>
        <v>3.5254911485809703</v>
      </c>
      <c r="H190" s="8">
        <f t="shared" si="23"/>
        <v>1.0791218697829723</v>
      </c>
      <c r="I190" s="8">
        <f t="shared" si="24"/>
        <v>0</v>
      </c>
      <c r="J190" s="2" t="str">
        <f t="shared" si="25"/>
        <v>Y</v>
      </c>
      <c r="K190" s="2" t="str">
        <f t="shared" si="26"/>
        <v/>
      </c>
      <c r="L190" s="2" t="str">
        <f t="shared" si="27"/>
        <v/>
      </c>
    </row>
    <row r="191" spans="1:12">
      <c r="A191" s="9">
        <v>179</v>
      </c>
      <c r="B191" s="8">
        <v>700.428</v>
      </c>
      <c r="C191" s="8">
        <f t="shared" si="28"/>
        <v>1.1730000000000018</v>
      </c>
      <c r="D191" s="8">
        <f t="shared" si="21"/>
        <v>1.3215777815545913</v>
      </c>
      <c r="E191" s="8">
        <f t="shared" si="22"/>
        <v>1.0616604361005504</v>
      </c>
      <c r="F191" s="8">
        <f t="shared" si="29"/>
        <v>0</v>
      </c>
      <c r="G191" s="8">
        <f t="shared" si="30"/>
        <v>3.5254911485809703</v>
      </c>
      <c r="H191" s="8">
        <f t="shared" si="23"/>
        <v>1.0791218697829723</v>
      </c>
      <c r="I191" s="8">
        <f t="shared" si="24"/>
        <v>0</v>
      </c>
      <c r="J191" s="2" t="str">
        <f t="shared" si="25"/>
        <v>Y</v>
      </c>
      <c r="K191" s="2" t="str">
        <f t="shared" si="26"/>
        <v/>
      </c>
      <c r="L191" s="2" t="str">
        <f t="shared" si="27"/>
        <v/>
      </c>
    </row>
    <row r="192" spans="1:12">
      <c r="A192" s="9">
        <v>180</v>
      </c>
      <c r="B192" s="8">
        <v>699.99300000000005</v>
      </c>
      <c r="C192" s="8">
        <f t="shared" si="28"/>
        <v>0.43499999999994543</v>
      </c>
      <c r="D192" s="8">
        <f t="shared" si="21"/>
        <v>1.3215777815545913</v>
      </c>
      <c r="E192" s="8">
        <f t="shared" si="22"/>
        <v>1.0616604361005504</v>
      </c>
      <c r="F192" s="8">
        <f t="shared" si="29"/>
        <v>0</v>
      </c>
      <c r="G192" s="8">
        <f t="shared" si="30"/>
        <v>3.5254911485809703</v>
      </c>
      <c r="H192" s="8">
        <f t="shared" si="23"/>
        <v>1.0791218697829723</v>
      </c>
      <c r="I192" s="8">
        <f t="shared" si="24"/>
        <v>0</v>
      </c>
      <c r="J192" s="2" t="str">
        <f t="shared" si="25"/>
        <v>Y</v>
      </c>
      <c r="K192" s="2" t="str">
        <f t="shared" si="26"/>
        <v/>
      </c>
      <c r="L192" s="2" t="str">
        <f t="shared" si="27"/>
        <v/>
      </c>
    </row>
    <row r="193" spans="1:12">
      <c r="A193" s="9">
        <v>181</v>
      </c>
      <c r="B193" s="8">
        <v>701.125</v>
      </c>
      <c r="C193" s="8">
        <f t="shared" si="28"/>
        <v>1.1319999999999482</v>
      </c>
      <c r="D193" s="8">
        <f t="shared" si="21"/>
        <v>1.3215777815545913</v>
      </c>
      <c r="E193" s="8">
        <f t="shared" si="22"/>
        <v>1.0616604361005504</v>
      </c>
      <c r="F193" s="8">
        <f t="shared" si="29"/>
        <v>0</v>
      </c>
      <c r="G193" s="8">
        <f t="shared" si="30"/>
        <v>3.5254911485809703</v>
      </c>
      <c r="H193" s="8">
        <f t="shared" si="23"/>
        <v>1.0791218697829723</v>
      </c>
      <c r="I193" s="8">
        <f t="shared" si="24"/>
        <v>0</v>
      </c>
      <c r="J193" s="2" t="str">
        <f t="shared" si="25"/>
        <v>Y</v>
      </c>
      <c r="K193" s="2" t="str">
        <f t="shared" si="26"/>
        <v/>
      </c>
      <c r="L193" s="2" t="str">
        <f t="shared" si="27"/>
        <v/>
      </c>
    </row>
    <row r="194" spans="1:12">
      <c r="A194" s="9">
        <v>182</v>
      </c>
      <c r="B194" s="8">
        <v>699.89</v>
      </c>
      <c r="C194" s="8">
        <f t="shared" si="28"/>
        <v>1.2350000000000136</v>
      </c>
      <c r="D194" s="8">
        <f t="shared" si="21"/>
        <v>1.3215777815545913</v>
      </c>
      <c r="E194" s="8">
        <f t="shared" si="22"/>
        <v>1.0616604361005504</v>
      </c>
      <c r="F194" s="8">
        <f t="shared" si="29"/>
        <v>0</v>
      </c>
      <c r="G194" s="8">
        <f t="shared" si="30"/>
        <v>3.5254911485809703</v>
      </c>
      <c r="H194" s="8">
        <f t="shared" si="23"/>
        <v>1.0791218697829723</v>
      </c>
      <c r="I194" s="8">
        <f t="shared" si="24"/>
        <v>0</v>
      </c>
      <c r="J194" s="2" t="str">
        <f t="shared" si="25"/>
        <v>Y</v>
      </c>
      <c r="K194" s="2" t="str">
        <f t="shared" si="26"/>
        <v/>
      </c>
      <c r="L194" s="2" t="str">
        <f t="shared" si="27"/>
        <v/>
      </c>
    </row>
    <row r="195" spans="1:12">
      <c r="A195" s="9">
        <v>183</v>
      </c>
      <c r="B195" s="8">
        <v>700.65</v>
      </c>
      <c r="C195" s="8">
        <f t="shared" si="28"/>
        <v>0.75999999999999091</v>
      </c>
      <c r="D195" s="8">
        <f t="shared" si="21"/>
        <v>1.3215777815545913</v>
      </c>
      <c r="E195" s="8">
        <f t="shared" si="22"/>
        <v>1.0616604361005504</v>
      </c>
      <c r="F195" s="8">
        <f t="shared" si="29"/>
        <v>0</v>
      </c>
      <c r="G195" s="8">
        <f t="shared" si="30"/>
        <v>3.5254911485809703</v>
      </c>
      <c r="H195" s="8">
        <f t="shared" si="23"/>
        <v>1.0791218697829723</v>
      </c>
      <c r="I195" s="8">
        <f t="shared" si="24"/>
        <v>0</v>
      </c>
      <c r="J195" s="2" t="str">
        <f t="shared" si="25"/>
        <v>Y</v>
      </c>
      <c r="K195" s="2" t="str">
        <f t="shared" si="26"/>
        <v/>
      </c>
      <c r="L195" s="2" t="str">
        <f t="shared" si="27"/>
        <v/>
      </c>
    </row>
    <row r="196" spans="1:12">
      <c r="A196" s="9">
        <v>184</v>
      </c>
      <c r="B196" s="8">
        <v>699.81299999999999</v>
      </c>
      <c r="C196" s="8">
        <f t="shared" si="28"/>
        <v>0.83699999999998909</v>
      </c>
      <c r="D196" s="8">
        <f t="shared" si="21"/>
        <v>1.3215777815545913</v>
      </c>
      <c r="E196" s="8">
        <f t="shared" si="22"/>
        <v>1.0616604361005504</v>
      </c>
      <c r="F196" s="8">
        <f t="shared" si="29"/>
        <v>0</v>
      </c>
      <c r="G196" s="8">
        <f t="shared" si="30"/>
        <v>3.5254911485809703</v>
      </c>
      <c r="H196" s="8">
        <f t="shared" si="23"/>
        <v>1.0791218697829723</v>
      </c>
      <c r="I196" s="8">
        <f t="shared" si="24"/>
        <v>0</v>
      </c>
      <c r="J196" s="2" t="str">
        <f t="shared" si="25"/>
        <v>Y</v>
      </c>
      <c r="K196" s="2" t="str">
        <f t="shared" si="26"/>
        <v/>
      </c>
      <c r="L196" s="2" t="str">
        <f t="shared" si="27"/>
        <v/>
      </c>
    </row>
    <row r="197" spans="1:12">
      <c r="A197" s="9">
        <v>185</v>
      </c>
      <c r="B197" s="8">
        <v>700.452</v>
      </c>
      <c r="C197" s="8">
        <f t="shared" si="28"/>
        <v>0.63900000000001</v>
      </c>
      <c r="D197" s="8">
        <f t="shared" si="21"/>
        <v>1.3215777815545913</v>
      </c>
      <c r="E197" s="8">
        <f t="shared" si="22"/>
        <v>1.0616604361005504</v>
      </c>
      <c r="F197" s="8">
        <f t="shared" si="29"/>
        <v>0</v>
      </c>
      <c r="G197" s="8">
        <f t="shared" si="30"/>
        <v>3.5254911485809703</v>
      </c>
      <c r="H197" s="8">
        <f t="shared" si="23"/>
        <v>1.0791218697829723</v>
      </c>
      <c r="I197" s="8">
        <f t="shared" si="24"/>
        <v>0</v>
      </c>
      <c r="J197" s="2" t="str">
        <f t="shared" si="25"/>
        <v>Y</v>
      </c>
      <c r="K197" s="2" t="str">
        <f t="shared" si="26"/>
        <v/>
      </c>
      <c r="L197" s="2" t="str">
        <f t="shared" si="27"/>
        <v/>
      </c>
    </row>
    <row r="198" spans="1:12">
      <c r="A198" s="9">
        <v>186</v>
      </c>
      <c r="B198" s="8">
        <v>700.82100000000003</v>
      </c>
      <c r="C198" s="8">
        <f t="shared" si="28"/>
        <v>0.36900000000002819</v>
      </c>
      <c r="D198" s="8">
        <f t="shared" si="21"/>
        <v>1.3215777815545913</v>
      </c>
      <c r="E198" s="8">
        <f t="shared" si="22"/>
        <v>1.0616604361005504</v>
      </c>
      <c r="F198" s="8">
        <f t="shared" si="29"/>
        <v>0</v>
      </c>
      <c r="G198" s="8">
        <f t="shared" si="30"/>
        <v>3.5254911485809703</v>
      </c>
      <c r="H198" s="8">
        <f t="shared" si="23"/>
        <v>1.0791218697829723</v>
      </c>
      <c r="I198" s="8">
        <f t="shared" si="24"/>
        <v>0</v>
      </c>
      <c r="J198" s="2" t="str">
        <f t="shared" si="25"/>
        <v>Y</v>
      </c>
      <c r="K198" s="2" t="str">
        <f t="shared" si="26"/>
        <v/>
      </c>
      <c r="L198" s="2" t="str">
        <f t="shared" si="27"/>
        <v/>
      </c>
    </row>
    <row r="199" spans="1:12">
      <c r="A199" s="9">
        <v>187</v>
      </c>
      <c r="B199" s="8">
        <v>700.73599999999999</v>
      </c>
      <c r="C199" s="8">
        <f t="shared" si="28"/>
        <v>8.500000000003638E-2</v>
      </c>
      <c r="D199" s="8">
        <f t="shared" si="21"/>
        <v>1.3215777815545913</v>
      </c>
      <c r="E199" s="8">
        <f t="shared" si="22"/>
        <v>1.0616604361005504</v>
      </c>
      <c r="F199" s="8">
        <f t="shared" si="29"/>
        <v>0</v>
      </c>
      <c r="G199" s="8">
        <f t="shared" si="30"/>
        <v>3.5254911485809703</v>
      </c>
      <c r="H199" s="8">
        <f t="shared" si="23"/>
        <v>1.0791218697829723</v>
      </c>
      <c r="I199" s="8">
        <f t="shared" si="24"/>
        <v>0</v>
      </c>
      <c r="J199" s="2" t="str">
        <f t="shared" si="25"/>
        <v>Y</v>
      </c>
      <c r="K199" s="2" t="str">
        <f t="shared" si="26"/>
        <v/>
      </c>
      <c r="L199" s="2" t="str">
        <f t="shared" si="27"/>
        <v/>
      </c>
    </row>
    <row r="200" spans="1:12">
      <c r="A200" s="9">
        <v>188</v>
      </c>
      <c r="B200" s="8">
        <v>700.79600000000005</v>
      </c>
      <c r="C200" s="8">
        <f t="shared" si="28"/>
        <v>6.0000000000059117E-2</v>
      </c>
      <c r="D200" s="8">
        <f t="shared" si="21"/>
        <v>1.3215777815545913</v>
      </c>
      <c r="E200" s="8">
        <f t="shared" si="22"/>
        <v>1.0616604361005504</v>
      </c>
      <c r="F200" s="8">
        <f t="shared" si="29"/>
        <v>0</v>
      </c>
      <c r="G200" s="8">
        <f t="shared" si="30"/>
        <v>3.5254911485809703</v>
      </c>
      <c r="H200" s="8">
        <f t="shared" si="23"/>
        <v>1.0791218697829723</v>
      </c>
      <c r="I200" s="8">
        <f t="shared" si="24"/>
        <v>0</v>
      </c>
      <c r="J200" s="2" t="str">
        <f t="shared" si="25"/>
        <v>Y</v>
      </c>
      <c r="K200" s="2" t="str">
        <f t="shared" si="26"/>
        <v/>
      </c>
      <c r="L200" s="2" t="str">
        <f t="shared" si="27"/>
        <v/>
      </c>
    </row>
    <row r="201" spans="1:12">
      <c r="A201" s="9">
        <v>189</v>
      </c>
      <c r="B201" s="8">
        <v>701.096</v>
      </c>
      <c r="C201" s="8">
        <f t="shared" si="28"/>
        <v>0.29999999999995453</v>
      </c>
      <c r="D201" s="8">
        <f t="shared" si="21"/>
        <v>1.3215777815545913</v>
      </c>
      <c r="E201" s="8">
        <f t="shared" si="22"/>
        <v>1.0616604361005504</v>
      </c>
      <c r="F201" s="8">
        <f t="shared" si="29"/>
        <v>0</v>
      </c>
      <c r="G201" s="8">
        <f t="shared" si="30"/>
        <v>3.5254911485809703</v>
      </c>
      <c r="H201" s="8">
        <f t="shared" si="23"/>
        <v>1.0791218697829723</v>
      </c>
      <c r="I201" s="8">
        <f t="shared" si="24"/>
        <v>0</v>
      </c>
      <c r="J201" s="2" t="str">
        <f t="shared" si="25"/>
        <v>Y</v>
      </c>
      <c r="K201" s="2" t="str">
        <f t="shared" si="26"/>
        <v/>
      </c>
      <c r="L201" s="2" t="str">
        <f t="shared" si="27"/>
        <v/>
      </c>
    </row>
    <row r="202" spans="1:12">
      <c r="A202" s="9">
        <v>190</v>
      </c>
      <c r="B202" s="8">
        <v>701.16700000000003</v>
      </c>
      <c r="C202" s="8">
        <f t="shared" si="28"/>
        <v>7.1000000000026375E-2</v>
      </c>
      <c r="D202" s="8">
        <f t="shared" si="21"/>
        <v>1.3215777815545913</v>
      </c>
      <c r="E202" s="8">
        <f t="shared" si="22"/>
        <v>1.0616604361005504</v>
      </c>
      <c r="F202" s="8">
        <f t="shared" si="29"/>
        <v>0</v>
      </c>
      <c r="G202" s="8">
        <f t="shared" si="30"/>
        <v>3.5254911485809703</v>
      </c>
      <c r="H202" s="8">
        <f t="shared" si="23"/>
        <v>1.0791218697829723</v>
      </c>
      <c r="I202" s="8">
        <f t="shared" si="24"/>
        <v>0</v>
      </c>
      <c r="J202" s="2" t="str">
        <f t="shared" si="25"/>
        <v>Y</v>
      </c>
      <c r="K202" s="2" t="str">
        <f t="shared" si="26"/>
        <v/>
      </c>
      <c r="L202" s="2" t="str">
        <f t="shared" si="27"/>
        <v/>
      </c>
    </row>
    <row r="203" spans="1:12">
      <c r="A203" s="9">
        <v>191</v>
      </c>
      <c r="B203" s="8">
        <v>701.04200000000003</v>
      </c>
      <c r="C203" s="8">
        <f t="shared" si="28"/>
        <v>0.125</v>
      </c>
      <c r="D203" s="8">
        <f t="shared" si="21"/>
        <v>1.3215777815545913</v>
      </c>
      <c r="E203" s="8">
        <f t="shared" si="22"/>
        <v>1.0616604361005504</v>
      </c>
      <c r="F203" s="8">
        <f t="shared" si="29"/>
        <v>0</v>
      </c>
      <c r="G203" s="8">
        <f t="shared" si="30"/>
        <v>3.5254911485809703</v>
      </c>
      <c r="H203" s="8">
        <f t="shared" si="23"/>
        <v>1.0791218697829723</v>
      </c>
      <c r="I203" s="8">
        <f t="shared" si="24"/>
        <v>0</v>
      </c>
      <c r="J203" s="2" t="str">
        <f t="shared" si="25"/>
        <v>Y</v>
      </c>
      <c r="K203" s="2" t="str">
        <f t="shared" si="26"/>
        <v/>
      </c>
      <c r="L203" s="2" t="str">
        <f t="shared" si="27"/>
        <v/>
      </c>
    </row>
    <row r="204" spans="1:12">
      <c r="A204" s="9">
        <v>192</v>
      </c>
      <c r="B204" s="8">
        <v>701.14099999999996</v>
      </c>
      <c r="C204" s="8">
        <f t="shared" si="28"/>
        <v>9.8999999999932697E-2</v>
      </c>
      <c r="D204" s="8">
        <f t="shared" si="21"/>
        <v>1.3215777815545913</v>
      </c>
      <c r="E204" s="8">
        <f t="shared" si="22"/>
        <v>1.0616604361005504</v>
      </c>
      <c r="F204" s="8">
        <f t="shared" si="29"/>
        <v>0</v>
      </c>
      <c r="G204" s="8">
        <f t="shared" si="30"/>
        <v>3.5254911485809703</v>
      </c>
      <c r="H204" s="8">
        <f t="shared" si="23"/>
        <v>1.0791218697829723</v>
      </c>
      <c r="I204" s="8">
        <f t="shared" si="24"/>
        <v>0</v>
      </c>
      <c r="J204" s="2" t="str">
        <f t="shared" si="25"/>
        <v>Y</v>
      </c>
      <c r="K204" s="2" t="str">
        <f t="shared" si="26"/>
        <v/>
      </c>
      <c r="L204" s="2" t="str">
        <f t="shared" si="27"/>
        <v/>
      </c>
    </row>
    <row r="205" spans="1:12">
      <c r="A205" s="9">
        <v>193</v>
      </c>
      <c r="B205" s="8">
        <v>701.24199999999996</v>
      </c>
      <c r="C205" s="8">
        <f t="shared" si="28"/>
        <v>0.10099999999999909</v>
      </c>
      <c r="D205" s="8">
        <f t="shared" ref="D205:D268" si="31">$G$13</f>
        <v>1.3215777815545913</v>
      </c>
      <c r="E205" s="8">
        <f t="shared" ref="E205:E268" si="32">$G$14</f>
        <v>1.0616604361005504</v>
      </c>
      <c r="F205" s="8">
        <f t="shared" si="29"/>
        <v>0</v>
      </c>
      <c r="G205" s="8">
        <f t="shared" si="30"/>
        <v>3.5254911485809703</v>
      </c>
      <c r="H205" s="8">
        <f t="shared" ref="H205:H268" si="33">$G$17</f>
        <v>1.0791218697829723</v>
      </c>
      <c r="I205" s="8">
        <f t="shared" ref="I205:I268" si="34">$G$18</f>
        <v>0</v>
      </c>
      <c r="J205" s="2" t="str">
        <f t="shared" ref="J205:J268" si="35">IF(OR(B205&gt;D205,B205&lt;F205),"Y","")</f>
        <v>Y</v>
      </c>
      <c r="K205" s="2" t="str">
        <f t="shared" ref="K205:K268" si="36">IF(AND(C205&lt;&gt;"",C205&gt;G205),"Y","")</f>
        <v/>
      </c>
      <c r="L205" s="2" t="str">
        <f t="shared" ref="L205:L268" si="37">IF(OR(B205&lt;$B$5,B205&gt;$D$5),"Y","")</f>
        <v/>
      </c>
    </row>
    <row r="206" spans="1:12">
      <c r="A206" s="9">
        <v>194</v>
      </c>
      <c r="B206" s="8">
        <v>700.87400000000002</v>
      </c>
      <c r="C206" s="8">
        <f t="shared" ref="C206:C269" si="38">ABS(B206-B205)</f>
        <v>0.36799999999993815</v>
      </c>
      <c r="D206" s="8">
        <f t="shared" si="31"/>
        <v>1.3215777815545913</v>
      </c>
      <c r="E206" s="8">
        <f t="shared" si="32"/>
        <v>1.0616604361005504</v>
      </c>
      <c r="F206" s="8">
        <f t="shared" si="29"/>
        <v>0</v>
      </c>
      <c r="G206" s="8">
        <f t="shared" si="30"/>
        <v>3.5254911485809703</v>
      </c>
      <c r="H206" s="8">
        <f t="shared" si="33"/>
        <v>1.0791218697829723</v>
      </c>
      <c r="I206" s="8">
        <f t="shared" si="34"/>
        <v>0</v>
      </c>
      <c r="J206" s="2" t="str">
        <f t="shared" si="35"/>
        <v>Y</v>
      </c>
      <c r="K206" s="2" t="str">
        <f t="shared" si="36"/>
        <v/>
      </c>
      <c r="L206" s="2" t="str">
        <f t="shared" si="37"/>
        <v/>
      </c>
    </row>
    <row r="207" spans="1:12">
      <c r="A207" s="9">
        <v>195</v>
      </c>
      <c r="B207" s="8">
        <v>700.69500000000005</v>
      </c>
      <c r="C207" s="8">
        <f t="shared" si="38"/>
        <v>0.17899999999997362</v>
      </c>
      <c r="D207" s="8">
        <f t="shared" si="31"/>
        <v>1.3215777815545913</v>
      </c>
      <c r="E207" s="8">
        <f t="shared" si="32"/>
        <v>1.0616604361005504</v>
      </c>
      <c r="F207" s="8">
        <f t="shared" si="29"/>
        <v>0</v>
      </c>
      <c r="G207" s="8">
        <f t="shared" si="30"/>
        <v>3.5254911485809703</v>
      </c>
      <c r="H207" s="8">
        <f t="shared" si="33"/>
        <v>1.0791218697829723</v>
      </c>
      <c r="I207" s="8">
        <f t="shared" si="34"/>
        <v>0</v>
      </c>
      <c r="J207" s="2" t="str">
        <f t="shared" si="35"/>
        <v>Y</v>
      </c>
      <c r="K207" s="2" t="str">
        <f t="shared" si="36"/>
        <v/>
      </c>
      <c r="L207" s="2" t="str">
        <f t="shared" si="37"/>
        <v/>
      </c>
    </row>
    <row r="208" spans="1:12">
      <c r="A208" s="9">
        <v>196</v>
      </c>
      <c r="B208" s="8">
        <v>700.351</v>
      </c>
      <c r="C208" s="8">
        <f t="shared" si="38"/>
        <v>0.34400000000005093</v>
      </c>
      <c r="D208" s="8">
        <f t="shared" si="31"/>
        <v>1.3215777815545913</v>
      </c>
      <c r="E208" s="8">
        <f t="shared" si="32"/>
        <v>1.0616604361005504</v>
      </c>
      <c r="F208" s="8">
        <f t="shared" ref="F208:F271" si="39">$G$15</f>
        <v>0</v>
      </c>
      <c r="G208" s="8">
        <f t="shared" si="30"/>
        <v>3.5254911485809703</v>
      </c>
      <c r="H208" s="8">
        <f t="shared" si="33"/>
        <v>1.0791218697829723</v>
      </c>
      <c r="I208" s="8">
        <f t="shared" si="34"/>
        <v>0</v>
      </c>
      <c r="J208" s="2" t="str">
        <f t="shared" si="35"/>
        <v>Y</v>
      </c>
      <c r="K208" s="2" t="str">
        <f t="shared" si="36"/>
        <v/>
      </c>
      <c r="L208" s="2" t="str">
        <f t="shared" si="37"/>
        <v/>
      </c>
    </row>
    <row r="209" spans="1:12">
      <c r="A209" s="9">
        <v>197</v>
      </c>
      <c r="B209" s="8">
        <v>699.97500000000002</v>
      </c>
      <c r="C209" s="8">
        <f t="shared" si="38"/>
        <v>0.37599999999997635</v>
      </c>
      <c r="D209" s="8">
        <f t="shared" si="31"/>
        <v>1.3215777815545913</v>
      </c>
      <c r="E209" s="8">
        <f t="shared" si="32"/>
        <v>1.0616604361005504</v>
      </c>
      <c r="F209" s="8">
        <f t="shared" si="39"/>
        <v>0</v>
      </c>
      <c r="G209" s="8">
        <f t="shared" si="30"/>
        <v>3.5254911485809703</v>
      </c>
      <c r="H209" s="8">
        <f t="shared" si="33"/>
        <v>1.0791218697829723</v>
      </c>
      <c r="I209" s="8">
        <f t="shared" si="34"/>
        <v>0</v>
      </c>
      <c r="J209" s="2" t="str">
        <f t="shared" si="35"/>
        <v>Y</v>
      </c>
      <c r="K209" s="2" t="str">
        <f t="shared" si="36"/>
        <v/>
      </c>
      <c r="L209" s="2" t="str">
        <f t="shared" si="37"/>
        <v/>
      </c>
    </row>
    <row r="210" spans="1:12">
      <c r="A210" s="9">
        <v>198</v>
      </c>
      <c r="B210" s="8">
        <v>700.51</v>
      </c>
      <c r="C210" s="8">
        <f t="shared" si="38"/>
        <v>0.53499999999996817</v>
      </c>
      <c r="D210" s="8">
        <f t="shared" si="31"/>
        <v>1.3215777815545913</v>
      </c>
      <c r="E210" s="8">
        <f t="shared" si="32"/>
        <v>1.0616604361005504</v>
      </c>
      <c r="F210" s="8">
        <f t="shared" si="39"/>
        <v>0</v>
      </c>
      <c r="G210" s="8">
        <f t="shared" si="30"/>
        <v>3.5254911485809703</v>
      </c>
      <c r="H210" s="8">
        <f t="shared" si="33"/>
        <v>1.0791218697829723</v>
      </c>
      <c r="I210" s="8">
        <f t="shared" si="34"/>
        <v>0</v>
      </c>
      <c r="J210" s="2" t="str">
        <f t="shared" si="35"/>
        <v>Y</v>
      </c>
      <c r="K210" s="2" t="str">
        <f t="shared" si="36"/>
        <v/>
      </c>
      <c r="L210" s="2" t="str">
        <f t="shared" si="37"/>
        <v/>
      </c>
    </row>
    <row r="211" spans="1:12">
      <c r="A211" s="9">
        <v>199</v>
      </c>
      <c r="B211" s="8">
        <v>702.35900000000004</v>
      </c>
      <c r="C211" s="8">
        <f t="shared" si="38"/>
        <v>1.8490000000000464</v>
      </c>
      <c r="D211" s="8">
        <f t="shared" si="31"/>
        <v>1.3215777815545913</v>
      </c>
      <c r="E211" s="8">
        <f t="shared" si="32"/>
        <v>1.0616604361005504</v>
      </c>
      <c r="F211" s="8">
        <f t="shared" si="39"/>
        <v>0</v>
      </c>
      <c r="G211" s="8">
        <f t="shared" ref="G211:G274" si="40">$G$16</f>
        <v>3.5254911485809703</v>
      </c>
      <c r="H211" s="8">
        <f t="shared" si="33"/>
        <v>1.0791218697829723</v>
      </c>
      <c r="I211" s="8">
        <f t="shared" si="34"/>
        <v>0</v>
      </c>
      <c r="J211" s="2" t="str">
        <f t="shared" si="35"/>
        <v>Y</v>
      </c>
      <c r="K211" s="2" t="str">
        <f t="shared" si="36"/>
        <v/>
      </c>
      <c r="L211" s="2" t="str">
        <f t="shared" si="37"/>
        <v/>
      </c>
    </row>
    <row r="212" spans="1:12">
      <c r="A212" s="9">
        <v>200</v>
      </c>
      <c r="B212" s="8">
        <v>700.93899999999996</v>
      </c>
      <c r="C212" s="8">
        <f t="shared" si="38"/>
        <v>1.4200000000000728</v>
      </c>
      <c r="D212" s="8">
        <f t="shared" si="31"/>
        <v>1.3215777815545913</v>
      </c>
      <c r="E212" s="8">
        <f t="shared" si="32"/>
        <v>1.0616604361005504</v>
      </c>
      <c r="F212" s="8">
        <f t="shared" si="39"/>
        <v>0</v>
      </c>
      <c r="G212" s="8">
        <f t="shared" si="40"/>
        <v>3.5254911485809703</v>
      </c>
      <c r="H212" s="8">
        <f t="shared" si="33"/>
        <v>1.0791218697829723</v>
      </c>
      <c r="I212" s="8">
        <f t="shared" si="34"/>
        <v>0</v>
      </c>
      <c r="J212" s="2" t="str">
        <f t="shared" si="35"/>
        <v>Y</v>
      </c>
      <c r="K212" s="2" t="str">
        <f t="shared" si="36"/>
        <v/>
      </c>
      <c r="L212" s="2" t="str">
        <f t="shared" si="37"/>
        <v/>
      </c>
    </row>
    <row r="213" spans="1:12">
      <c r="A213" s="9">
        <v>201</v>
      </c>
      <c r="B213" s="8">
        <v>701.16300000000001</v>
      </c>
      <c r="C213" s="8">
        <f t="shared" si="38"/>
        <v>0.22400000000004638</v>
      </c>
      <c r="D213" s="8">
        <f t="shared" si="31"/>
        <v>1.3215777815545913</v>
      </c>
      <c r="E213" s="8">
        <f t="shared" si="32"/>
        <v>1.0616604361005504</v>
      </c>
      <c r="F213" s="8">
        <f t="shared" si="39"/>
        <v>0</v>
      </c>
      <c r="G213" s="8">
        <f t="shared" si="40"/>
        <v>3.5254911485809703</v>
      </c>
      <c r="H213" s="8">
        <f t="shared" si="33"/>
        <v>1.0791218697829723</v>
      </c>
      <c r="I213" s="8">
        <f t="shared" si="34"/>
        <v>0</v>
      </c>
      <c r="J213" s="2" t="str">
        <f t="shared" si="35"/>
        <v>Y</v>
      </c>
      <c r="K213" s="2" t="str">
        <f t="shared" si="36"/>
        <v/>
      </c>
      <c r="L213" s="2" t="str">
        <f t="shared" si="37"/>
        <v/>
      </c>
    </row>
    <row r="214" spans="1:12">
      <c r="A214" s="9">
        <v>202</v>
      </c>
      <c r="B214" s="8">
        <v>700.61400000000003</v>
      </c>
      <c r="C214" s="8">
        <f t="shared" si="38"/>
        <v>0.54899999999997817</v>
      </c>
      <c r="D214" s="8">
        <f t="shared" si="31"/>
        <v>1.3215777815545913</v>
      </c>
      <c r="E214" s="8">
        <f t="shared" si="32"/>
        <v>1.0616604361005504</v>
      </c>
      <c r="F214" s="8">
        <f t="shared" si="39"/>
        <v>0</v>
      </c>
      <c r="G214" s="8">
        <f t="shared" si="40"/>
        <v>3.5254911485809703</v>
      </c>
      <c r="H214" s="8">
        <f t="shared" si="33"/>
        <v>1.0791218697829723</v>
      </c>
      <c r="I214" s="8">
        <f t="shared" si="34"/>
        <v>0</v>
      </c>
      <c r="J214" s="2" t="str">
        <f t="shared" si="35"/>
        <v>Y</v>
      </c>
      <c r="K214" s="2" t="str">
        <f t="shared" si="36"/>
        <v/>
      </c>
      <c r="L214" s="2" t="str">
        <f t="shared" si="37"/>
        <v/>
      </c>
    </row>
    <row r="215" spans="1:12">
      <c r="A215" s="9">
        <v>203</v>
      </c>
      <c r="B215" s="8">
        <v>699.76300000000003</v>
      </c>
      <c r="C215" s="8">
        <f t="shared" si="38"/>
        <v>0.85099999999999909</v>
      </c>
      <c r="D215" s="8">
        <f t="shared" si="31"/>
        <v>1.3215777815545913</v>
      </c>
      <c r="E215" s="8">
        <f t="shared" si="32"/>
        <v>1.0616604361005504</v>
      </c>
      <c r="F215" s="8">
        <f t="shared" si="39"/>
        <v>0</v>
      </c>
      <c r="G215" s="8">
        <f t="shared" si="40"/>
        <v>3.5254911485809703</v>
      </c>
      <c r="H215" s="8">
        <f t="shared" si="33"/>
        <v>1.0791218697829723</v>
      </c>
      <c r="I215" s="8">
        <f t="shared" si="34"/>
        <v>0</v>
      </c>
      <c r="J215" s="2" t="str">
        <f t="shared" si="35"/>
        <v>Y</v>
      </c>
      <c r="K215" s="2" t="str">
        <f t="shared" si="36"/>
        <v/>
      </c>
      <c r="L215" s="2" t="str">
        <f t="shared" si="37"/>
        <v/>
      </c>
    </row>
    <row r="216" spans="1:12">
      <c r="A216" s="9">
        <v>204</v>
      </c>
      <c r="B216" s="8">
        <v>700.08100000000002</v>
      </c>
      <c r="C216" s="8">
        <f t="shared" si="38"/>
        <v>0.31799999999998363</v>
      </c>
      <c r="D216" s="8">
        <f t="shared" si="31"/>
        <v>1.3215777815545913</v>
      </c>
      <c r="E216" s="8">
        <f t="shared" si="32"/>
        <v>1.0616604361005504</v>
      </c>
      <c r="F216" s="8">
        <f t="shared" si="39"/>
        <v>0</v>
      </c>
      <c r="G216" s="8">
        <f t="shared" si="40"/>
        <v>3.5254911485809703</v>
      </c>
      <c r="H216" s="8">
        <f t="shared" si="33"/>
        <v>1.0791218697829723</v>
      </c>
      <c r="I216" s="8">
        <f t="shared" si="34"/>
        <v>0</v>
      </c>
      <c r="J216" s="2" t="str">
        <f t="shared" si="35"/>
        <v>Y</v>
      </c>
      <c r="K216" s="2" t="str">
        <f t="shared" si="36"/>
        <v/>
      </c>
      <c r="L216" s="2" t="str">
        <f t="shared" si="37"/>
        <v/>
      </c>
    </row>
    <row r="217" spans="1:12">
      <c r="A217" s="9">
        <v>205</v>
      </c>
      <c r="B217" s="8">
        <v>699.40800000000002</v>
      </c>
      <c r="C217" s="8">
        <f t="shared" si="38"/>
        <v>0.67300000000000182</v>
      </c>
      <c r="D217" s="8">
        <f t="shared" si="31"/>
        <v>1.3215777815545913</v>
      </c>
      <c r="E217" s="8">
        <f t="shared" si="32"/>
        <v>1.0616604361005504</v>
      </c>
      <c r="F217" s="8">
        <f t="shared" si="39"/>
        <v>0</v>
      </c>
      <c r="G217" s="8">
        <f t="shared" si="40"/>
        <v>3.5254911485809703</v>
      </c>
      <c r="H217" s="8">
        <f t="shared" si="33"/>
        <v>1.0791218697829723</v>
      </c>
      <c r="I217" s="8">
        <f t="shared" si="34"/>
        <v>0</v>
      </c>
      <c r="J217" s="2" t="str">
        <f t="shared" si="35"/>
        <v>Y</v>
      </c>
      <c r="K217" s="2" t="str">
        <f t="shared" si="36"/>
        <v/>
      </c>
      <c r="L217" s="2" t="str">
        <f t="shared" si="37"/>
        <v/>
      </c>
    </row>
    <row r="218" spans="1:12">
      <c r="A218" s="9">
        <v>206</v>
      </c>
      <c r="B218" s="8">
        <v>699.66899999999998</v>
      </c>
      <c r="C218" s="8">
        <f t="shared" si="38"/>
        <v>0.26099999999996726</v>
      </c>
      <c r="D218" s="8">
        <f t="shared" si="31"/>
        <v>1.3215777815545913</v>
      </c>
      <c r="E218" s="8">
        <f t="shared" si="32"/>
        <v>1.0616604361005504</v>
      </c>
      <c r="F218" s="8">
        <f t="shared" si="39"/>
        <v>0</v>
      </c>
      <c r="G218" s="8">
        <f t="shared" si="40"/>
        <v>3.5254911485809703</v>
      </c>
      <c r="H218" s="8">
        <f t="shared" si="33"/>
        <v>1.0791218697829723</v>
      </c>
      <c r="I218" s="8">
        <f t="shared" si="34"/>
        <v>0</v>
      </c>
      <c r="J218" s="2" t="str">
        <f t="shared" si="35"/>
        <v>Y</v>
      </c>
      <c r="K218" s="2" t="str">
        <f t="shared" si="36"/>
        <v/>
      </c>
      <c r="L218" s="2" t="str">
        <f t="shared" si="37"/>
        <v/>
      </c>
    </row>
    <row r="219" spans="1:12">
      <c r="A219" s="9">
        <v>207</v>
      </c>
      <c r="B219" s="8">
        <v>700.56200000000001</v>
      </c>
      <c r="C219" s="8">
        <f t="shared" si="38"/>
        <v>0.8930000000000291</v>
      </c>
      <c r="D219" s="8">
        <f t="shared" si="31"/>
        <v>1.3215777815545913</v>
      </c>
      <c r="E219" s="8">
        <f t="shared" si="32"/>
        <v>1.0616604361005504</v>
      </c>
      <c r="F219" s="8">
        <f t="shared" si="39"/>
        <v>0</v>
      </c>
      <c r="G219" s="8">
        <f t="shared" si="40"/>
        <v>3.5254911485809703</v>
      </c>
      <c r="H219" s="8">
        <f t="shared" si="33"/>
        <v>1.0791218697829723</v>
      </c>
      <c r="I219" s="8">
        <f t="shared" si="34"/>
        <v>0</v>
      </c>
      <c r="J219" s="2" t="str">
        <f t="shared" si="35"/>
        <v>Y</v>
      </c>
      <c r="K219" s="2" t="str">
        <f t="shared" si="36"/>
        <v/>
      </c>
      <c r="L219" s="2" t="str">
        <f t="shared" si="37"/>
        <v/>
      </c>
    </row>
    <row r="220" spans="1:12">
      <c r="A220" s="9">
        <v>208</v>
      </c>
      <c r="B220" s="8">
        <v>699.91600000000005</v>
      </c>
      <c r="C220" s="8">
        <f t="shared" si="38"/>
        <v>0.64599999999995816</v>
      </c>
      <c r="D220" s="8">
        <f t="shared" si="31"/>
        <v>1.3215777815545913</v>
      </c>
      <c r="E220" s="8">
        <f t="shared" si="32"/>
        <v>1.0616604361005504</v>
      </c>
      <c r="F220" s="8">
        <f t="shared" si="39"/>
        <v>0</v>
      </c>
      <c r="G220" s="8">
        <f t="shared" si="40"/>
        <v>3.5254911485809703</v>
      </c>
      <c r="H220" s="8">
        <f t="shared" si="33"/>
        <v>1.0791218697829723</v>
      </c>
      <c r="I220" s="8">
        <f t="shared" si="34"/>
        <v>0</v>
      </c>
      <c r="J220" s="2" t="str">
        <f t="shared" si="35"/>
        <v>Y</v>
      </c>
      <c r="K220" s="2" t="str">
        <f t="shared" si="36"/>
        <v/>
      </c>
      <c r="L220" s="2" t="str">
        <f t="shared" si="37"/>
        <v/>
      </c>
    </row>
    <row r="221" spans="1:12">
      <c r="A221" s="9">
        <v>209</v>
      </c>
      <c r="B221" s="8">
        <v>699.99699999999996</v>
      </c>
      <c r="C221" s="8">
        <f t="shared" si="38"/>
        <v>8.0999999999903594E-2</v>
      </c>
      <c r="D221" s="8">
        <f t="shared" si="31"/>
        <v>1.3215777815545913</v>
      </c>
      <c r="E221" s="8">
        <f t="shared" si="32"/>
        <v>1.0616604361005504</v>
      </c>
      <c r="F221" s="8">
        <f t="shared" si="39"/>
        <v>0</v>
      </c>
      <c r="G221" s="8">
        <f t="shared" si="40"/>
        <v>3.5254911485809703</v>
      </c>
      <c r="H221" s="8">
        <f t="shared" si="33"/>
        <v>1.0791218697829723</v>
      </c>
      <c r="I221" s="8">
        <f t="shared" si="34"/>
        <v>0</v>
      </c>
      <c r="J221" s="2" t="str">
        <f t="shared" si="35"/>
        <v>Y</v>
      </c>
      <c r="K221" s="2" t="str">
        <f t="shared" si="36"/>
        <v/>
      </c>
      <c r="L221" s="2" t="str">
        <f t="shared" si="37"/>
        <v/>
      </c>
    </row>
    <row r="222" spans="1:12">
      <c r="A222" s="9">
        <v>210</v>
      </c>
      <c r="B222" s="8">
        <v>699.79700000000003</v>
      </c>
      <c r="C222" s="8">
        <f t="shared" si="38"/>
        <v>0.19999999999993179</v>
      </c>
      <c r="D222" s="8">
        <f t="shared" si="31"/>
        <v>1.3215777815545913</v>
      </c>
      <c r="E222" s="8">
        <f t="shared" si="32"/>
        <v>1.0616604361005504</v>
      </c>
      <c r="F222" s="8">
        <f t="shared" si="39"/>
        <v>0</v>
      </c>
      <c r="G222" s="8">
        <f t="shared" si="40"/>
        <v>3.5254911485809703</v>
      </c>
      <c r="H222" s="8">
        <f t="shared" si="33"/>
        <v>1.0791218697829723</v>
      </c>
      <c r="I222" s="8">
        <f t="shared" si="34"/>
        <v>0</v>
      </c>
      <c r="J222" s="2" t="str">
        <f t="shared" si="35"/>
        <v>Y</v>
      </c>
      <c r="K222" s="2" t="str">
        <f t="shared" si="36"/>
        <v/>
      </c>
      <c r="L222" s="2" t="str">
        <f t="shared" si="37"/>
        <v/>
      </c>
    </row>
    <row r="223" spans="1:12">
      <c r="A223" s="9">
        <v>211</v>
      </c>
      <c r="B223" s="8">
        <v>700.07100000000003</v>
      </c>
      <c r="C223" s="8">
        <f t="shared" si="38"/>
        <v>0.27400000000000091</v>
      </c>
      <c r="D223" s="8">
        <f t="shared" si="31"/>
        <v>1.3215777815545913</v>
      </c>
      <c r="E223" s="8">
        <f t="shared" si="32"/>
        <v>1.0616604361005504</v>
      </c>
      <c r="F223" s="8">
        <f t="shared" si="39"/>
        <v>0</v>
      </c>
      <c r="G223" s="8">
        <f t="shared" si="40"/>
        <v>3.5254911485809703</v>
      </c>
      <c r="H223" s="8">
        <f t="shared" si="33"/>
        <v>1.0791218697829723</v>
      </c>
      <c r="I223" s="8">
        <f t="shared" si="34"/>
        <v>0</v>
      </c>
      <c r="J223" s="2" t="str">
        <f t="shared" si="35"/>
        <v>Y</v>
      </c>
      <c r="K223" s="2" t="str">
        <f t="shared" si="36"/>
        <v/>
      </c>
      <c r="L223" s="2" t="str">
        <f t="shared" si="37"/>
        <v/>
      </c>
    </row>
    <row r="224" spans="1:12">
      <c r="A224" s="9">
        <v>212</v>
      </c>
      <c r="B224" s="8">
        <v>700.54100000000005</v>
      </c>
      <c r="C224" s="8">
        <f t="shared" si="38"/>
        <v>0.47000000000002728</v>
      </c>
      <c r="D224" s="8">
        <f t="shared" si="31"/>
        <v>1.3215777815545913</v>
      </c>
      <c r="E224" s="8">
        <f t="shared" si="32"/>
        <v>1.0616604361005504</v>
      </c>
      <c r="F224" s="8">
        <f t="shared" si="39"/>
        <v>0</v>
      </c>
      <c r="G224" s="8">
        <f t="shared" si="40"/>
        <v>3.5254911485809703</v>
      </c>
      <c r="H224" s="8">
        <f t="shared" si="33"/>
        <v>1.0791218697829723</v>
      </c>
      <c r="I224" s="8">
        <f t="shared" si="34"/>
        <v>0</v>
      </c>
      <c r="J224" s="2" t="str">
        <f t="shared" si="35"/>
        <v>Y</v>
      </c>
      <c r="K224" s="2" t="str">
        <f t="shared" si="36"/>
        <v/>
      </c>
      <c r="L224" s="2" t="str">
        <f t="shared" si="37"/>
        <v/>
      </c>
    </row>
    <row r="225" spans="1:12">
      <c r="A225" s="9">
        <v>213</v>
      </c>
      <c r="B225" s="8">
        <v>699.899</v>
      </c>
      <c r="C225" s="8">
        <f t="shared" si="38"/>
        <v>0.64200000000005275</v>
      </c>
      <c r="D225" s="8">
        <f t="shared" si="31"/>
        <v>1.3215777815545913</v>
      </c>
      <c r="E225" s="8">
        <f t="shared" si="32"/>
        <v>1.0616604361005504</v>
      </c>
      <c r="F225" s="8">
        <f t="shared" si="39"/>
        <v>0</v>
      </c>
      <c r="G225" s="8">
        <f t="shared" si="40"/>
        <v>3.5254911485809703</v>
      </c>
      <c r="H225" s="8">
        <f t="shared" si="33"/>
        <v>1.0791218697829723</v>
      </c>
      <c r="I225" s="8">
        <f t="shared" si="34"/>
        <v>0</v>
      </c>
      <c r="J225" s="2" t="str">
        <f t="shared" si="35"/>
        <v>Y</v>
      </c>
      <c r="K225" s="2" t="str">
        <f t="shared" si="36"/>
        <v/>
      </c>
      <c r="L225" s="2" t="str">
        <f t="shared" si="37"/>
        <v/>
      </c>
    </row>
    <row r="226" spans="1:12">
      <c r="A226" s="9">
        <v>214</v>
      </c>
      <c r="B226" s="8">
        <v>700.34</v>
      </c>
      <c r="C226" s="8">
        <f t="shared" si="38"/>
        <v>0.44100000000003092</v>
      </c>
      <c r="D226" s="8">
        <f t="shared" si="31"/>
        <v>1.3215777815545913</v>
      </c>
      <c r="E226" s="8">
        <f t="shared" si="32"/>
        <v>1.0616604361005504</v>
      </c>
      <c r="F226" s="8">
        <f t="shared" si="39"/>
        <v>0</v>
      </c>
      <c r="G226" s="8">
        <f t="shared" si="40"/>
        <v>3.5254911485809703</v>
      </c>
      <c r="H226" s="8">
        <f t="shared" si="33"/>
        <v>1.0791218697829723</v>
      </c>
      <c r="I226" s="8">
        <f t="shared" si="34"/>
        <v>0</v>
      </c>
      <c r="J226" s="2" t="str">
        <f t="shared" si="35"/>
        <v>Y</v>
      </c>
      <c r="K226" s="2" t="str">
        <f t="shared" si="36"/>
        <v/>
      </c>
      <c r="L226" s="2" t="str">
        <f t="shared" si="37"/>
        <v/>
      </c>
    </row>
    <row r="227" spans="1:12">
      <c r="A227" s="9">
        <v>215</v>
      </c>
      <c r="B227" s="8">
        <v>700.00400000000002</v>
      </c>
      <c r="C227" s="8">
        <f t="shared" si="38"/>
        <v>0.33600000000001273</v>
      </c>
      <c r="D227" s="8">
        <f t="shared" si="31"/>
        <v>1.3215777815545913</v>
      </c>
      <c r="E227" s="8">
        <f t="shared" si="32"/>
        <v>1.0616604361005504</v>
      </c>
      <c r="F227" s="8">
        <f t="shared" si="39"/>
        <v>0</v>
      </c>
      <c r="G227" s="8">
        <f t="shared" si="40"/>
        <v>3.5254911485809703</v>
      </c>
      <c r="H227" s="8">
        <f t="shared" si="33"/>
        <v>1.0791218697829723</v>
      </c>
      <c r="I227" s="8">
        <f t="shared" si="34"/>
        <v>0</v>
      </c>
      <c r="J227" s="2" t="str">
        <f t="shared" si="35"/>
        <v>Y</v>
      </c>
      <c r="K227" s="2" t="str">
        <f t="shared" si="36"/>
        <v/>
      </c>
      <c r="L227" s="2" t="str">
        <f t="shared" si="37"/>
        <v/>
      </c>
    </row>
    <row r="228" spans="1:12">
      <c r="A228" s="9">
        <v>216</v>
      </c>
      <c r="B228" s="8">
        <v>700.56799999999998</v>
      </c>
      <c r="C228" s="8">
        <f t="shared" si="38"/>
        <v>0.56399999999996453</v>
      </c>
      <c r="D228" s="8">
        <f t="shared" si="31"/>
        <v>1.3215777815545913</v>
      </c>
      <c r="E228" s="8">
        <f t="shared" si="32"/>
        <v>1.0616604361005504</v>
      </c>
      <c r="F228" s="8">
        <f t="shared" si="39"/>
        <v>0</v>
      </c>
      <c r="G228" s="8">
        <f t="shared" si="40"/>
        <v>3.5254911485809703</v>
      </c>
      <c r="H228" s="8">
        <f t="shared" si="33"/>
        <v>1.0791218697829723</v>
      </c>
      <c r="I228" s="8">
        <f t="shared" si="34"/>
        <v>0</v>
      </c>
      <c r="J228" s="2" t="str">
        <f t="shared" si="35"/>
        <v>Y</v>
      </c>
      <c r="K228" s="2" t="str">
        <f t="shared" si="36"/>
        <v/>
      </c>
      <c r="L228" s="2" t="str">
        <f t="shared" si="37"/>
        <v/>
      </c>
    </row>
    <row r="229" spans="1:12">
      <c r="A229" s="9">
        <v>217</v>
      </c>
      <c r="B229" s="8">
        <v>700.52700000000004</v>
      </c>
      <c r="C229" s="8">
        <f t="shared" si="38"/>
        <v>4.0999999999939973E-2</v>
      </c>
      <c r="D229" s="8">
        <f t="shared" si="31"/>
        <v>1.3215777815545913</v>
      </c>
      <c r="E229" s="8">
        <f t="shared" si="32"/>
        <v>1.0616604361005504</v>
      </c>
      <c r="F229" s="8">
        <f t="shared" si="39"/>
        <v>0</v>
      </c>
      <c r="G229" s="8">
        <f t="shared" si="40"/>
        <v>3.5254911485809703</v>
      </c>
      <c r="H229" s="8">
        <f t="shared" si="33"/>
        <v>1.0791218697829723</v>
      </c>
      <c r="I229" s="8">
        <f t="shared" si="34"/>
        <v>0</v>
      </c>
      <c r="J229" s="2" t="str">
        <f t="shared" si="35"/>
        <v>Y</v>
      </c>
      <c r="K229" s="2" t="str">
        <f t="shared" si="36"/>
        <v/>
      </c>
      <c r="L229" s="2" t="str">
        <f t="shared" si="37"/>
        <v/>
      </c>
    </row>
    <row r="230" spans="1:12">
      <c r="A230" s="9">
        <v>218</v>
      </c>
      <c r="B230" s="8">
        <v>700.00900000000001</v>
      </c>
      <c r="C230" s="8">
        <f t="shared" si="38"/>
        <v>0.5180000000000291</v>
      </c>
      <c r="D230" s="8">
        <f t="shared" si="31"/>
        <v>1.3215777815545913</v>
      </c>
      <c r="E230" s="8">
        <f t="shared" si="32"/>
        <v>1.0616604361005504</v>
      </c>
      <c r="F230" s="8">
        <f t="shared" si="39"/>
        <v>0</v>
      </c>
      <c r="G230" s="8">
        <f t="shared" si="40"/>
        <v>3.5254911485809703</v>
      </c>
      <c r="H230" s="8">
        <f t="shared" si="33"/>
        <v>1.0791218697829723</v>
      </c>
      <c r="I230" s="8">
        <f t="shared" si="34"/>
        <v>0</v>
      </c>
      <c r="J230" s="2" t="str">
        <f t="shared" si="35"/>
        <v>Y</v>
      </c>
      <c r="K230" s="2" t="str">
        <f t="shared" si="36"/>
        <v/>
      </c>
      <c r="L230" s="2" t="str">
        <f t="shared" si="37"/>
        <v/>
      </c>
    </row>
    <row r="231" spans="1:12">
      <c r="A231" s="9">
        <v>219</v>
      </c>
      <c r="B231" s="8">
        <v>700.12300000000005</v>
      </c>
      <c r="C231" s="8">
        <f t="shared" si="38"/>
        <v>0.11400000000003274</v>
      </c>
      <c r="D231" s="8">
        <f t="shared" si="31"/>
        <v>1.3215777815545913</v>
      </c>
      <c r="E231" s="8">
        <f t="shared" si="32"/>
        <v>1.0616604361005504</v>
      </c>
      <c r="F231" s="8">
        <f t="shared" si="39"/>
        <v>0</v>
      </c>
      <c r="G231" s="8">
        <f t="shared" si="40"/>
        <v>3.5254911485809703</v>
      </c>
      <c r="H231" s="8">
        <f t="shared" si="33"/>
        <v>1.0791218697829723</v>
      </c>
      <c r="I231" s="8">
        <f t="shared" si="34"/>
        <v>0</v>
      </c>
      <c r="J231" s="2" t="str">
        <f t="shared" si="35"/>
        <v>Y</v>
      </c>
      <c r="K231" s="2" t="str">
        <f t="shared" si="36"/>
        <v/>
      </c>
      <c r="L231" s="2" t="str">
        <f t="shared" si="37"/>
        <v/>
      </c>
    </row>
    <row r="232" spans="1:12">
      <c r="A232" s="9">
        <v>220</v>
      </c>
      <c r="B232" s="8">
        <v>700.42600000000004</v>
      </c>
      <c r="C232" s="8">
        <f t="shared" si="38"/>
        <v>0.30299999999999727</v>
      </c>
      <c r="D232" s="8">
        <f t="shared" si="31"/>
        <v>1.3215777815545913</v>
      </c>
      <c r="E232" s="8">
        <f t="shared" si="32"/>
        <v>1.0616604361005504</v>
      </c>
      <c r="F232" s="8">
        <f t="shared" si="39"/>
        <v>0</v>
      </c>
      <c r="G232" s="8">
        <f t="shared" si="40"/>
        <v>3.5254911485809703</v>
      </c>
      <c r="H232" s="8">
        <f t="shared" si="33"/>
        <v>1.0791218697829723</v>
      </c>
      <c r="I232" s="8">
        <f t="shared" si="34"/>
        <v>0</v>
      </c>
      <c r="J232" s="2" t="str">
        <f t="shared" si="35"/>
        <v>Y</v>
      </c>
      <c r="K232" s="2" t="str">
        <f t="shared" si="36"/>
        <v/>
      </c>
      <c r="L232" s="2" t="str">
        <f t="shared" si="37"/>
        <v/>
      </c>
    </row>
    <row r="233" spans="1:12">
      <c r="A233" s="9">
        <v>221</v>
      </c>
      <c r="B233" s="8">
        <v>702.33199999999999</v>
      </c>
      <c r="C233" s="8">
        <f t="shared" si="38"/>
        <v>1.9059999999999491</v>
      </c>
      <c r="D233" s="8">
        <f t="shared" si="31"/>
        <v>1.3215777815545913</v>
      </c>
      <c r="E233" s="8">
        <f t="shared" si="32"/>
        <v>1.0616604361005504</v>
      </c>
      <c r="F233" s="8">
        <f t="shared" si="39"/>
        <v>0</v>
      </c>
      <c r="G233" s="8">
        <f t="shared" si="40"/>
        <v>3.5254911485809703</v>
      </c>
      <c r="H233" s="8">
        <f t="shared" si="33"/>
        <v>1.0791218697829723</v>
      </c>
      <c r="I233" s="8">
        <f t="shared" si="34"/>
        <v>0</v>
      </c>
      <c r="J233" s="2" t="str">
        <f t="shared" si="35"/>
        <v>Y</v>
      </c>
      <c r="K233" s="2" t="str">
        <f t="shared" si="36"/>
        <v/>
      </c>
      <c r="L233" s="2" t="str">
        <f t="shared" si="37"/>
        <v/>
      </c>
    </row>
    <row r="234" spans="1:12">
      <c r="A234" s="9">
        <v>222</v>
      </c>
      <c r="B234" s="8">
        <v>703.58</v>
      </c>
      <c r="C234" s="8">
        <f t="shared" si="38"/>
        <v>1.2480000000000473</v>
      </c>
      <c r="D234" s="8">
        <f t="shared" si="31"/>
        <v>1.3215777815545913</v>
      </c>
      <c r="E234" s="8">
        <f t="shared" si="32"/>
        <v>1.0616604361005504</v>
      </c>
      <c r="F234" s="8">
        <f t="shared" si="39"/>
        <v>0</v>
      </c>
      <c r="G234" s="8">
        <f t="shared" si="40"/>
        <v>3.5254911485809703</v>
      </c>
      <c r="H234" s="8">
        <f t="shared" si="33"/>
        <v>1.0791218697829723</v>
      </c>
      <c r="I234" s="8">
        <f t="shared" si="34"/>
        <v>0</v>
      </c>
      <c r="J234" s="2" t="str">
        <f t="shared" si="35"/>
        <v>Y</v>
      </c>
      <c r="K234" s="2" t="str">
        <f t="shared" si="36"/>
        <v/>
      </c>
      <c r="L234" s="2" t="str">
        <f t="shared" si="37"/>
        <v/>
      </c>
    </row>
    <row r="235" spans="1:12">
      <c r="A235" s="9">
        <v>223</v>
      </c>
      <c r="B235" s="8">
        <v>701.57299999999998</v>
      </c>
      <c r="C235" s="8">
        <f t="shared" si="38"/>
        <v>2.0070000000000618</v>
      </c>
      <c r="D235" s="8">
        <f t="shared" si="31"/>
        <v>1.3215777815545913</v>
      </c>
      <c r="E235" s="8">
        <f t="shared" si="32"/>
        <v>1.0616604361005504</v>
      </c>
      <c r="F235" s="8">
        <f t="shared" si="39"/>
        <v>0</v>
      </c>
      <c r="G235" s="8">
        <f t="shared" si="40"/>
        <v>3.5254911485809703</v>
      </c>
      <c r="H235" s="8">
        <f t="shared" si="33"/>
        <v>1.0791218697829723</v>
      </c>
      <c r="I235" s="8">
        <f t="shared" si="34"/>
        <v>0</v>
      </c>
      <c r="J235" s="2" t="str">
        <f t="shared" si="35"/>
        <v>Y</v>
      </c>
      <c r="K235" s="2" t="str">
        <f t="shared" si="36"/>
        <v/>
      </c>
      <c r="L235" s="2" t="str">
        <f t="shared" si="37"/>
        <v/>
      </c>
    </row>
    <row r="236" spans="1:12">
      <c r="A236" s="9">
        <v>224</v>
      </c>
      <c r="B236" s="8">
        <v>701.12699999999995</v>
      </c>
      <c r="C236" s="8">
        <f t="shared" si="38"/>
        <v>0.44600000000002638</v>
      </c>
      <c r="D236" s="8">
        <f t="shared" si="31"/>
        <v>1.3215777815545913</v>
      </c>
      <c r="E236" s="8">
        <f t="shared" si="32"/>
        <v>1.0616604361005504</v>
      </c>
      <c r="F236" s="8">
        <f t="shared" si="39"/>
        <v>0</v>
      </c>
      <c r="G236" s="8">
        <f t="shared" si="40"/>
        <v>3.5254911485809703</v>
      </c>
      <c r="H236" s="8">
        <f t="shared" si="33"/>
        <v>1.0791218697829723</v>
      </c>
      <c r="I236" s="8">
        <f t="shared" si="34"/>
        <v>0</v>
      </c>
      <c r="J236" s="2" t="str">
        <f t="shared" si="35"/>
        <v>Y</v>
      </c>
      <c r="K236" s="2" t="str">
        <f t="shared" si="36"/>
        <v/>
      </c>
      <c r="L236" s="2" t="str">
        <f t="shared" si="37"/>
        <v/>
      </c>
    </row>
    <row r="237" spans="1:12">
      <c r="A237" s="9">
        <v>225</v>
      </c>
      <c r="B237" s="8">
        <v>702.35</v>
      </c>
      <c r="C237" s="8">
        <f t="shared" si="38"/>
        <v>1.22300000000007</v>
      </c>
      <c r="D237" s="8">
        <f t="shared" si="31"/>
        <v>1.3215777815545913</v>
      </c>
      <c r="E237" s="8">
        <f t="shared" si="32"/>
        <v>1.0616604361005504</v>
      </c>
      <c r="F237" s="8">
        <f t="shared" si="39"/>
        <v>0</v>
      </c>
      <c r="G237" s="8">
        <f t="shared" si="40"/>
        <v>3.5254911485809703</v>
      </c>
      <c r="H237" s="8">
        <f t="shared" si="33"/>
        <v>1.0791218697829723</v>
      </c>
      <c r="I237" s="8">
        <f t="shared" si="34"/>
        <v>0</v>
      </c>
      <c r="J237" s="2" t="str">
        <f t="shared" si="35"/>
        <v>Y</v>
      </c>
      <c r="K237" s="2" t="str">
        <f t="shared" si="36"/>
        <v/>
      </c>
      <c r="L237" s="2" t="str">
        <f t="shared" si="37"/>
        <v/>
      </c>
    </row>
    <row r="238" spans="1:12">
      <c r="A238" s="9">
        <v>226</v>
      </c>
      <c r="B238" s="8">
        <v>701.11199999999997</v>
      </c>
      <c r="C238" s="8">
        <f t="shared" si="38"/>
        <v>1.2380000000000564</v>
      </c>
      <c r="D238" s="8">
        <f t="shared" si="31"/>
        <v>1.3215777815545913</v>
      </c>
      <c r="E238" s="8">
        <f t="shared" si="32"/>
        <v>1.0616604361005504</v>
      </c>
      <c r="F238" s="8">
        <f t="shared" si="39"/>
        <v>0</v>
      </c>
      <c r="G238" s="8">
        <f t="shared" si="40"/>
        <v>3.5254911485809703</v>
      </c>
      <c r="H238" s="8">
        <f t="shared" si="33"/>
        <v>1.0791218697829723</v>
      </c>
      <c r="I238" s="8">
        <f t="shared" si="34"/>
        <v>0</v>
      </c>
      <c r="J238" s="2" t="str">
        <f t="shared" si="35"/>
        <v>Y</v>
      </c>
      <c r="K238" s="2" t="str">
        <f t="shared" si="36"/>
        <v/>
      </c>
      <c r="L238" s="2" t="str">
        <f t="shared" si="37"/>
        <v/>
      </c>
    </row>
    <row r="239" spans="1:12">
      <c r="A239" s="9">
        <v>227</v>
      </c>
      <c r="B239" s="8">
        <v>700.9</v>
      </c>
      <c r="C239" s="8">
        <f t="shared" si="38"/>
        <v>0.21199999999998909</v>
      </c>
      <c r="D239" s="8">
        <f t="shared" si="31"/>
        <v>1.3215777815545913</v>
      </c>
      <c r="E239" s="8">
        <f t="shared" si="32"/>
        <v>1.0616604361005504</v>
      </c>
      <c r="F239" s="8">
        <f t="shared" si="39"/>
        <v>0</v>
      </c>
      <c r="G239" s="8">
        <f t="shared" si="40"/>
        <v>3.5254911485809703</v>
      </c>
      <c r="H239" s="8">
        <f t="shared" si="33"/>
        <v>1.0791218697829723</v>
      </c>
      <c r="I239" s="8">
        <f t="shared" si="34"/>
        <v>0</v>
      </c>
      <c r="J239" s="2" t="str">
        <f t="shared" si="35"/>
        <v>Y</v>
      </c>
      <c r="K239" s="2" t="str">
        <f t="shared" si="36"/>
        <v/>
      </c>
      <c r="L239" s="2" t="str">
        <f t="shared" si="37"/>
        <v/>
      </c>
    </row>
    <row r="240" spans="1:12">
      <c r="A240" s="9">
        <v>228</v>
      </c>
      <c r="B240" s="8">
        <v>702.57899999999995</v>
      </c>
      <c r="C240" s="8">
        <f t="shared" si="38"/>
        <v>1.6789999999999736</v>
      </c>
      <c r="D240" s="8">
        <f t="shared" si="31"/>
        <v>1.3215777815545913</v>
      </c>
      <c r="E240" s="8">
        <f t="shared" si="32"/>
        <v>1.0616604361005504</v>
      </c>
      <c r="F240" s="8">
        <f t="shared" si="39"/>
        <v>0</v>
      </c>
      <c r="G240" s="8">
        <f t="shared" si="40"/>
        <v>3.5254911485809703</v>
      </c>
      <c r="H240" s="8">
        <f t="shared" si="33"/>
        <v>1.0791218697829723</v>
      </c>
      <c r="I240" s="8">
        <f t="shared" si="34"/>
        <v>0</v>
      </c>
      <c r="J240" s="2" t="str">
        <f t="shared" si="35"/>
        <v>Y</v>
      </c>
      <c r="K240" s="2" t="str">
        <f t="shared" si="36"/>
        <v/>
      </c>
      <c r="L240" s="2" t="str">
        <f t="shared" si="37"/>
        <v/>
      </c>
    </row>
    <row r="241" spans="1:12">
      <c r="A241" s="9">
        <v>229</v>
      </c>
      <c r="B241" s="8">
        <v>701.37199999999996</v>
      </c>
      <c r="C241" s="8">
        <f t="shared" si="38"/>
        <v>1.2069999999999936</v>
      </c>
      <c r="D241" s="8">
        <f t="shared" si="31"/>
        <v>1.3215777815545913</v>
      </c>
      <c r="E241" s="8">
        <f t="shared" si="32"/>
        <v>1.0616604361005504</v>
      </c>
      <c r="F241" s="8">
        <f t="shared" si="39"/>
        <v>0</v>
      </c>
      <c r="G241" s="8">
        <f t="shared" si="40"/>
        <v>3.5254911485809703</v>
      </c>
      <c r="H241" s="8">
        <f t="shared" si="33"/>
        <v>1.0791218697829723</v>
      </c>
      <c r="I241" s="8">
        <f t="shared" si="34"/>
        <v>0</v>
      </c>
      <c r="J241" s="2" t="str">
        <f t="shared" si="35"/>
        <v>Y</v>
      </c>
      <c r="K241" s="2" t="str">
        <f t="shared" si="36"/>
        <v/>
      </c>
      <c r="L241" s="2" t="str">
        <f t="shared" si="37"/>
        <v/>
      </c>
    </row>
    <row r="242" spans="1:12">
      <c r="A242" s="9">
        <v>230</v>
      </c>
      <c r="B242" s="8">
        <v>700.57799999999997</v>
      </c>
      <c r="C242" s="8">
        <f t="shared" si="38"/>
        <v>0.79399999999998272</v>
      </c>
      <c r="D242" s="8">
        <f t="shared" si="31"/>
        <v>1.3215777815545913</v>
      </c>
      <c r="E242" s="8">
        <f t="shared" si="32"/>
        <v>1.0616604361005504</v>
      </c>
      <c r="F242" s="8">
        <f t="shared" si="39"/>
        <v>0</v>
      </c>
      <c r="G242" s="8">
        <f t="shared" si="40"/>
        <v>3.5254911485809703</v>
      </c>
      <c r="H242" s="8">
        <f t="shared" si="33"/>
        <v>1.0791218697829723</v>
      </c>
      <c r="I242" s="8">
        <f t="shared" si="34"/>
        <v>0</v>
      </c>
      <c r="J242" s="2" t="str">
        <f t="shared" si="35"/>
        <v>Y</v>
      </c>
      <c r="K242" s="2" t="str">
        <f t="shared" si="36"/>
        <v/>
      </c>
      <c r="L242" s="2" t="str">
        <f t="shared" si="37"/>
        <v/>
      </c>
    </row>
    <row r="243" spans="1:12">
      <c r="A243" s="9">
        <v>231</v>
      </c>
      <c r="B243" s="8">
        <v>702.05600000000004</v>
      </c>
      <c r="C243" s="8">
        <f t="shared" si="38"/>
        <v>1.4780000000000655</v>
      </c>
      <c r="D243" s="8">
        <f t="shared" si="31"/>
        <v>1.3215777815545913</v>
      </c>
      <c r="E243" s="8">
        <f t="shared" si="32"/>
        <v>1.0616604361005504</v>
      </c>
      <c r="F243" s="8">
        <f t="shared" si="39"/>
        <v>0</v>
      </c>
      <c r="G243" s="8">
        <f t="shared" si="40"/>
        <v>3.5254911485809703</v>
      </c>
      <c r="H243" s="8">
        <f t="shared" si="33"/>
        <v>1.0791218697829723</v>
      </c>
      <c r="I243" s="8">
        <f t="shared" si="34"/>
        <v>0</v>
      </c>
      <c r="J243" s="2" t="str">
        <f t="shared" si="35"/>
        <v>Y</v>
      </c>
      <c r="K243" s="2" t="str">
        <f t="shared" si="36"/>
        <v/>
      </c>
      <c r="L243" s="2" t="str">
        <f t="shared" si="37"/>
        <v/>
      </c>
    </row>
    <row r="244" spans="1:12">
      <c r="A244" s="9">
        <v>232</v>
      </c>
      <c r="B244" s="8">
        <v>702.12599999999998</v>
      </c>
      <c r="C244" s="8">
        <f t="shared" si="38"/>
        <v>6.9999999999936335E-2</v>
      </c>
      <c r="D244" s="8">
        <f t="shared" si="31"/>
        <v>1.3215777815545913</v>
      </c>
      <c r="E244" s="8">
        <f t="shared" si="32"/>
        <v>1.0616604361005504</v>
      </c>
      <c r="F244" s="8">
        <f t="shared" si="39"/>
        <v>0</v>
      </c>
      <c r="G244" s="8">
        <f t="shared" si="40"/>
        <v>3.5254911485809703</v>
      </c>
      <c r="H244" s="8">
        <f t="shared" si="33"/>
        <v>1.0791218697829723</v>
      </c>
      <c r="I244" s="8">
        <f t="shared" si="34"/>
        <v>0</v>
      </c>
      <c r="J244" s="2" t="str">
        <f t="shared" si="35"/>
        <v>Y</v>
      </c>
      <c r="K244" s="2" t="str">
        <f t="shared" si="36"/>
        <v/>
      </c>
      <c r="L244" s="2" t="str">
        <f t="shared" si="37"/>
        <v/>
      </c>
    </row>
    <row r="245" spans="1:12">
      <c r="A245" s="9">
        <v>233</v>
      </c>
      <c r="B245" s="8">
        <v>700.178</v>
      </c>
      <c r="C245" s="8">
        <f t="shared" si="38"/>
        <v>1.9479999999999791</v>
      </c>
      <c r="D245" s="8">
        <f t="shared" si="31"/>
        <v>1.3215777815545913</v>
      </c>
      <c r="E245" s="8">
        <f t="shared" si="32"/>
        <v>1.0616604361005504</v>
      </c>
      <c r="F245" s="8">
        <f t="shared" si="39"/>
        <v>0</v>
      </c>
      <c r="G245" s="8">
        <f t="shared" si="40"/>
        <v>3.5254911485809703</v>
      </c>
      <c r="H245" s="8">
        <f t="shared" si="33"/>
        <v>1.0791218697829723</v>
      </c>
      <c r="I245" s="8">
        <f t="shared" si="34"/>
        <v>0</v>
      </c>
      <c r="J245" s="2" t="str">
        <f t="shared" si="35"/>
        <v>Y</v>
      </c>
      <c r="K245" s="2" t="str">
        <f t="shared" si="36"/>
        <v/>
      </c>
      <c r="L245" s="2" t="str">
        <f t="shared" si="37"/>
        <v/>
      </c>
    </row>
    <row r="246" spans="1:12">
      <c r="A246" s="9">
        <v>234</v>
      </c>
      <c r="B246" s="8">
        <v>700.63199999999995</v>
      </c>
      <c r="C246" s="8">
        <f t="shared" si="38"/>
        <v>0.45399999999995089</v>
      </c>
      <c r="D246" s="8">
        <f t="shared" si="31"/>
        <v>1.3215777815545913</v>
      </c>
      <c r="E246" s="8">
        <f t="shared" si="32"/>
        <v>1.0616604361005504</v>
      </c>
      <c r="F246" s="8">
        <f t="shared" si="39"/>
        <v>0</v>
      </c>
      <c r="G246" s="8">
        <f t="shared" si="40"/>
        <v>3.5254911485809703</v>
      </c>
      <c r="H246" s="8">
        <f t="shared" si="33"/>
        <v>1.0791218697829723</v>
      </c>
      <c r="I246" s="8">
        <f t="shared" si="34"/>
        <v>0</v>
      </c>
      <c r="J246" s="2" t="str">
        <f t="shared" si="35"/>
        <v>Y</v>
      </c>
      <c r="K246" s="2" t="str">
        <f t="shared" si="36"/>
        <v/>
      </c>
      <c r="L246" s="2" t="str">
        <f t="shared" si="37"/>
        <v/>
      </c>
    </row>
    <row r="247" spans="1:12">
      <c r="A247" s="9">
        <v>235</v>
      </c>
      <c r="B247" s="8">
        <v>701.43</v>
      </c>
      <c r="C247" s="8">
        <f t="shared" si="38"/>
        <v>0.79800000000000182</v>
      </c>
      <c r="D247" s="8">
        <f t="shared" si="31"/>
        <v>1.3215777815545913</v>
      </c>
      <c r="E247" s="8">
        <f t="shared" si="32"/>
        <v>1.0616604361005504</v>
      </c>
      <c r="F247" s="8">
        <f t="shared" si="39"/>
        <v>0</v>
      </c>
      <c r="G247" s="8">
        <f t="shared" si="40"/>
        <v>3.5254911485809703</v>
      </c>
      <c r="H247" s="8">
        <f t="shared" si="33"/>
        <v>1.0791218697829723</v>
      </c>
      <c r="I247" s="8">
        <f t="shared" si="34"/>
        <v>0</v>
      </c>
      <c r="J247" s="2" t="str">
        <f t="shared" si="35"/>
        <v>Y</v>
      </c>
      <c r="K247" s="2" t="str">
        <f t="shared" si="36"/>
        <v/>
      </c>
      <c r="L247" s="2" t="str">
        <f t="shared" si="37"/>
        <v/>
      </c>
    </row>
    <row r="248" spans="1:12">
      <c r="A248" s="9">
        <v>236</v>
      </c>
      <c r="B248" s="8">
        <v>701.02800000000002</v>
      </c>
      <c r="C248" s="8">
        <f t="shared" si="38"/>
        <v>0.40199999999992997</v>
      </c>
      <c r="D248" s="8">
        <f t="shared" si="31"/>
        <v>1.3215777815545913</v>
      </c>
      <c r="E248" s="8">
        <f t="shared" si="32"/>
        <v>1.0616604361005504</v>
      </c>
      <c r="F248" s="8">
        <f t="shared" si="39"/>
        <v>0</v>
      </c>
      <c r="G248" s="8">
        <f t="shared" si="40"/>
        <v>3.5254911485809703</v>
      </c>
      <c r="H248" s="8">
        <f t="shared" si="33"/>
        <v>1.0791218697829723</v>
      </c>
      <c r="I248" s="8">
        <f t="shared" si="34"/>
        <v>0</v>
      </c>
      <c r="J248" s="2" t="str">
        <f t="shared" si="35"/>
        <v>Y</v>
      </c>
      <c r="K248" s="2" t="str">
        <f t="shared" si="36"/>
        <v/>
      </c>
      <c r="L248" s="2" t="str">
        <f t="shared" si="37"/>
        <v/>
      </c>
    </row>
    <row r="249" spans="1:12">
      <c r="A249" s="9">
        <v>237</v>
      </c>
      <c r="B249" s="8">
        <v>700.82100000000003</v>
      </c>
      <c r="C249" s="8">
        <f t="shared" si="38"/>
        <v>0.20699999999999363</v>
      </c>
      <c r="D249" s="8">
        <f t="shared" si="31"/>
        <v>1.3215777815545913</v>
      </c>
      <c r="E249" s="8">
        <f t="shared" si="32"/>
        <v>1.0616604361005504</v>
      </c>
      <c r="F249" s="8">
        <f t="shared" si="39"/>
        <v>0</v>
      </c>
      <c r="G249" s="8">
        <f t="shared" si="40"/>
        <v>3.5254911485809703</v>
      </c>
      <c r="H249" s="8">
        <f t="shared" si="33"/>
        <v>1.0791218697829723</v>
      </c>
      <c r="I249" s="8">
        <f t="shared" si="34"/>
        <v>0</v>
      </c>
      <c r="J249" s="2" t="str">
        <f t="shared" si="35"/>
        <v>Y</v>
      </c>
      <c r="K249" s="2" t="str">
        <f t="shared" si="36"/>
        <v/>
      </c>
      <c r="L249" s="2" t="str">
        <f t="shared" si="37"/>
        <v/>
      </c>
    </row>
    <row r="250" spans="1:12">
      <c r="A250" s="9">
        <v>238</v>
      </c>
      <c r="B250" s="8">
        <v>699.45</v>
      </c>
      <c r="C250" s="8">
        <f t="shared" si="38"/>
        <v>1.3709999999999809</v>
      </c>
      <c r="D250" s="8">
        <f t="shared" si="31"/>
        <v>1.3215777815545913</v>
      </c>
      <c r="E250" s="8">
        <f t="shared" si="32"/>
        <v>1.0616604361005504</v>
      </c>
      <c r="F250" s="8">
        <f t="shared" si="39"/>
        <v>0</v>
      </c>
      <c r="G250" s="8">
        <f t="shared" si="40"/>
        <v>3.5254911485809703</v>
      </c>
      <c r="H250" s="8">
        <f t="shared" si="33"/>
        <v>1.0791218697829723</v>
      </c>
      <c r="I250" s="8">
        <f t="shared" si="34"/>
        <v>0</v>
      </c>
      <c r="J250" s="2" t="str">
        <f t="shared" si="35"/>
        <v>Y</v>
      </c>
      <c r="K250" s="2" t="str">
        <f t="shared" si="36"/>
        <v/>
      </c>
      <c r="L250" s="2" t="str">
        <f t="shared" si="37"/>
        <v/>
      </c>
    </row>
    <row r="251" spans="1:12">
      <c r="A251" s="9">
        <v>239</v>
      </c>
      <c r="B251" s="8">
        <v>700.17899999999997</v>
      </c>
      <c r="C251" s="8">
        <f t="shared" si="38"/>
        <v>0.72899999999992815</v>
      </c>
      <c r="D251" s="8">
        <f t="shared" si="31"/>
        <v>1.3215777815545913</v>
      </c>
      <c r="E251" s="8">
        <f t="shared" si="32"/>
        <v>1.0616604361005504</v>
      </c>
      <c r="F251" s="8">
        <f t="shared" si="39"/>
        <v>0</v>
      </c>
      <c r="G251" s="8">
        <f t="shared" si="40"/>
        <v>3.5254911485809703</v>
      </c>
      <c r="H251" s="8">
        <f t="shared" si="33"/>
        <v>1.0791218697829723</v>
      </c>
      <c r="I251" s="8">
        <f t="shared" si="34"/>
        <v>0</v>
      </c>
      <c r="J251" s="2" t="str">
        <f t="shared" si="35"/>
        <v>Y</v>
      </c>
      <c r="K251" s="2" t="str">
        <f t="shared" si="36"/>
        <v/>
      </c>
      <c r="L251" s="2" t="str">
        <f t="shared" si="37"/>
        <v/>
      </c>
    </row>
    <row r="252" spans="1:12">
      <c r="A252" s="9">
        <v>240</v>
      </c>
      <c r="B252" s="8">
        <v>701.41800000000001</v>
      </c>
      <c r="C252" s="8">
        <f t="shared" si="38"/>
        <v>1.2390000000000327</v>
      </c>
      <c r="D252" s="8">
        <f t="shared" si="31"/>
        <v>1.3215777815545913</v>
      </c>
      <c r="E252" s="8">
        <f t="shared" si="32"/>
        <v>1.0616604361005504</v>
      </c>
      <c r="F252" s="8">
        <f t="shared" si="39"/>
        <v>0</v>
      </c>
      <c r="G252" s="8">
        <f t="shared" si="40"/>
        <v>3.5254911485809703</v>
      </c>
      <c r="H252" s="8">
        <f t="shared" si="33"/>
        <v>1.0791218697829723</v>
      </c>
      <c r="I252" s="8">
        <f t="shared" si="34"/>
        <v>0</v>
      </c>
      <c r="J252" s="2" t="str">
        <f t="shared" si="35"/>
        <v>Y</v>
      </c>
      <c r="K252" s="2" t="str">
        <f t="shared" si="36"/>
        <v/>
      </c>
      <c r="L252" s="2" t="str">
        <f t="shared" si="37"/>
        <v/>
      </c>
    </row>
    <row r="253" spans="1:12">
      <c r="A253" s="9">
        <v>241</v>
      </c>
      <c r="B253" s="8">
        <v>702.50400000000002</v>
      </c>
      <c r="C253" s="8">
        <f t="shared" si="38"/>
        <v>1.0860000000000127</v>
      </c>
      <c r="D253" s="8">
        <f t="shared" si="31"/>
        <v>1.3215777815545913</v>
      </c>
      <c r="E253" s="8">
        <f t="shared" si="32"/>
        <v>1.0616604361005504</v>
      </c>
      <c r="F253" s="8">
        <f t="shared" si="39"/>
        <v>0</v>
      </c>
      <c r="G253" s="8">
        <f t="shared" si="40"/>
        <v>3.5254911485809703</v>
      </c>
      <c r="H253" s="8">
        <f t="shared" si="33"/>
        <v>1.0791218697829723</v>
      </c>
      <c r="I253" s="8">
        <f t="shared" si="34"/>
        <v>0</v>
      </c>
      <c r="J253" s="2" t="str">
        <f t="shared" si="35"/>
        <v>Y</v>
      </c>
      <c r="K253" s="2" t="str">
        <f t="shared" si="36"/>
        <v/>
      </c>
      <c r="L253" s="2" t="str">
        <f t="shared" si="37"/>
        <v/>
      </c>
    </row>
    <row r="254" spans="1:12">
      <c r="A254" s="9">
        <v>242</v>
      </c>
      <c r="B254" s="8">
        <v>700.15099999999995</v>
      </c>
      <c r="C254" s="8">
        <f t="shared" si="38"/>
        <v>2.3530000000000655</v>
      </c>
      <c r="D254" s="8">
        <f t="shared" si="31"/>
        <v>1.3215777815545913</v>
      </c>
      <c r="E254" s="8">
        <f t="shared" si="32"/>
        <v>1.0616604361005504</v>
      </c>
      <c r="F254" s="8">
        <f t="shared" si="39"/>
        <v>0</v>
      </c>
      <c r="G254" s="8">
        <f t="shared" si="40"/>
        <v>3.5254911485809703</v>
      </c>
      <c r="H254" s="8">
        <f t="shared" si="33"/>
        <v>1.0791218697829723</v>
      </c>
      <c r="I254" s="8">
        <f t="shared" si="34"/>
        <v>0</v>
      </c>
      <c r="J254" s="2" t="str">
        <f t="shared" si="35"/>
        <v>Y</v>
      </c>
      <c r="K254" s="2" t="str">
        <f t="shared" si="36"/>
        <v/>
      </c>
      <c r="L254" s="2" t="str">
        <f t="shared" si="37"/>
        <v/>
      </c>
    </row>
    <row r="255" spans="1:12">
      <c r="A255" s="9">
        <v>243</v>
      </c>
      <c r="B255" s="8">
        <v>700.93100000000004</v>
      </c>
      <c r="C255" s="8">
        <f t="shared" si="38"/>
        <v>0.7800000000000864</v>
      </c>
      <c r="D255" s="8">
        <f t="shared" si="31"/>
        <v>1.3215777815545913</v>
      </c>
      <c r="E255" s="8">
        <f t="shared" si="32"/>
        <v>1.0616604361005504</v>
      </c>
      <c r="F255" s="8">
        <f t="shared" si="39"/>
        <v>0</v>
      </c>
      <c r="G255" s="8">
        <f t="shared" si="40"/>
        <v>3.5254911485809703</v>
      </c>
      <c r="H255" s="8">
        <f t="shared" si="33"/>
        <v>1.0791218697829723</v>
      </c>
      <c r="I255" s="8">
        <f t="shared" si="34"/>
        <v>0</v>
      </c>
      <c r="J255" s="2" t="str">
        <f t="shared" si="35"/>
        <v>Y</v>
      </c>
      <c r="K255" s="2" t="str">
        <f t="shared" si="36"/>
        <v/>
      </c>
      <c r="L255" s="2" t="str">
        <f t="shared" si="37"/>
        <v/>
      </c>
    </row>
    <row r="256" spans="1:12">
      <c r="A256" s="9">
        <v>244</v>
      </c>
      <c r="B256" s="8">
        <v>700.18499999999995</v>
      </c>
      <c r="C256" s="8">
        <f t="shared" si="38"/>
        <v>0.74600000000009459</v>
      </c>
      <c r="D256" s="8">
        <f t="shared" si="31"/>
        <v>1.3215777815545913</v>
      </c>
      <c r="E256" s="8">
        <f t="shared" si="32"/>
        <v>1.0616604361005504</v>
      </c>
      <c r="F256" s="8">
        <f t="shared" si="39"/>
        <v>0</v>
      </c>
      <c r="G256" s="8">
        <f t="shared" si="40"/>
        <v>3.5254911485809703</v>
      </c>
      <c r="H256" s="8">
        <f t="shared" si="33"/>
        <v>1.0791218697829723</v>
      </c>
      <c r="I256" s="8">
        <f t="shared" si="34"/>
        <v>0</v>
      </c>
      <c r="J256" s="2" t="str">
        <f t="shared" si="35"/>
        <v>Y</v>
      </c>
      <c r="K256" s="2" t="str">
        <f t="shared" si="36"/>
        <v/>
      </c>
      <c r="L256" s="2" t="str">
        <f t="shared" si="37"/>
        <v/>
      </c>
    </row>
    <row r="257" spans="1:12">
      <c r="A257" s="9">
        <v>245</v>
      </c>
      <c r="B257" s="8">
        <v>700.93299999999999</v>
      </c>
      <c r="C257" s="8">
        <f t="shared" si="38"/>
        <v>0.74800000000004729</v>
      </c>
      <c r="D257" s="8">
        <f t="shared" si="31"/>
        <v>1.3215777815545913</v>
      </c>
      <c r="E257" s="8">
        <f t="shared" si="32"/>
        <v>1.0616604361005504</v>
      </c>
      <c r="F257" s="8">
        <f t="shared" si="39"/>
        <v>0</v>
      </c>
      <c r="G257" s="8">
        <f t="shared" si="40"/>
        <v>3.5254911485809703</v>
      </c>
      <c r="H257" s="8">
        <f t="shared" si="33"/>
        <v>1.0791218697829723</v>
      </c>
      <c r="I257" s="8">
        <f t="shared" si="34"/>
        <v>0</v>
      </c>
      <c r="J257" s="2" t="str">
        <f t="shared" si="35"/>
        <v>Y</v>
      </c>
      <c r="K257" s="2" t="str">
        <f t="shared" si="36"/>
        <v/>
      </c>
      <c r="L257" s="2" t="str">
        <f t="shared" si="37"/>
        <v/>
      </c>
    </row>
    <row r="258" spans="1:12">
      <c r="A258" s="9">
        <v>246</v>
      </c>
      <c r="B258" s="8">
        <v>700.41700000000003</v>
      </c>
      <c r="C258" s="8">
        <f t="shared" si="38"/>
        <v>0.51599999999996271</v>
      </c>
      <c r="D258" s="8">
        <f t="shared" si="31"/>
        <v>1.3215777815545913</v>
      </c>
      <c r="E258" s="8">
        <f t="shared" si="32"/>
        <v>1.0616604361005504</v>
      </c>
      <c r="F258" s="8">
        <f t="shared" si="39"/>
        <v>0</v>
      </c>
      <c r="G258" s="8">
        <f t="shared" si="40"/>
        <v>3.5254911485809703</v>
      </c>
      <c r="H258" s="8">
        <f t="shared" si="33"/>
        <v>1.0791218697829723</v>
      </c>
      <c r="I258" s="8">
        <f t="shared" si="34"/>
        <v>0</v>
      </c>
      <c r="J258" s="2" t="str">
        <f t="shared" si="35"/>
        <v>Y</v>
      </c>
      <c r="K258" s="2" t="str">
        <f t="shared" si="36"/>
        <v/>
      </c>
      <c r="L258" s="2" t="str">
        <f t="shared" si="37"/>
        <v/>
      </c>
    </row>
    <row r="259" spans="1:12">
      <c r="A259" s="9">
        <v>247</v>
      </c>
      <c r="B259" s="8">
        <v>699.83299999999997</v>
      </c>
      <c r="C259" s="8">
        <f t="shared" si="38"/>
        <v>0.58400000000006003</v>
      </c>
      <c r="D259" s="8">
        <f t="shared" si="31"/>
        <v>1.3215777815545913</v>
      </c>
      <c r="E259" s="8">
        <f t="shared" si="32"/>
        <v>1.0616604361005504</v>
      </c>
      <c r="F259" s="8">
        <f t="shared" si="39"/>
        <v>0</v>
      </c>
      <c r="G259" s="8">
        <f t="shared" si="40"/>
        <v>3.5254911485809703</v>
      </c>
      <c r="H259" s="8">
        <f t="shared" si="33"/>
        <v>1.0791218697829723</v>
      </c>
      <c r="I259" s="8">
        <f t="shared" si="34"/>
        <v>0</v>
      </c>
      <c r="J259" s="2" t="str">
        <f t="shared" si="35"/>
        <v>Y</v>
      </c>
      <c r="K259" s="2" t="str">
        <f t="shared" si="36"/>
        <v/>
      </c>
      <c r="L259" s="2" t="str">
        <f t="shared" si="37"/>
        <v/>
      </c>
    </row>
    <row r="260" spans="1:12">
      <c r="A260" s="9">
        <v>248</v>
      </c>
      <c r="B260" s="8">
        <v>699.95600000000002</v>
      </c>
      <c r="C260" s="8">
        <f t="shared" si="38"/>
        <v>0.12300000000004729</v>
      </c>
      <c r="D260" s="8">
        <f t="shared" si="31"/>
        <v>1.3215777815545913</v>
      </c>
      <c r="E260" s="8">
        <f t="shared" si="32"/>
        <v>1.0616604361005504</v>
      </c>
      <c r="F260" s="8">
        <f t="shared" si="39"/>
        <v>0</v>
      </c>
      <c r="G260" s="8">
        <f t="shared" si="40"/>
        <v>3.5254911485809703</v>
      </c>
      <c r="H260" s="8">
        <f t="shared" si="33"/>
        <v>1.0791218697829723</v>
      </c>
      <c r="I260" s="8">
        <f t="shared" si="34"/>
        <v>0</v>
      </c>
      <c r="J260" s="2" t="str">
        <f t="shared" si="35"/>
        <v>Y</v>
      </c>
      <c r="K260" s="2" t="str">
        <f t="shared" si="36"/>
        <v/>
      </c>
      <c r="L260" s="2" t="str">
        <f t="shared" si="37"/>
        <v/>
      </c>
    </row>
    <row r="261" spans="1:12">
      <c r="A261" s="9">
        <v>249</v>
      </c>
      <c r="B261" s="8">
        <v>701.36099999999999</v>
      </c>
      <c r="C261" s="8">
        <f t="shared" si="38"/>
        <v>1.4049999999999727</v>
      </c>
      <c r="D261" s="8">
        <f t="shared" si="31"/>
        <v>1.3215777815545913</v>
      </c>
      <c r="E261" s="8">
        <f t="shared" si="32"/>
        <v>1.0616604361005504</v>
      </c>
      <c r="F261" s="8">
        <f t="shared" si="39"/>
        <v>0</v>
      </c>
      <c r="G261" s="8">
        <f t="shared" si="40"/>
        <v>3.5254911485809703</v>
      </c>
      <c r="H261" s="8">
        <f t="shared" si="33"/>
        <v>1.0791218697829723</v>
      </c>
      <c r="I261" s="8">
        <f t="shared" si="34"/>
        <v>0</v>
      </c>
      <c r="J261" s="2" t="str">
        <f t="shared" si="35"/>
        <v>Y</v>
      </c>
      <c r="K261" s="2" t="str">
        <f t="shared" si="36"/>
        <v/>
      </c>
      <c r="L261" s="2" t="str">
        <f t="shared" si="37"/>
        <v/>
      </c>
    </row>
    <row r="262" spans="1:12">
      <c r="A262" s="9">
        <v>250</v>
      </c>
      <c r="B262" s="8">
        <v>701.495</v>
      </c>
      <c r="C262" s="8">
        <f t="shared" si="38"/>
        <v>0.13400000000001455</v>
      </c>
      <c r="D262" s="8">
        <f t="shared" si="31"/>
        <v>1.3215777815545913</v>
      </c>
      <c r="E262" s="8">
        <f t="shared" si="32"/>
        <v>1.0616604361005504</v>
      </c>
      <c r="F262" s="8">
        <f t="shared" si="39"/>
        <v>0</v>
      </c>
      <c r="G262" s="8">
        <f t="shared" si="40"/>
        <v>3.5254911485809703</v>
      </c>
      <c r="H262" s="8">
        <f t="shared" si="33"/>
        <v>1.0791218697829723</v>
      </c>
      <c r="I262" s="8">
        <f t="shared" si="34"/>
        <v>0</v>
      </c>
      <c r="J262" s="2" t="str">
        <f t="shared" si="35"/>
        <v>Y</v>
      </c>
      <c r="K262" s="2" t="str">
        <f t="shared" si="36"/>
        <v/>
      </c>
      <c r="L262" s="2" t="str">
        <f t="shared" si="37"/>
        <v/>
      </c>
    </row>
    <row r="263" spans="1:12">
      <c r="A263" s="9">
        <v>251</v>
      </c>
      <c r="B263" s="8">
        <v>701.18499999999995</v>
      </c>
      <c r="C263" s="8">
        <f t="shared" si="38"/>
        <v>0.31000000000005912</v>
      </c>
      <c r="D263" s="8">
        <f t="shared" si="31"/>
        <v>1.3215777815545913</v>
      </c>
      <c r="E263" s="8">
        <f t="shared" si="32"/>
        <v>1.0616604361005504</v>
      </c>
      <c r="F263" s="8">
        <f t="shared" si="39"/>
        <v>0</v>
      </c>
      <c r="G263" s="8">
        <f t="shared" si="40"/>
        <v>3.5254911485809703</v>
      </c>
      <c r="H263" s="8">
        <f t="shared" si="33"/>
        <v>1.0791218697829723</v>
      </c>
      <c r="I263" s="8">
        <f t="shared" si="34"/>
        <v>0</v>
      </c>
      <c r="J263" s="2" t="str">
        <f t="shared" si="35"/>
        <v>Y</v>
      </c>
      <c r="K263" s="2" t="str">
        <f t="shared" si="36"/>
        <v/>
      </c>
      <c r="L263" s="2" t="str">
        <f t="shared" si="37"/>
        <v/>
      </c>
    </row>
    <row r="264" spans="1:12">
      <c r="A264" s="9">
        <v>252</v>
      </c>
      <c r="B264" s="8">
        <v>701.35199999999998</v>
      </c>
      <c r="C264" s="8">
        <f t="shared" si="38"/>
        <v>0.16700000000003001</v>
      </c>
      <c r="D264" s="8">
        <f t="shared" si="31"/>
        <v>1.3215777815545913</v>
      </c>
      <c r="E264" s="8">
        <f t="shared" si="32"/>
        <v>1.0616604361005504</v>
      </c>
      <c r="F264" s="8">
        <f t="shared" si="39"/>
        <v>0</v>
      </c>
      <c r="G264" s="8">
        <f t="shared" si="40"/>
        <v>3.5254911485809703</v>
      </c>
      <c r="H264" s="8">
        <f t="shared" si="33"/>
        <v>1.0791218697829723</v>
      </c>
      <c r="I264" s="8">
        <f t="shared" si="34"/>
        <v>0</v>
      </c>
      <c r="J264" s="2" t="str">
        <f t="shared" si="35"/>
        <v>Y</v>
      </c>
      <c r="K264" s="2" t="str">
        <f t="shared" si="36"/>
        <v/>
      </c>
      <c r="L264" s="2" t="str">
        <f t="shared" si="37"/>
        <v/>
      </c>
    </row>
    <row r="265" spans="1:12">
      <c r="A265" s="9">
        <v>253</v>
      </c>
      <c r="B265" s="8">
        <v>702.44600000000003</v>
      </c>
      <c r="C265" s="8">
        <f t="shared" si="38"/>
        <v>1.0940000000000509</v>
      </c>
      <c r="D265" s="8">
        <f t="shared" si="31"/>
        <v>1.3215777815545913</v>
      </c>
      <c r="E265" s="8">
        <f t="shared" si="32"/>
        <v>1.0616604361005504</v>
      </c>
      <c r="F265" s="8">
        <f t="shared" si="39"/>
        <v>0</v>
      </c>
      <c r="G265" s="8">
        <f t="shared" si="40"/>
        <v>3.5254911485809703</v>
      </c>
      <c r="H265" s="8">
        <f t="shared" si="33"/>
        <v>1.0791218697829723</v>
      </c>
      <c r="I265" s="8">
        <f t="shared" si="34"/>
        <v>0</v>
      </c>
      <c r="J265" s="2" t="str">
        <f t="shared" si="35"/>
        <v>Y</v>
      </c>
      <c r="K265" s="2" t="str">
        <f t="shared" si="36"/>
        <v/>
      </c>
      <c r="L265" s="2" t="str">
        <f t="shared" si="37"/>
        <v/>
      </c>
    </row>
    <row r="266" spans="1:12">
      <c r="A266" s="9">
        <v>254</v>
      </c>
      <c r="B266" s="8">
        <v>697.65099999999995</v>
      </c>
      <c r="C266" s="8">
        <f t="shared" si="38"/>
        <v>4.7950000000000728</v>
      </c>
      <c r="D266" s="8">
        <f t="shared" si="31"/>
        <v>1.3215777815545913</v>
      </c>
      <c r="E266" s="8">
        <f t="shared" si="32"/>
        <v>1.0616604361005504</v>
      </c>
      <c r="F266" s="8">
        <f t="shared" si="39"/>
        <v>0</v>
      </c>
      <c r="G266" s="8">
        <f t="shared" si="40"/>
        <v>3.5254911485809703</v>
      </c>
      <c r="H266" s="8">
        <f t="shared" si="33"/>
        <v>1.0791218697829723</v>
      </c>
      <c r="I266" s="8">
        <f t="shared" si="34"/>
        <v>0</v>
      </c>
      <c r="J266" s="2" t="str">
        <f t="shared" si="35"/>
        <v>Y</v>
      </c>
      <c r="K266" s="2" t="str">
        <f t="shared" si="36"/>
        <v>Y</v>
      </c>
      <c r="L266" s="2" t="str">
        <f t="shared" si="37"/>
        <v/>
      </c>
    </row>
    <row r="267" spans="1:12">
      <c r="A267" s="9">
        <v>255</v>
      </c>
      <c r="B267" s="8">
        <v>700.10799999999995</v>
      </c>
      <c r="C267" s="8">
        <f t="shared" si="38"/>
        <v>2.4569999999999936</v>
      </c>
      <c r="D267" s="8">
        <f t="shared" si="31"/>
        <v>1.3215777815545913</v>
      </c>
      <c r="E267" s="8">
        <f t="shared" si="32"/>
        <v>1.0616604361005504</v>
      </c>
      <c r="F267" s="8">
        <f t="shared" si="39"/>
        <v>0</v>
      </c>
      <c r="G267" s="8">
        <f t="shared" si="40"/>
        <v>3.5254911485809703</v>
      </c>
      <c r="H267" s="8">
        <f t="shared" si="33"/>
        <v>1.0791218697829723</v>
      </c>
      <c r="I267" s="8">
        <f t="shared" si="34"/>
        <v>0</v>
      </c>
      <c r="J267" s="2" t="str">
        <f t="shared" si="35"/>
        <v>Y</v>
      </c>
      <c r="K267" s="2" t="str">
        <f t="shared" si="36"/>
        <v/>
      </c>
      <c r="L267" s="2" t="str">
        <f t="shared" si="37"/>
        <v/>
      </c>
    </row>
    <row r="268" spans="1:12">
      <c r="A268" s="9">
        <v>256</v>
      </c>
      <c r="B268" s="8">
        <v>697.29700000000003</v>
      </c>
      <c r="C268" s="8">
        <f t="shared" si="38"/>
        <v>2.8109999999999218</v>
      </c>
      <c r="D268" s="8">
        <f t="shared" si="31"/>
        <v>1.3215777815545913</v>
      </c>
      <c r="E268" s="8">
        <f t="shared" si="32"/>
        <v>1.0616604361005504</v>
      </c>
      <c r="F268" s="8">
        <f t="shared" si="39"/>
        <v>0</v>
      </c>
      <c r="G268" s="8">
        <f t="shared" si="40"/>
        <v>3.5254911485809703</v>
      </c>
      <c r="H268" s="8">
        <f t="shared" si="33"/>
        <v>1.0791218697829723</v>
      </c>
      <c r="I268" s="8">
        <f t="shared" si="34"/>
        <v>0</v>
      </c>
      <c r="J268" s="2" t="str">
        <f t="shared" si="35"/>
        <v>Y</v>
      </c>
      <c r="K268" s="2" t="str">
        <f t="shared" si="36"/>
        <v/>
      </c>
      <c r="L268" s="2" t="str">
        <f t="shared" si="37"/>
        <v/>
      </c>
    </row>
    <row r="269" spans="1:12">
      <c r="A269" s="9">
        <v>257</v>
      </c>
      <c r="B269" s="8">
        <v>697.44600000000003</v>
      </c>
      <c r="C269" s="8">
        <f t="shared" si="38"/>
        <v>0.14900000000000091</v>
      </c>
      <c r="D269" s="8">
        <f t="shared" ref="D269:D332" si="41">$G$13</f>
        <v>1.3215777815545913</v>
      </c>
      <c r="E269" s="8">
        <f t="shared" ref="E269:E332" si="42">$G$14</f>
        <v>1.0616604361005504</v>
      </c>
      <c r="F269" s="8">
        <f t="shared" si="39"/>
        <v>0</v>
      </c>
      <c r="G269" s="8">
        <f t="shared" si="40"/>
        <v>3.5254911485809703</v>
      </c>
      <c r="H269" s="8">
        <f t="shared" ref="H269:H332" si="43">$G$17</f>
        <v>1.0791218697829723</v>
      </c>
      <c r="I269" s="8">
        <f t="shared" ref="I269:I332" si="44">$G$18</f>
        <v>0</v>
      </c>
      <c r="J269" s="2" t="str">
        <f t="shared" ref="J269:J332" si="45">IF(OR(B269&gt;D269,B269&lt;F269),"Y","")</f>
        <v>Y</v>
      </c>
      <c r="K269" s="2" t="str">
        <f t="shared" ref="K269:K332" si="46">IF(AND(C269&lt;&gt;"",C269&gt;G269),"Y","")</f>
        <v/>
      </c>
      <c r="L269" s="2" t="str">
        <f t="shared" ref="L269:L332" si="47">IF(OR(B269&lt;$B$5,B269&gt;$D$5),"Y","")</f>
        <v/>
      </c>
    </row>
    <row r="270" spans="1:12">
      <c r="A270" s="9">
        <v>258</v>
      </c>
      <c r="B270" s="8">
        <v>697.68200000000002</v>
      </c>
      <c r="C270" s="8">
        <f t="shared" ref="C270:C333" si="48">ABS(B270-B269)</f>
        <v>0.23599999999999</v>
      </c>
      <c r="D270" s="8">
        <f t="shared" si="41"/>
        <v>1.3215777815545913</v>
      </c>
      <c r="E270" s="8">
        <f t="shared" si="42"/>
        <v>1.0616604361005504</v>
      </c>
      <c r="F270" s="8">
        <f t="shared" si="39"/>
        <v>0</v>
      </c>
      <c r="G270" s="8">
        <f t="shared" si="40"/>
        <v>3.5254911485809703</v>
      </c>
      <c r="H270" s="8">
        <f t="shared" si="43"/>
        <v>1.0791218697829723</v>
      </c>
      <c r="I270" s="8">
        <f t="shared" si="44"/>
        <v>0</v>
      </c>
      <c r="J270" s="2" t="str">
        <f t="shared" si="45"/>
        <v>Y</v>
      </c>
      <c r="K270" s="2" t="str">
        <f t="shared" si="46"/>
        <v/>
      </c>
      <c r="L270" s="2" t="str">
        <f t="shared" si="47"/>
        <v/>
      </c>
    </row>
    <row r="271" spans="1:12">
      <c r="A271" s="9">
        <v>259</v>
      </c>
      <c r="B271" s="8">
        <v>699.99800000000005</v>
      </c>
      <c r="C271" s="8">
        <f t="shared" si="48"/>
        <v>2.3160000000000309</v>
      </c>
      <c r="D271" s="8">
        <f t="shared" si="41"/>
        <v>1.3215777815545913</v>
      </c>
      <c r="E271" s="8">
        <f t="shared" si="42"/>
        <v>1.0616604361005504</v>
      </c>
      <c r="F271" s="8">
        <f t="shared" si="39"/>
        <v>0</v>
      </c>
      <c r="G271" s="8">
        <f t="shared" si="40"/>
        <v>3.5254911485809703</v>
      </c>
      <c r="H271" s="8">
        <f t="shared" si="43"/>
        <v>1.0791218697829723</v>
      </c>
      <c r="I271" s="8">
        <f t="shared" si="44"/>
        <v>0</v>
      </c>
      <c r="J271" s="2" t="str">
        <f t="shared" si="45"/>
        <v>Y</v>
      </c>
      <c r="K271" s="2" t="str">
        <f t="shared" si="46"/>
        <v/>
      </c>
      <c r="L271" s="2" t="str">
        <f t="shared" si="47"/>
        <v/>
      </c>
    </row>
    <row r="272" spans="1:12">
      <c r="A272" s="9">
        <v>260</v>
      </c>
      <c r="B272" s="8">
        <v>700.77300000000002</v>
      </c>
      <c r="C272" s="8">
        <f t="shared" si="48"/>
        <v>0.77499999999997726</v>
      </c>
      <c r="D272" s="8">
        <f t="shared" si="41"/>
        <v>1.3215777815545913</v>
      </c>
      <c r="E272" s="8">
        <f t="shared" si="42"/>
        <v>1.0616604361005504</v>
      </c>
      <c r="F272" s="8">
        <f t="shared" ref="F272:F335" si="49">$G$15</f>
        <v>0</v>
      </c>
      <c r="G272" s="8">
        <f t="shared" si="40"/>
        <v>3.5254911485809703</v>
      </c>
      <c r="H272" s="8">
        <f t="shared" si="43"/>
        <v>1.0791218697829723</v>
      </c>
      <c r="I272" s="8">
        <f t="shared" si="44"/>
        <v>0</v>
      </c>
      <c r="J272" s="2" t="str">
        <f t="shared" si="45"/>
        <v>Y</v>
      </c>
      <c r="K272" s="2" t="str">
        <f t="shared" si="46"/>
        <v/>
      </c>
      <c r="L272" s="2" t="str">
        <f t="shared" si="47"/>
        <v/>
      </c>
    </row>
    <row r="273" spans="1:12">
      <c r="A273" s="9">
        <v>261</v>
      </c>
      <c r="B273" s="8">
        <v>699.98500000000001</v>
      </c>
      <c r="C273" s="8">
        <f t="shared" si="48"/>
        <v>0.78800000000001091</v>
      </c>
      <c r="D273" s="8">
        <f t="shared" si="41"/>
        <v>1.3215777815545913</v>
      </c>
      <c r="E273" s="8">
        <f t="shared" si="42"/>
        <v>1.0616604361005504</v>
      </c>
      <c r="F273" s="8">
        <f t="shared" si="49"/>
        <v>0</v>
      </c>
      <c r="G273" s="8">
        <f t="shared" si="40"/>
        <v>3.5254911485809703</v>
      </c>
      <c r="H273" s="8">
        <f t="shared" si="43"/>
        <v>1.0791218697829723</v>
      </c>
      <c r="I273" s="8">
        <f t="shared" si="44"/>
        <v>0</v>
      </c>
      <c r="J273" s="2" t="str">
        <f t="shared" si="45"/>
        <v>Y</v>
      </c>
      <c r="K273" s="2" t="str">
        <f t="shared" si="46"/>
        <v/>
      </c>
      <c r="L273" s="2" t="str">
        <f t="shared" si="47"/>
        <v/>
      </c>
    </row>
    <row r="274" spans="1:12">
      <c r="A274" s="9">
        <v>262</v>
      </c>
      <c r="B274" s="8">
        <v>702.19799999999998</v>
      </c>
      <c r="C274" s="8">
        <f t="shared" si="48"/>
        <v>2.2129999999999654</v>
      </c>
      <c r="D274" s="8">
        <f t="shared" si="41"/>
        <v>1.3215777815545913</v>
      </c>
      <c r="E274" s="8">
        <f t="shared" si="42"/>
        <v>1.0616604361005504</v>
      </c>
      <c r="F274" s="8">
        <f t="shared" si="49"/>
        <v>0</v>
      </c>
      <c r="G274" s="8">
        <f t="shared" si="40"/>
        <v>3.5254911485809703</v>
      </c>
      <c r="H274" s="8">
        <f t="shared" si="43"/>
        <v>1.0791218697829723</v>
      </c>
      <c r="I274" s="8">
        <f t="shared" si="44"/>
        <v>0</v>
      </c>
      <c r="J274" s="2" t="str">
        <f t="shared" si="45"/>
        <v>Y</v>
      </c>
      <c r="K274" s="2" t="str">
        <f t="shared" si="46"/>
        <v/>
      </c>
      <c r="L274" s="2" t="str">
        <f t="shared" si="47"/>
        <v/>
      </c>
    </row>
    <row r="275" spans="1:12">
      <c r="A275" s="9">
        <v>263</v>
      </c>
      <c r="B275" s="8">
        <v>697.70399999999995</v>
      </c>
      <c r="C275" s="8">
        <f t="shared" si="48"/>
        <v>4.4940000000000282</v>
      </c>
      <c r="D275" s="8">
        <f t="shared" si="41"/>
        <v>1.3215777815545913</v>
      </c>
      <c r="E275" s="8">
        <f t="shared" si="42"/>
        <v>1.0616604361005504</v>
      </c>
      <c r="F275" s="8">
        <f t="shared" si="49"/>
        <v>0</v>
      </c>
      <c r="G275" s="8">
        <f t="shared" ref="G275:G338" si="50">$G$16</f>
        <v>3.5254911485809703</v>
      </c>
      <c r="H275" s="8">
        <f t="shared" si="43"/>
        <v>1.0791218697829723</v>
      </c>
      <c r="I275" s="8">
        <f t="shared" si="44"/>
        <v>0</v>
      </c>
      <c r="J275" s="2" t="str">
        <f t="shared" si="45"/>
        <v>Y</v>
      </c>
      <c r="K275" s="2" t="str">
        <f t="shared" si="46"/>
        <v>Y</v>
      </c>
      <c r="L275" s="2" t="str">
        <f t="shared" si="47"/>
        <v/>
      </c>
    </row>
    <row r="276" spans="1:12">
      <c r="A276" s="9">
        <v>264</v>
      </c>
      <c r="B276" s="8">
        <v>699.55700000000002</v>
      </c>
      <c r="C276" s="8">
        <f t="shared" si="48"/>
        <v>1.8530000000000655</v>
      </c>
      <c r="D276" s="8">
        <f t="shared" si="41"/>
        <v>1.3215777815545913</v>
      </c>
      <c r="E276" s="8">
        <f t="shared" si="42"/>
        <v>1.0616604361005504</v>
      </c>
      <c r="F276" s="8">
        <f t="shared" si="49"/>
        <v>0</v>
      </c>
      <c r="G276" s="8">
        <f t="shared" si="50"/>
        <v>3.5254911485809703</v>
      </c>
      <c r="H276" s="8">
        <f t="shared" si="43"/>
        <v>1.0791218697829723</v>
      </c>
      <c r="I276" s="8">
        <f t="shared" si="44"/>
        <v>0</v>
      </c>
      <c r="J276" s="2" t="str">
        <f t="shared" si="45"/>
        <v>Y</v>
      </c>
      <c r="K276" s="2" t="str">
        <f t="shared" si="46"/>
        <v/>
      </c>
      <c r="L276" s="2" t="str">
        <f t="shared" si="47"/>
        <v/>
      </c>
    </row>
    <row r="277" spans="1:12">
      <c r="A277" s="9">
        <v>265</v>
      </c>
      <c r="B277" s="8">
        <v>701.54</v>
      </c>
      <c r="C277" s="8">
        <f t="shared" si="48"/>
        <v>1.9829999999999472</v>
      </c>
      <c r="D277" s="8">
        <f t="shared" si="41"/>
        <v>1.3215777815545913</v>
      </c>
      <c r="E277" s="8">
        <f t="shared" si="42"/>
        <v>1.0616604361005504</v>
      </c>
      <c r="F277" s="8">
        <f t="shared" si="49"/>
        <v>0</v>
      </c>
      <c r="G277" s="8">
        <f t="shared" si="50"/>
        <v>3.5254911485809703</v>
      </c>
      <c r="H277" s="8">
        <f t="shared" si="43"/>
        <v>1.0791218697829723</v>
      </c>
      <c r="I277" s="8">
        <f t="shared" si="44"/>
        <v>0</v>
      </c>
      <c r="J277" s="2" t="str">
        <f t="shared" si="45"/>
        <v>Y</v>
      </c>
      <c r="K277" s="2" t="str">
        <f t="shared" si="46"/>
        <v/>
      </c>
      <c r="L277" s="2" t="str">
        <f t="shared" si="47"/>
        <v/>
      </c>
    </row>
    <row r="278" spans="1:12">
      <c r="A278" s="9">
        <v>266</v>
      </c>
      <c r="B278" s="8">
        <v>700.80200000000002</v>
      </c>
      <c r="C278" s="8">
        <f t="shared" si="48"/>
        <v>0.7379999999999427</v>
      </c>
      <c r="D278" s="8">
        <f t="shared" si="41"/>
        <v>1.3215777815545913</v>
      </c>
      <c r="E278" s="8">
        <f t="shared" si="42"/>
        <v>1.0616604361005504</v>
      </c>
      <c r="F278" s="8">
        <f t="shared" si="49"/>
        <v>0</v>
      </c>
      <c r="G278" s="8">
        <f t="shared" si="50"/>
        <v>3.5254911485809703</v>
      </c>
      <c r="H278" s="8">
        <f t="shared" si="43"/>
        <v>1.0791218697829723</v>
      </c>
      <c r="I278" s="8">
        <f t="shared" si="44"/>
        <v>0</v>
      </c>
      <c r="J278" s="2" t="str">
        <f t="shared" si="45"/>
        <v>Y</v>
      </c>
      <c r="K278" s="2" t="str">
        <f t="shared" si="46"/>
        <v/>
      </c>
      <c r="L278" s="2" t="str">
        <f t="shared" si="47"/>
        <v/>
      </c>
    </row>
    <row r="279" spans="1:12">
      <c r="A279" s="9">
        <v>267</v>
      </c>
      <c r="B279" s="8">
        <v>700.47500000000002</v>
      </c>
      <c r="C279" s="8">
        <f t="shared" si="48"/>
        <v>0.32699999999999818</v>
      </c>
      <c r="D279" s="8">
        <f t="shared" si="41"/>
        <v>1.3215777815545913</v>
      </c>
      <c r="E279" s="8">
        <f t="shared" si="42"/>
        <v>1.0616604361005504</v>
      </c>
      <c r="F279" s="8">
        <f t="shared" si="49"/>
        <v>0</v>
      </c>
      <c r="G279" s="8">
        <f t="shared" si="50"/>
        <v>3.5254911485809703</v>
      </c>
      <c r="H279" s="8">
        <f t="shared" si="43"/>
        <v>1.0791218697829723</v>
      </c>
      <c r="I279" s="8">
        <f t="shared" si="44"/>
        <v>0</v>
      </c>
      <c r="J279" s="2" t="str">
        <f t="shared" si="45"/>
        <v>Y</v>
      </c>
      <c r="K279" s="2" t="str">
        <f t="shared" si="46"/>
        <v/>
      </c>
      <c r="L279" s="2" t="str">
        <f t="shared" si="47"/>
        <v/>
      </c>
    </row>
    <row r="280" spans="1:12">
      <c r="A280" s="9">
        <v>268</v>
      </c>
      <c r="B280" s="8">
        <v>697.78300000000002</v>
      </c>
      <c r="C280" s="8">
        <f t="shared" si="48"/>
        <v>2.6920000000000073</v>
      </c>
      <c r="D280" s="8">
        <f t="shared" si="41"/>
        <v>1.3215777815545913</v>
      </c>
      <c r="E280" s="8">
        <f t="shared" si="42"/>
        <v>1.0616604361005504</v>
      </c>
      <c r="F280" s="8">
        <f t="shared" si="49"/>
        <v>0</v>
      </c>
      <c r="G280" s="8">
        <f t="shared" si="50"/>
        <v>3.5254911485809703</v>
      </c>
      <c r="H280" s="8">
        <f t="shared" si="43"/>
        <v>1.0791218697829723</v>
      </c>
      <c r="I280" s="8">
        <f t="shared" si="44"/>
        <v>0</v>
      </c>
      <c r="J280" s="2" t="str">
        <f t="shared" si="45"/>
        <v>Y</v>
      </c>
      <c r="K280" s="2" t="str">
        <f t="shared" si="46"/>
        <v/>
      </c>
      <c r="L280" s="2" t="str">
        <f t="shared" si="47"/>
        <v/>
      </c>
    </row>
    <row r="281" spans="1:12">
      <c r="A281" s="9">
        <v>269</v>
      </c>
      <c r="B281" s="8">
        <v>697.63599999999997</v>
      </c>
      <c r="C281" s="8">
        <f t="shared" si="48"/>
        <v>0.1470000000000482</v>
      </c>
      <c r="D281" s="8">
        <f t="shared" si="41"/>
        <v>1.3215777815545913</v>
      </c>
      <c r="E281" s="8">
        <f t="shared" si="42"/>
        <v>1.0616604361005504</v>
      </c>
      <c r="F281" s="8">
        <f t="shared" si="49"/>
        <v>0</v>
      </c>
      <c r="G281" s="8">
        <f t="shared" si="50"/>
        <v>3.5254911485809703</v>
      </c>
      <c r="H281" s="8">
        <f t="shared" si="43"/>
        <v>1.0791218697829723</v>
      </c>
      <c r="I281" s="8">
        <f t="shared" si="44"/>
        <v>0</v>
      </c>
      <c r="J281" s="2" t="str">
        <f t="shared" si="45"/>
        <v>Y</v>
      </c>
      <c r="K281" s="2" t="str">
        <f t="shared" si="46"/>
        <v/>
      </c>
      <c r="L281" s="2" t="str">
        <f t="shared" si="47"/>
        <v/>
      </c>
    </row>
    <row r="282" spans="1:12">
      <c r="A282" s="9">
        <v>270</v>
      </c>
      <c r="B282" s="8">
        <v>703.55200000000002</v>
      </c>
      <c r="C282" s="8">
        <f t="shared" si="48"/>
        <v>5.9160000000000537</v>
      </c>
      <c r="D282" s="8">
        <f t="shared" si="41"/>
        <v>1.3215777815545913</v>
      </c>
      <c r="E282" s="8">
        <f t="shared" si="42"/>
        <v>1.0616604361005504</v>
      </c>
      <c r="F282" s="8">
        <f t="shared" si="49"/>
        <v>0</v>
      </c>
      <c r="G282" s="8">
        <f t="shared" si="50"/>
        <v>3.5254911485809703</v>
      </c>
      <c r="H282" s="8">
        <f t="shared" si="43"/>
        <v>1.0791218697829723</v>
      </c>
      <c r="I282" s="8">
        <f t="shared" si="44"/>
        <v>0</v>
      </c>
      <c r="J282" s="2" t="str">
        <f t="shared" si="45"/>
        <v>Y</v>
      </c>
      <c r="K282" s="2" t="str">
        <f t="shared" si="46"/>
        <v>Y</v>
      </c>
      <c r="L282" s="2" t="str">
        <f t="shared" si="47"/>
        <v/>
      </c>
    </row>
    <row r="283" spans="1:12">
      <c r="A283" s="9">
        <v>271</v>
      </c>
      <c r="B283" s="8">
        <v>697.56100000000004</v>
      </c>
      <c r="C283" s="8">
        <f t="shared" si="48"/>
        <v>5.9909999999999854</v>
      </c>
      <c r="D283" s="8">
        <f t="shared" si="41"/>
        <v>1.3215777815545913</v>
      </c>
      <c r="E283" s="8">
        <f t="shared" si="42"/>
        <v>1.0616604361005504</v>
      </c>
      <c r="F283" s="8">
        <f t="shared" si="49"/>
        <v>0</v>
      </c>
      <c r="G283" s="8">
        <f t="shared" si="50"/>
        <v>3.5254911485809703</v>
      </c>
      <c r="H283" s="8">
        <f t="shared" si="43"/>
        <v>1.0791218697829723</v>
      </c>
      <c r="I283" s="8">
        <f t="shared" si="44"/>
        <v>0</v>
      </c>
      <c r="J283" s="2" t="str">
        <f t="shared" si="45"/>
        <v>Y</v>
      </c>
      <c r="K283" s="2" t="str">
        <f t="shared" si="46"/>
        <v>Y</v>
      </c>
      <c r="L283" s="2" t="str">
        <f t="shared" si="47"/>
        <v/>
      </c>
    </row>
    <row r="284" spans="1:12">
      <c r="A284" s="9">
        <v>272</v>
      </c>
      <c r="B284" s="8">
        <v>699.26900000000001</v>
      </c>
      <c r="C284" s="8">
        <f t="shared" si="48"/>
        <v>1.70799999999997</v>
      </c>
      <c r="D284" s="8">
        <f t="shared" si="41"/>
        <v>1.3215777815545913</v>
      </c>
      <c r="E284" s="8">
        <f t="shared" si="42"/>
        <v>1.0616604361005504</v>
      </c>
      <c r="F284" s="8">
        <f t="shared" si="49"/>
        <v>0</v>
      </c>
      <c r="G284" s="8">
        <f t="shared" si="50"/>
        <v>3.5254911485809703</v>
      </c>
      <c r="H284" s="8">
        <f t="shared" si="43"/>
        <v>1.0791218697829723</v>
      </c>
      <c r="I284" s="8">
        <f t="shared" si="44"/>
        <v>0</v>
      </c>
      <c r="J284" s="2" t="str">
        <f t="shared" si="45"/>
        <v>Y</v>
      </c>
      <c r="K284" s="2" t="str">
        <f t="shared" si="46"/>
        <v/>
      </c>
      <c r="L284" s="2" t="str">
        <f t="shared" si="47"/>
        <v/>
      </c>
    </row>
    <row r="285" spans="1:12">
      <c r="A285" s="9">
        <v>273</v>
      </c>
      <c r="B285" s="8">
        <v>700.327</v>
      </c>
      <c r="C285" s="8">
        <f t="shared" si="48"/>
        <v>1.0579999999999927</v>
      </c>
      <c r="D285" s="8">
        <f t="shared" si="41"/>
        <v>1.3215777815545913</v>
      </c>
      <c r="E285" s="8">
        <f t="shared" si="42"/>
        <v>1.0616604361005504</v>
      </c>
      <c r="F285" s="8">
        <f t="shared" si="49"/>
        <v>0</v>
      </c>
      <c r="G285" s="8">
        <f t="shared" si="50"/>
        <v>3.5254911485809703</v>
      </c>
      <c r="H285" s="8">
        <f t="shared" si="43"/>
        <v>1.0791218697829723</v>
      </c>
      <c r="I285" s="8">
        <f t="shared" si="44"/>
        <v>0</v>
      </c>
      <c r="J285" s="2" t="str">
        <f t="shared" si="45"/>
        <v>Y</v>
      </c>
      <c r="K285" s="2" t="str">
        <f t="shared" si="46"/>
        <v/>
      </c>
      <c r="L285" s="2" t="str">
        <f t="shared" si="47"/>
        <v/>
      </c>
    </row>
    <row r="286" spans="1:12">
      <c r="A286" s="9">
        <v>274</v>
      </c>
      <c r="B286" s="8">
        <v>701.375</v>
      </c>
      <c r="C286" s="8">
        <f t="shared" si="48"/>
        <v>1.0480000000000018</v>
      </c>
      <c r="D286" s="8">
        <f t="shared" si="41"/>
        <v>1.3215777815545913</v>
      </c>
      <c r="E286" s="8">
        <f t="shared" si="42"/>
        <v>1.0616604361005504</v>
      </c>
      <c r="F286" s="8">
        <f t="shared" si="49"/>
        <v>0</v>
      </c>
      <c r="G286" s="8">
        <f t="shared" si="50"/>
        <v>3.5254911485809703</v>
      </c>
      <c r="H286" s="8">
        <f t="shared" si="43"/>
        <v>1.0791218697829723</v>
      </c>
      <c r="I286" s="8">
        <f t="shared" si="44"/>
        <v>0</v>
      </c>
      <c r="J286" s="2" t="str">
        <f t="shared" si="45"/>
        <v>Y</v>
      </c>
      <c r="K286" s="2" t="str">
        <f t="shared" si="46"/>
        <v/>
      </c>
      <c r="L286" s="2" t="str">
        <f t="shared" si="47"/>
        <v/>
      </c>
    </row>
    <row r="287" spans="1:12">
      <c r="A287" s="9">
        <v>275</v>
      </c>
      <c r="B287" s="8">
        <v>699.95699999999999</v>
      </c>
      <c r="C287" s="8">
        <f t="shared" si="48"/>
        <v>1.4180000000000064</v>
      </c>
      <c r="D287" s="8">
        <f t="shared" si="41"/>
        <v>1.3215777815545913</v>
      </c>
      <c r="E287" s="8">
        <f t="shared" si="42"/>
        <v>1.0616604361005504</v>
      </c>
      <c r="F287" s="8">
        <f t="shared" si="49"/>
        <v>0</v>
      </c>
      <c r="G287" s="8">
        <f t="shared" si="50"/>
        <v>3.5254911485809703</v>
      </c>
      <c r="H287" s="8">
        <f t="shared" si="43"/>
        <v>1.0791218697829723</v>
      </c>
      <c r="I287" s="8">
        <f t="shared" si="44"/>
        <v>0</v>
      </c>
      <c r="J287" s="2" t="str">
        <f t="shared" si="45"/>
        <v>Y</v>
      </c>
      <c r="K287" s="2" t="str">
        <f t="shared" si="46"/>
        <v/>
      </c>
      <c r="L287" s="2" t="str">
        <f t="shared" si="47"/>
        <v/>
      </c>
    </row>
    <row r="288" spans="1:12">
      <c r="A288" s="9">
        <v>276</v>
      </c>
      <c r="B288" s="8">
        <v>703.322</v>
      </c>
      <c r="C288" s="8">
        <f t="shared" si="48"/>
        <v>3.3650000000000091</v>
      </c>
      <c r="D288" s="8">
        <f t="shared" si="41"/>
        <v>1.3215777815545913</v>
      </c>
      <c r="E288" s="8">
        <f t="shared" si="42"/>
        <v>1.0616604361005504</v>
      </c>
      <c r="F288" s="8">
        <f t="shared" si="49"/>
        <v>0</v>
      </c>
      <c r="G288" s="8">
        <f t="shared" si="50"/>
        <v>3.5254911485809703</v>
      </c>
      <c r="H288" s="8">
        <f t="shared" si="43"/>
        <v>1.0791218697829723</v>
      </c>
      <c r="I288" s="8">
        <f t="shared" si="44"/>
        <v>0</v>
      </c>
      <c r="J288" s="2" t="str">
        <f t="shared" si="45"/>
        <v>Y</v>
      </c>
      <c r="K288" s="2" t="str">
        <f t="shared" si="46"/>
        <v/>
      </c>
      <c r="L288" s="2" t="str">
        <f t="shared" si="47"/>
        <v/>
      </c>
    </row>
    <row r="289" spans="1:12">
      <c r="A289" s="9">
        <v>277</v>
      </c>
      <c r="B289" s="8">
        <v>701.40700000000004</v>
      </c>
      <c r="C289" s="8">
        <f t="shared" si="48"/>
        <v>1.9149999999999636</v>
      </c>
      <c r="D289" s="8">
        <f t="shared" si="41"/>
        <v>1.3215777815545913</v>
      </c>
      <c r="E289" s="8">
        <f t="shared" si="42"/>
        <v>1.0616604361005504</v>
      </c>
      <c r="F289" s="8">
        <f t="shared" si="49"/>
        <v>0</v>
      </c>
      <c r="G289" s="8">
        <f t="shared" si="50"/>
        <v>3.5254911485809703</v>
      </c>
      <c r="H289" s="8">
        <f t="shared" si="43"/>
        <v>1.0791218697829723</v>
      </c>
      <c r="I289" s="8">
        <f t="shared" si="44"/>
        <v>0</v>
      </c>
      <c r="J289" s="2" t="str">
        <f t="shared" si="45"/>
        <v>Y</v>
      </c>
      <c r="K289" s="2" t="str">
        <f t="shared" si="46"/>
        <v/>
      </c>
      <c r="L289" s="2" t="str">
        <f t="shared" si="47"/>
        <v/>
      </c>
    </row>
    <row r="290" spans="1:12">
      <c r="A290" s="9">
        <v>278</v>
      </c>
      <c r="B290" s="8">
        <v>701.245</v>
      </c>
      <c r="C290" s="8">
        <f t="shared" si="48"/>
        <v>0.16200000000003456</v>
      </c>
      <c r="D290" s="8">
        <f t="shared" si="41"/>
        <v>1.3215777815545913</v>
      </c>
      <c r="E290" s="8">
        <f t="shared" si="42"/>
        <v>1.0616604361005504</v>
      </c>
      <c r="F290" s="8">
        <f t="shared" si="49"/>
        <v>0</v>
      </c>
      <c r="G290" s="8">
        <f t="shared" si="50"/>
        <v>3.5254911485809703</v>
      </c>
      <c r="H290" s="8">
        <f t="shared" si="43"/>
        <v>1.0791218697829723</v>
      </c>
      <c r="I290" s="8">
        <f t="shared" si="44"/>
        <v>0</v>
      </c>
      <c r="J290" s="2" t="str">
        <f t="shared" si="45"/>
        <v>Y</v>
      </c>
      <c r="K290" s="2" t="str">
        <f t="shared" si="46"/>
        <v/>
      </c>
      <c r="L290" s="2" t="str">
        <f t="shared" si="47"/>
        <v/>
      </c>
    </row>
    <row r="291" spans="1:12">
      <c r="A291" s="9">
        <v>279</v>
      </c>
      <c r="B291" s="8">
        <v>700.25900000000001</v>
      </c>
      <c r="C291" s="8">
        <f t="shared" si="48"/>
        <v>0.98599999999999</v>
      </c>
      <c r="D291" s="8">
        <f t="shared" si="41"/>
        <v>1.3215777815545913</v>
      </c>
      <c r="E291" s="8">
        <f t="shared" si="42"/>
        <v>1.0616604361005504</v>
      </c>
      <c r="F291" s="8">
        <f t="shared" si="49"/>
        <v>0</v>
      </c>
      <c r="G291" s="8">
        <f t="shared" si="50"/>
        <v>3.5254911485809703</v>
      </c>
      <c r="H291" s="8">
        <f t="shared" si="43"/>
        <v>1.0791218697829723</v>
      </c>
      <c r="I291" s="8">
        <f t="shared" si="44"/>
        <v>0</v>
      </c>
      <c r="J291" s="2" t="str">
        <f t="shared" si="45"/>
        <v>Y</v>
      </c>
      <c r="K291" s="2" t="str">
        <f t="shared" si="46"/>
        <v/>
      </c>
      <c r="L291" s="2" t="str">
        <f t="shared" si="47"/>
        <v/>
      </c>
    </row>
    <row r="292" spans="1:12">
      <c r="A292" s="9">
        <v>280</v>
      </c>
      <c r="B292" s="8">
        <v>701.46400000000006</v>
      </c>
      <c r="C292" s="8">
        <f t="shared" si="48"/>
        <v>1.2050000000000409</v>
      </c>
      <c r="D292" s="8">
        <f t="shared" si="41"/>
        <v>1.3215777815545913</v>
      </c>
      <c r="E292" s="8">
        <f t="shared" si="42"/>
        <v>1.0616604361005504</v>
      </c>
      <c r="F292" s="8">
        <f t="shared" si="49"/>
        <v>0</v>
      </c>
      <c r="G292" s="8">
        <f t="shared" si="50"/>
        <v>3.5254911485809703</v>
      </c>
      <c r="H292" s="8">
        <f t="shared" si="43"/>
        <v>1.0791218697829723</v>
      </c>
      <c r="I292" s="8">
        <f t="shared" si="44"/>
        <v>0</v>
      </c>
      <c r="J292" s="2" t="str">
        <f t="shared" si="45"/>
        <v>Y</v>
      </c>
      <c r="K292" s="2" t="str">
        <f t="shared" si="46"/>
        <v/>
      </c>
      <c r="L292" s="2" t="str">
        <f t="shared" si="47"/>
        <v/>
      </c>
    </row>
    <row r="293" spans="1:12">
      <c r="A293" s="9">
        <v>281</v>
      </c>
      <c r="B293" s="8">
        <v>701.35400000000004</v>
      </c>
      <c r="C293" s="8">
        <f t="shared" si="48"/>
        <v>0.11000000000001364</v>
      </c>
      <c r="D293" s="8">
        <f t="shared" si="41"/>
        <v>1.3215777815545913</v>
      </c>
      <c r="E293" s="8">
        <f t="shared" si="42"/>
        <v>1.0616604361005504</v>
      </c>
      <c r="F293" s="8">
        <f t="shared" si="49"/>
        <v>0</v>
      </c>
      <c r="G293" s="8">
        <f t="shared" si="50"/>
        <v>3.5254911485809703</v>
      </c>
      <c r="H293" s="8">
        <f t="shared" si="43"/>
        <v>1.0791218697829723</v>
      </c>
      <c r="I293" s="8">
        <f t="shared" si="44"/>
        <v>0</v>
      </c>
      <c r="J293" s="2" t="str">
        <f t="shared" si="45"/>
        <v>Y</v>
      </c>
      <c r="K293" s="2" t="str">
        <f t="shared" si="46"/>
        <v/>
      </c>
      <c r="L293" s="2" t="str">
        <f t="shared" si="47"/>
        <v/>
      </c>
    </row>
    <row r="294" spans="1:12">
      <c r="A294" s="9">
        <v>282</v>
      </c>
      <c r="B294" s="8">
        <v>701.33100000000002</v>
      </c>
      <c r="C294" s="8">
        <f t="shared" si="48"/>
        <v>2.3000000000024556E-2</v>
      </c>
      <c r="D294" s="8">
        <f t="shared" si="41"/>
        <v>1.3215777815545913</v>
      </c>
      <c r="E294" s="8">
        <f t="shared" si="42"/>
        <v>1.0616604361005504</v>
      </c>
      <c r="F294" s="8">
        <f t="shared" si="49"/>
        <v>0</v>
      </c>
      <c r="G294" s="8">
        <f t="shared" si="50"/>
        <v>3.5254911485809703</v>
      </c>
      <c r="H294" s="8">
        <f t="shared" si="43"/>
        <v>1.0791218697829723</v>
      </c>
      <c r="I294" s="8">
        <f t="shared" si="44"/>
        <v>0</v>
      </c>
      <c r="J294" s="2" t="str">
        <f t="shared" si="45"/>
        <v>Y</v>
      </c>
      <c r="K294" s="2" t="str">
        <f t="shared" si="46"/>
        <v/>
      </c>
      <c r="L294" s="2" t="str">
        <f t="shared" si="47"/>
        <v/>
      </c>
    </row>
    <row r="295" spans="1:12">
      <c r="A295" s="9">
        <v>283</v>
      </c>
      <c r="B295" s="8">
        <v>702.40899999999999</v>
      </c>
      <c r="C295" s="8">
        <f t="shared" si="48"/>
        <v>1.0779999999999745</v>
      </c>
      <c r="D295" s="8">
        <f t="shared" si="41"/>
        <v>1.3215777815545913</v>
      </c>
      <c r="E295" s="8">
        <f t="shared" si="42"/>
        <v>1.0616604361005504</v>
      </c>
      <c r="F295" s="8">
        <f t="shared" si="49"/>
        <v>0</v>
      </c>
      <c r="G295" s="8">
        <f t="shared" si="50"/>
        <v>3.5254911485809703</v>
      </c>
      <c r="H295" s="8">
        <f t="shared" si="43"/>
        <v>1.0791218697829723</v>
      </c>
      <c r="I295" s="8">
        <f t="shared" si="44"/>
        <v>0</v>
      </c>
      <c r="J295" s="2" t="str">
        <f t="shared" si="45"/>
        <v>Y</v>
      </c>
      <c r="K295" s="2" t="str">
        <f t="shared" si="46"/>
        <v/>
      </c>
      <c r="L295" s="2" t="str">
        <f t="shared" si="47"/>
        <v/>
      </c>
    </row>
    <row r="296" spans="1:12">
      <c r="A296" s="9">
        <v>284</v>
      </c>
      <c r="B296" s="8">
        <v>702.89599999999996</v>
      </c>
      <c r="C296" s="8">
        <f t="shared" si="48"/>
        <v>0.48699999999996635</v>
      </c>
      <c r="D296" s="8">
        <f t="shared" si="41"/>
        <v>1.3215777815545913</v>
      </c>
      <c r="E296" s="8">
        <f t="shared" si="42"/>
        <v>1.0616604361005504</v>
      </c>
      <c r="F296" s="8">
        <f t="shared" si="49"/>
        <v>0</v>
      </c>
      <c r="G296" s="8">
        <f t="shared" si="50"/>
        <v>3.5254911485809703</v>
      </c>
      <c r="H296" s="8">
        <f t="shared" si="43"/>
        <v>1.0791218697829723</v>
      </c>
      <c r="I296" s="8">
        <f t="shared" si="44"/>
        <v>0</v>
      </c>
      <c r="J296" s="2" t="str">
        <f t="shared" si="45"/>
        <v>Y</v>
      </c>
      <c r="K296" s="2" t="str">
        <f t="shared" si="46"/>
        <v/>
      </c>
      <c r="L296" s="2" t="str">
        <f t="shared" si="47"/>
        <v/>
      </c>
    </row>
    <row r="297" spans="1:12">
      <c r="A297" s="9">
        <v>285</v>
      </c>
      <c r="B297" s="8">
        <v>699.67</v>
      </c>
      <c r="C297" s="8">
        <f t="shared" si="48"/>
        <v>3.2259999999999991</v>
      </c>
      <c r="D297" s="8">
        <f t="shared" si="41"/>
        <v>1.3215777815545913</v>
      </c>
      <c r="E297" s="8">
        <f t="shared" si="42"/>
        <v>1.0616604361005504</v>
      </c>
      <c r="F297" s="8">
        <f t="shared" si="49"/>
        <v>0</v>
      </c>
      <c r="G297" s="8">
        <f t="shared" si="50"/>
        <v>3.5254911485809703</v>
      </c>
      <c r="H297" s="8">
        <f t="shared" si="43"/>
        <v>1.0791218697829723</v>
      </c>
      <c r="I297" s="8">
        <f t="shared" si="44"/>
        <v>0</v>
      </c>
      <c r="J297" s="2" t="str">
        <f t="shared" si="45"/>
        <v>Y</v>
      </c>
      <c r="K297" s="2" t="str">
        <f t="shared" si="46"/>
        <v/>
      </c>
      <c r="L297" s="2" t="str">
        <f t="shared" si="47"/>
        <v/>
      </c>
    </row>
    <row r="298" spans="1:12">
      <c r="A298" s="9">
        <v>286</v>
      </c>
      <c r="B298" s="8">
        <v>699.40700000000004</v>
      </c>
      <c r="C298" s="8">
        <f t="shared" si="48"/>
        <v>0.26299999999991996</v>
      </c>
      <c r="D298" s="8">
        <f t="shared" si="41"/>
        <v>1.3215777815545913</v>
      </c>
      <c r="E298" s="8">
        <f t="shared" si="42"/>
        <v>1.0616604361005504</v>
      </c>
      <c r="F298" s="8">
        <f t="shared" si="49"/>
        <v>0</v>
      </c>
      <c r="G298" s="8">
        <f t="shared" si="50"/>
        <v>3.5254911485809703</v>
      </c>
      <c r="H298" s="8">
        <f t="shared" si="43"/>
        <v>1.0791218697829723</v>
      </c>
      <c r="I298" s="8">
        <f t="shared" si="44"/>
        <v>0</v>
      </c>
      <c r="J298" s="2" t="str">
        <f t="shared" si="45"/>
        <v>Y</v>
      </c>
      <c r="K298" s="2" t="str">
        <f t="shared" si="46"/>
        <v/>
      </c>
      <c r="L298" s="2" t="str">
        <f t="shared" si="47"/>
        <v/>
      </c>
    </row>
    <row r="299" spans="1:12">
      <c r="A299" s="9">
        <v>287</v>
      </c>
      <c r="B299" s="8">
        <v>700.03800000000001</v>
      </c>
      <c r="C299" s="8">
        <f t="shared" si="48"/>
        <v>0.63099999999997181</v>
      </c>
      <c r="D299" s="8">
        <f t="shared" si="41"/>
        <v>1.3215777815545913</v>
      </c>
      <c r="E299" s="8">
        <f t="shared" si="42"/>
        <v>1.0616604361005504</v>
      </c>
      <c r="F299" s="8">
        <f t="shared" si="49"/>
        <v>0</v>
      </c>
      <c r="G299" s="8">
        <f t="shared" si="50"/>
        <v>3.5254911485809703</v>
      </c>
      <c r="H299" s="8">
        <f t="shared" si="43"/>
        <v>1.0791218697829723</v>
      </c>
      <c r="I299" s="8">
        <f t="shared" si="44"/>
        <v>0</v>
      </c>
      <c r="J299" s="2" t="str">
        <f t="shared" si="45"/>
        <v>Y</v>
      </c>
      <c r="K299" s="2" t="str">
        <f t="shared" si="46"/>
        <v/>
      </c>
      <c r="L299" s="2" t="str">
        <f t="shared" si="47"/>
        <v/>
      </c>
    </row>
    <row r="300" spans="1:12">
      <c r="A300" s="9">
        <v>288</v>
      </c>
      <c r="B300" s="8">
        <v>700.06799999999998</v>
      </c>
      <c r="C300" s="8">
        <f t="shared" si="48"/>
        <v>2.9999999999972715E-2</v>
      </c>
      <c r="D300" s="8">
        <f t="shared" si="41"/>
        <v>1.3215777815545913</v>
      </c>
      <c r="E300" s="8">
        <f t="shared" si="42"/>
        <v>1.0616604361005504</v>
      </c>
      <c r="F300" s="8">
        <f t="shared" si="49"/>
        <v>0</v>
      </c>
      <c r="G300" s="8">
        <f t="shared" si="50"/>
        <v>3.5254911485809703</v>
      </c>
      <c r="H300" s="8">
        <f t="shared" si="43"/>
        <v>1.0791218697829723</v>
      </c>
      <c r="I300" s="8">
        <f t="shared" si="44"/>
        <v>0</v>
      </c>
      <c r="J300" s="2" t="str">
        <f t="shared" si="45"/>
        <v>Y</v>
      </c>
      <c r="K300" s="2" t="str">
        <f t="shared" si="46"/>
        <v/>
      </c>
      <c r="L300" s="2" t="str">
        <f t="shared" si="47"/>
        <v/>
      </c>
    </row>
    <row r="301" spans="1:12">
      <c r="A301" s="9">
        <v>289</v>
      </c>
      <c r="B301" s="8">
        <v>700.19899999999996</v>
      </c>
      <c r="C301" s="8">
        <f t="shared" si="48"/>
        <v>0.13099999999997181</v>
      </c>
      <c r="D301" s="8">
        <f t="shared" si="41"/>
        <v>1.3215777815545913</v>
      </c>
      <c r="E301" s="8">
        <f t="shared" si="42"/>
        <v>1.0616604361005504</v>
      </c>
      <c r="F301" s="8">
        <f t="shared" si="49"/>
        <v>0</v>
      </c>
      <c r="G301" s="8">
        <f t="shared" si="50"/>
        <v>3.5254911485809703</v>
      </c>
      <c r="H301" s="8">
        <f t="shared" si="43"/>
        <v>1.0791218697829723</v>
      </c>
      <c r="I301" s="8">
        <f t="shared" si="44"/>
        <v>0</v>
      </c>
      <c r="J301" s="2" t="str">
        <f t="shared" si="45"/>
        <v>Y</v>
      </c>
      <c r="K301" s="2" t="str">
        <f t="shared" si="46"/>
        <v/>
      </c>
      <c r="L301" s="2" t="str">
        <f t="shared" si="47"/>
        <v/>
      </c>
    </row>
    <row r="302" spans="1:12">
      <c r="A302" s="9">
        <v>290</v>
      </c>
      <c r="B302" s="8">
        <v>700.50800000000004</v>
      </c>
      <c r="C302" s="8">
        <f t="shared" si="48"/>
        <v>0.30900000000008276</v>
      </c>
      <c r="D302" s="8">
        <f t="shared" si="41"/>
        <v>1.3215777815545913</v>
      </c>
      <c r="E302" s="8">
        <f t="shared" si="42"/>
        <v>1.0616604361005504</v>
      </c>
      <c r="F302" s="8">
        <f t="shared" si="49"/>
        <v>0</v>
      </c>
      <c r="G302" s="8">
        <f t="shared" si="50"/>
        <v>3.5254911485809703</v>
      </c>
      <c r="H302" s="8">
        <f t="shared" si="43"/>
        <v>1.0791218697829723</v>
      </c>
      <c r="I302" s="8">
        <f t="shared" si="44"/>
        <v>0</v>
      </c>
      <c r="J302" s="2" t="str">
        <f t="shared" si="45"/>
        <v>Y</v>
      </c>
      <c r="K302" s="2" t="str">
        <f t="shared" si="46"/>
        <v/>
      </c>
      <c r="L302" s="2" t="str">
        <f t="shared" si="47"/>
        <v/>
      </c>
    </row>
    <row r="303" spans="1:12">
      <c r="A303" s="9">
        <v>291</v>
      </c>
      <c r="B303" s="8">
        <v>699.62</v>
      </c>
      <c r="C303" s="8">
        <f t="shared" si="48"/>
        <v>0.88800000000003365</v>
      </c>
      <c r="D303" s="8">
        <f t="shared" si="41"/>
        <v>1.3215777815545913</v>
      </c>
      <c r="E303" s="8">
        <f t="shared" si="42"/>
        <v>1.0616604361005504</v>
      </c>
      <c r="F303" s="8">
        <f t="shared" si="49"/>
        <v>0</v>
      </c>
      <c r="G303" s="8">
        <f t="shared" si="50"/>
        <v>3.5254911485809703</v>
      </c>
      <c r="H303" s="8">
        <f t="shared" si="43"/>
        <v>1.0791218697829723</v>
      </c>
      <c r="I303" s="8">
        <f t="shared" si="44"/>
        <v>0</v>
      </c>
      <c r="J303" s="2" t="str">
        <f t="shared" si="45"/>
        <v>Y</v>
      </c>
      <c r="K303" s="2" t="str">
        <f t="shared" si="46"/>
        <v/>
      </c>
      <c r="L303" s="2" t="str">
        <f t="shared" si="47"/>
        <v/>
      </c>
    </row>
    <row r="304" spans="1:12">
      <c r="A304" s="9">
        <v>292</v>
      </c>
      <c r="B304" s="8">
        <v>700.56</v>
      </c>
      <c r="C304" s="8">
        <f t="shared" si="48"/>
        <v>0.93999999999994088</v>
      </c>
      <c r="D304" s="8">
        <f t="shared" si="41"/>
        <v>1.3215777815545913</v>
      </c>
      <c r="E304" s="8">
        <f t="shared" si="42"/>
        <v>1.0616604361005504</v>
      </c>
      <c r="F304" s="8">
        <f t="shared" si="49"/>
        <v>0</v>
      </c>
      <c r="G304" s="8">
        <f t="shared" si="50"/>
        <v>3.5254911485809703</v>
      </c>
      <c r="H304" s="8">
        <f t="shared" si="43"/>
        <v>1.0791218697829723</v>
      </c>
      <c r="I304" s="8">
        <f t="shared" si="44"/>
        <v>0</v>
      </c>
      <c r="J304" s="2" t="str">
        <f t="shared" si="45"/>
        <v>Y</v>
      </c>
      <c r="K304" s="2" t="str">
        <f t="shared" si="46"/>
        <v/>
      </c>
      <c r="L304" s="2" t="str">
        <f t="shared" si="47"/>
        <v/>
      </c>
    </row>
    <row r="305" spans="1:12">
      <c r="A305" s="9">
        <v>293</v>
      </c>
      <c r="B305" s="8">
        <v>699.97699999999998</v>
      </c>
      <c r="C305" s="8">
        <f t="shared" si="48"/>
        <v>0.58299999999996999</v>
      </c>
      <c r="D305" s="8">
        <f t="shared" si="41"/>
        <v>1.3215777815545913</v>
      </c>
      <c r="E305" s="8">
        <f t="shared" si="42"/>
        <v>1.0616604361005504</v>
      </c>
      <c r="F305" s="8">
        <f t="shared" si="49"/>
        <v>0</v>
      </c>
      <c r="G305" s="8">
        <f t="shared" si="50"/>
        <v>3.5254911485809703</v>
      </c>
      <c r="H305" s="8">
        <f t="shared" si="43"/>
        <v>1.0791218697829723</v>
      </c>
      <c r="I305" s="8">
        <f t="shared" si="44"/>
        <v>0</v>
      </c>
      <c r="J305" s="2" t="str">
        <f t="shared" si="45"/>
        <v>Y</v>
      </c>
      <c r="K305" s="2" t="str">
        <f t="shared" si="46"/>
        <v/>
      </c>
      <c r="L305" s="2" t="str">
        <f t="shared" si="47"/>
        <v/>
      </c>
    </row>
    <row r="306" spans="1:12">
      <c r="A306" s="9">
        <v>294</v>
      </c>
      <c r="B306" s="8">
        <v>700.25800000000004</v>
      </c>
      <c r="C306" s="8">
        <f t="shared" si="48"/>
        <v>0.28100000000006276</v>
      </c>
      <c r="D306" s="8">
        <f t="shared" si="41"/>
        <v>1.3215777815545913</v>
      </c>
      <c r="E306" s="8">
        <f t="shared" si="42"/>
        <v>1.0616604361005504</v>
      </c>
      <c r="F306" s="8">
        <f t="shared" si="49"/>
        <v>0</v>
      </c>
      <c r="G306" s="8">
        <f t="shared" si="50"/>
        <v>3.5254911485809703</v>
      </c>
      <c r="H306" s="8">
        <f t="shared" si="43"/>
        <v>1.0791218697829723</v>
      </c>
      <c r="I306" s="8">
        <f t="shared" si="44"/>
        <v>0</v>
      </c>
      <c r="J306" s="2" t="str">
        <f t="shared" si="45"/>
        <v>Y</v>
      </c>
      <c r="K306" s="2" t="str">
        <f t="shared" si="46"/>
        <v/>
      </c>
      <c r="L306" s="2" t="str">
        <f t="shared" si="47"/>
        <v/>
      </c>
    </row>
    <row r="307" spans="1:12">
      <c r="A307" s="9">
        <v>295</v>
      </c>
      <c r="B307" s="8">
        <v>699.98099999999999</v>
      </c>
      <c r="C307" s="8">
        <f t="shared" si="48"/>
        <v>0.27700000000004366</v>
      </c>
      <c r="D307" s="8">
        <f t="shared" si="41"/>
        <v>1.3215777815545913</v>
      </c>
      <c r="E307" s="8">
        <f t="shared" si="42"/>
        <v>1.0616604361005504</v>
      </c>
      <c r="F307" s="8">
        <f t="shared" si="49"/>
        <v>0</v>
      </c>
      <c r="G307" s="8">
        <f t="shared" si="50"/>
        <v>3.5254911485809703</v>
      </c>
      <c r="H307" s="8">
        <f t="shared" si="43"/>
        <v>1.0791218697829723</v>
      </c>
      <c r="I307" s="8">
        <f t="shared" si="44"/>
        <v>0</v>
      </c>
      <c r="J307" s="2" t="str">
        <f t="shared" si="45"/>
        <v>Y</v>
      </c>
      <c r="K307" s="2" t="str">
        <f t="shared" si="46"/>
        <v/>
      </c>
      <c r="L307" s="2" t="str">
        <f t="shared" si="47"/>
        <v/>
      </c>
    </row>
    <row r="308" spans="1:12">
      <c r="A308" s="9">
        <v>296</v>
      </c>
      <c r="B308" s="8">
        <v>701.15</v>
      </c>
      <c r="C308" s="8">
        <f t="shared" si="48"/>
        <v>1.1689999999999827</v>
      </c>
      <c r="D308" s="8">
        <f t="shared" si="41"/>
        <v>1.3215777815545913</v>
      </c>
      <c r="E308" s="8">
        <f t="shared" si="42"/>
        <v>1.0616604361005504</v>
      </c>
      <c r="F308" s="8">
        <f t="shared" si="49"/>
        <v>0</v>
      </c>
      <c r="G308" s="8">
        <f t="shared" si="50"/>
        <v>3.5254911485809703</v>
      </c>
      <c r="H308" s="8">
        <f t="shared" si="43"/>
        <v>1.0791218697829723</v>
      </c>
      <c r="I308" s="8">
        <f t="shared" si="44"/>
        <v>0</v>
      </c>
      <c r="J308" s="2" t="str">
        <f t="shared" si="45"/>
        <v>Y</v>
      </c>
      <c r="K308" s="2" t="str">
        <f t="shared" si="46"/>
        <v/>
      </c>
      <c r="L308" s="2" t="str">
        <f t="shared" si="47"/>
        <v/>
      </c>
    </row>
    <row r="309" spans="1:12">
      <c r="A309" s="9">
        <v>297</v>
      </c>
      <c r="B309" s="8">
        <v>702.375</v>
      </c>
      <c r="C309" s="8">
        <f t="shared" si="48"/>
        <v>1.2250000000000227</v>
      </c>
      <c r="D309" s="8">
        <f t="shared" si="41"/>
        <v>1.3215777815545913</v>
      </c>
      <c r="E309" s="8">
        <f t="shared" si="42"/>
        <v>1.0616604361005504</v>
      </c>
      <c r="F309" s="8">
        <f t="shared" si="49"/>
        <v>0</v>
      </c>
      <c r="G309" s="8">
        <f t="shared" si="50"/>
        <v>3.5254911485809703</v>
      </c>
      <c r="H309" s="8">
        <f t="shared" si="43"/>
        <v>1.0791218697829723</v>
      </c>
      <c r="I309" s="8">
        <f t="shared" si="44"/>
        <v>0</v>
      </c>
      <c r="J309" s="2" t="str">
        <f t="shared" si="45"/>
        <v>Y</v>
      </c>
      <c r="K309" s="2" t="str">
        <f t="shared" si="46"/>
        <v/>
      </c>
      <c r="L309" s="2" t="str">
        <f t="shared" si="47"/>
        <v/>
      </c>
    </row>
    <row r="310" spans="1:12">
      <c r="A310" s="9">
        <v>298</v>
      </c>
      <c r="B310" s="8">
        <v>701.26400000000001</v>
      </c>
      <c r="C310" s="8">
        <f t="shared" si="48"/>
        <v>1.11099999999999</v>
      </c>
      <c r="D310" s="8">
        <f t="shared" si="41"/>
        <v>1.3215777815545913</v>
      </c>
      <c r="E310" s="8">
        <f t="shared" si="42"/>
        <v>1.0616604361005504</v>
      </c>
      <c r="F310" s="8">
        <f t="shared" si="49"/>
        <v>0</v>
      </c>
      <c r="G310" s="8">
        <f t="shared" si="50"/>
        <v>3.5254911485809703</v>
      </c>
      <c r="H310" s="8">
        <f t="shared" si="43"/>
        <v>1.0791218697829723</v>
      </c>
      <c r="I310" s="8">
        <f t="shared" si="44"/>
        <v>0</v>
      </c>
      <c r="J310" s="2" t="str">
        <f t="shared" si="45"/>
        <v>Y</v>
      </c>
      <c r="K310" s="2" t="str">
        <f t="shared" si="46"/>
        <v/>
      </c>
      <c r="L310" s="2" t="str">
        <f t="shared" si="47"/>
        <v/>
      </c>
    </row>
    <row r="311" spans="1:12">
      <c r="A311" s="9">
        <v>299</v>
      </c>
      <c r="B311" s="8">
        <v>701.14</v>
      </c>
      <c r="C311" s="8">
        <f t="shared" si="48"/>
        <v>0.12400000000002365</v>
      </c>
      <c r="D311" s="8">
        <f t="shared" si="41"/>
        <v>1.3215777815545913</v>
      </c>
      <c r="E311" s="8">
        <f t="shared" si="42"/>
        <v>1.0616604361005504</v>
      </c>
      <c r="F311" s="8">
        <f t="shared" si="49"/>
        <v>0</v>
      </c>
      <c r="G311" s="8">
        <f t="shared" si="50"/>
        <v>3.5254911485809703</v>
      </c>
      <c r="H311" s="8">
        <f t="shared" si="43"/>
        <v>1.0791218697829723</v>
      </c>
      <c r="I311" s="8">
        <f t="shared" si="44"/>
        <v>0</v>
      </c>
      <c r="J311" s="2" t="str">
        <f t="shared" si="45"/>
        <v>Y</v>
      </c>
      <c r="K311" s="2" t="str">
        <f t="shared" si="46"/>
        <v/>
      </c>
      <c r="L311" s="2" t="str">
        <f t="shared" si="47"/>
        <v/>
      </c>
    </row>
    <row r="312" spans="1:12">
      <c r="A312" s="9">
        <v>300</v>
      </c>
      <c r="B312" s="8">
        <v>703.39499999999998</v>
      </c>
      <c r="C312" s="8">
        <f t="shared" si="48"/>
        <v>2.2549999999999955</v>
      </c>
      <c r="D312" s="8">
        <f t="shared" si="41"/>
        <v>1.3215777815545913</v>
      </c>
      <c r="E312" s="8">
        <f t="shared" si="42"/>
        <v>1.0616604361005504</v>
      </c>
      <c r="F312" s="8">
        <f t="shared" si="49"/>
        <v>0</v>
      </c>
      <c r="G312" s="8">
        <f t="shared" si="50"/>
        <v>3.5254911485809703</v>
      </c>
      <c r="H312" s="8">
        <f t="shared" si="43"/>
        <v>1.0791218697829723</v>
      </c>
      <c r="I312" s="8">
        <f t="shared" si="44"/>
        <v>0</v>
      </c>
      <c r="J312" s="2" t="str">
        <f t="shared" si="45"/>
        <v>Y</v>
      </c>
      <c r="K312" s="2" t="str">
        <f t="shared" si="46"/>
        <v/>
      </c>
      <c r="L312" s="2" t="str">
        <f t="shared" si="47"/>
        <v/>
      </c>
    </row>
    <row r="313" spans="1:12">
      <c r="A313" s="9">
        <v>301</v>
      </c>
      <c r="B313" s="8">
        <v>699.88699999999994</v>
      </c>
      <c r="C313" s="8">
        <f t="shared" si="48"/>
        <v>3.5080000000000382</v>
      </c>
      <c r="D313" s="8">
        <f t="shared" si="41"/>
        <v>1.3215777815545913</v>
      </c>
      <c r="E313" s="8">
        <f t="shared" si="42"/>
        <v>1.0616604361005504</v>
      </c>
      <c r="F313" s="8">
        <f t="shared" si="49"/>
        <v>0</v>
      </c>
      <c r="G313" s="8">
        <f t="shared" si="50"/>
        <v>3.5254911485809703</v>
      </c>
      <c r="H313" s="8">
        <f t="shared" si="43"/>
        <v>1.0791218697829723</v>
      </c>
      <c r="I313" s="8">
        <f t="shared" si="44"/>
        <v>0</v>
      </c>
      <c r="J313" s="2" t="str">
        <f t="shared" si="45"/>
        <v>Y</v>
      </c>
      <c r="K313" s="2" t="str">
        <f t="shared" si="46"/>
        <v/>
      </c>
      <c r="L313" s="2" t="str">
        <f t="shared" si="47"/>
        <v/>
      </c>
    </row>
    <row r="314" spans="1:12">
      <c r="A314" s="9">
        <v>302</v>
      </c>
      <c r="B314" s="8">
        <v>701.05600000000004</v>
      </c>
      <c r="C314" s="8">
        <f t="shared" si="48"/>
        <v>1.1690000000000964</v>
      </c>
      <c r="D314" s="8">
        <f t="shared" si="41"/>
        <v>1.3215777815545913</v>
      </c>
      <c r="E314" s="8">
        <f t="shared" si="42"/>
        <v>1.0616604361005504</v>
      </c>
      <c r="F314" s="8">
        <f t="shared" si="49"/>
        <v>0</v>
      </c>
      <c r="G314" s="8">
        <f t="shared" si="50"/>
        <v>3.5254911485809703</v>
      </c>
      <c r="H314" s="8">
        <f t="shared" si="43"/>
        <v>1.0791218697829723</v>
      </c>
      <c r="I314" s="8">
        <f t="shared" si="44"/>
        <v>0</v>
      </c>
      <c r="J314" s="2" t="str">
        <f t="shared" si="45"/>
        <v>Y</v>
      </c>
      <c r="K314" s="2" t="str">
        <f t="shared" si="46"/>
        <v/>
      </c>
      <c r="L314" s="2" t="str">
        <f t="shared" si="47"/>
        <v/>
      </c>
    </row>
    <row r="315" spans="1:12">
      <c r="A315" s="9">
        <v>303</v>
      </c>
      <c r="B315" s="8">
        <v>700.13900000000001</v>
      </c>
      <c r="C315" s="8">
        <f t="shared" si="48"/>
        <v>0.91700000000003001</v>
      </c>
      <c r="D315" s="8">
        <f t="shared" si="41"/>
        <v>1.3215777815545913</v>
      </c>
      <c r="E315" s="8">
        <f t="shared" si="42"/>
        <v>1.0616604361005504</v>
      </c>
      <c r="F315" s="8">
        <f t="shared" si="49"/>
        <v>0</v>
      </c>
      <c r="G315" s="8">
        <f t="shared" si="50"/>
        <v>3.5254911485809703</v>
      </c>
      <c r="H315" s="8">
        <f t="shared" si="43"/>
        <v>1.0791218697829723</v>
      </c>
      <c r="I315" s="8">
        <f t="shared" si="44"/>
        <v>0</v>
      </c>
      <c r="J315" s="2" t="str">
        <f t="shared" si="45"/>
        <v>Y</v>
      </c>
      <c r="K315" s="2" t="str">
        <f t="shared" si="46"/>
        <v/>
      </c>
      <c r="L315" s="2" t="str">
        <f t="shared" si="47"/>
        <v/>
      </c>
    </row>
    <row r="316" spans="1:12">
      <c r="A316" s="9">
        <v>304</v>
      </c>
      <c r="B316" s="8">
        <v>700.64499999999998</v>
      </c>
      <c r="C316" s="8">
        <f t="shared" si="48"/>
        <v>0.50599999999997181</v>
      </c>
      <c r="D316" s="8">
        <f t="shared" si="41"/>
        <v>1.3215777815545913</v>
      </c>
      <c r="E316" s="8">
        <f t="shared" si="42"/>
        <v>1.0616604361005504</v>
      </c>
      <c r="F316" s="8">
        <f t="shared" si="49"/>
        <v>0</v>
      </c>
      <c r="G316" s="8">
        <f t="shared" si="50"/>
        <v>3.5254911485809703</v>
      </c>
      <c r="H316" s="8">
        <f t="shared" si="43"/>
        <v>1.0791218697829723</v>
      </c>
      <c r="I316" s="8">
        <f t="shared" si="44"/>
        <v>0</v>
      </c>
      <c r="J316" s="2" t="str">
        <f t="shared" si="45"/>
        <v>Y</v>
      </c>
      <c r="K316" s="2" t="str">
        <f t="shared" si="46"/>
        <v/>
      </c>
      <c r="L316" s="2" t="str">
        <f t="shared" si="47"/>
        <v/>
      </c>
    </row>
    <row r="317" spans="1:12">
      <c r="A317" s="9">
        <v>305</v>
      </c>
      <c r="B317" s="8">
        <v>700.96699999999998</v>
      </c>
      <c r="C317" s="8">
        <f t="shared" si="48"/>
        <v>0.32200000000000273</v>
      </c>
      <c r="D317" s="8">
        <f t="shared" si="41"/>
        <v>1.3215777815545913</v>
      </c>
      <c r="E317" s="8">
        <f t="shared" si="42"/>
        <v>1.0616604361005504</v>
      </c>
      <c r="F317" s="8">
        <f t="shared" si="49"/>
        <v>0</v>
      </c>
      <c r="G317" s="8">
        <f t="shared" si="50"/>
        <v>3.5254911485809703</v>
      </c>
      <c r="H317" s="8">
        <f t="shared" si="43"/>
        <v>1.0791218697829723</v>
      </c>
      <c r="I317" s="8">
        <f t="shared" si="44"/>
        <v>0</v>
      </c>
      <c r="J317" s="2" t="str">
        <f t="shared" si="45"/>
        <v>Y</v>
      </c>
      <c r="K317" s="2" t="str">
        <f t="shared" si="46"/>
        <v/>
      </c>
      <c r="L317" s="2" t="str">
        <f t="shared" si="47"/>
        <v/>
      </c>
    </row>
    <row r="318" spans="1:12">
      <c r="A318" s="9">
        <v>306</v>
      </c>
      <c r="B318" s="8">
        <v>700.23099999999999</v>
      </c>
      <c r="C318" s="8">
        <f t="shared" si="48"/>
        <v>0.73599999999999</v>
      </c>
      <c r="D318" s="8">
        <f t="shared" si="41"/>
        <v>1.3215777815545913</v>
      </c>
      <c r="E318" s="8">
        <f t="shared" si="42"/>
        <v>1.0616604361005504</v>
      </c>
      <c r="F318" s="8">
        <f t="shared" si="49"/>
        <v>0</v>
      </c>
      <c r="G318" s="8">
        <f t="shared" si="50"/>
        <v>3.5254911485809703</v>
      </c>
      <c r="H318" s="8">
        <f t="shared" si="43"/>
        <v>1.0791218697829723</v>
      </c>
      <c r="I318" s="8">
        <f t="shared" si="44"/>
        <v>0</v>
      </c>
      <c r="J318" s="2" t="str">
        <f t="shared" si="45"/>
        <v>Y</v>
      </c>
      <c r="K318" s="2" t="str">
        <f t="shared" si="46"/>
        <v/>
      </c>
      <c r="L318" s="2" t="str">
        <f t="shared" si="47"/>
        <v/>
      </c>
    </row>
    <row r="319" spans="1:12">
      <c r="A319" s="9">
        <v>307</v>
      </c>
      <c r="B319" s="8">
        <v>701.66800000000001</v>
      </c>
      <c r="C319" s="8">
        <f t="shared" si="48"/>
        <v>1.4370000000000118</v>
      </c>
      <c r="D319" s="8">
        <f t="shared" si="41"/>
        <v>1.3215777815545913</v>
      </c>
      <c r="E319" s="8">
        <f t="shared" si="42"/>
        <v>1.0616604361005504</v>
      </c>
      <c r="F319" s="8">
        <f t="shared" si="49"/>
        <v>0</v>
      </c>
      <c r="G319" s="8">
        <f t="shared" si="50"/>
        <v>3.5254911485809703</v>
      </c>
      <c r="H319" s="8">
        <f t="shared" si="43"/>
        <v>1.0791218697829723</v>
      </c>
      <c r="I319" s="8">
        <f t="shared" si="44"/>
        <v>0</v>
      </c>
      <c r="J319" s="2" t="str">
        <f t="shared" si="45"/>
        <v>Y</v>
      </c>
      <c r="K319" s="2" t="str">
        <f t="shared" si="46"/>
        <v/>
      </c>
      <c r="L319" s="2" t="str">
        <f t="shared" si="47"/>
        <v/>
      </c>
    </row>
    <row r="320" spans="1:12">
      <c r="A320" s="9">
        <v>308</v>
      </c>
      <c r="B320" s="8">
        <v>701.62</v>
      </c>
      <c r="C320" s="8">
        <f t="shared" si="48"/>
        <v>4.8000000000001819E-2</v>
      </c>
      <c r="D320" s="8">
        <f t="shared" si="41"/>
        <v>1.3215777815545913</v>
      </c>
      <c r="E320" s="8">
        <f t="shared" si="42"/>
        <v>1.0616604361005504</v>
      </c>
      <c r="F320" s="8">
        <f t="shared" si="49"/>
        <v>0</v>
      </c>
      <c r="G320" s="8">
        <f t="shared" si="50"/>
        <v>3.5254911485809703</v>
      </c>
      <c r="H320" s="8">
        <f t="shared" si="43"/>
        <v>1.0791218697829723</v>
      </c>
      <c r="I320" s="8">
        <f t="shared" si="44"/>
        <v>0</v>
      </c>
      <c r="J320" s="2" t="str">
        <f t="shared" si="45"/>
        <v>Y</v>
      </c>
      <c r="K320" s="2" t="str">
        <f t="shared" si="46"/>
        <v/>
      </c>
      <c r="L320" s="2" t="str">
        <f t="shared" si="47"/>
        <v/>
      </c>
    </row>
    <row r="321" spans="1:12">
      <c r="A321" s="9">
        <v>309</v>
      </c>
      <c r="B321" s="8">
        <v>701.02099999999996</v>
      </c>
      <c r="C321" s="8">
        <f t="shared" si="48"/>
        <v>0.59900000000004638</v>
      </c>
      <c r="D321" s="8">
        <f t="shared" si="41"/>
        <v>1.3215777815545913</v>
      </c>
      <c r="E321" s="8">
        <f t="shared" si="42"/>
        <v>1.0616604361005504</v>
      </c>
      <c r="F321" s="8">
        <f t="shared" si="49"/>
        <v>0</v>
      </c>
      <c r="G321" s="8">
        <f t="shared" si="50"/>
        <v>3.5254911485809703</v>
      </c>
      <c r="H321" s="8">
        <f t="shared" si="43"/>
        <v>1.0791218697829723</v>
      </c>
      <c r="I321" s="8">
        <f t="shared" si="44"/>
        <v>0</v>
      </c>
      <c r="J321" s="2" t="str">
        <f t="shared" si="45"/>
        <v>Y</v>
      </c>
      <c r="K321" s="2" t="str">
        <f t="shared" si="46"/>
        <v/>
      </c>
      <c r="L321" s="2" t="str">
        <f t="shared" si="47"/>
        <v/>
      </c>
    </row>
    <row r="322" spans="1:12">
      <c r="A322" s="9">
        <v>310</v>
      </c>
      <c r="B322" s="8">
        <v>700.90099999999995</v>
      </c>
      <c r="C322" s="8">
        <f t="shared" si="48"/>
        <v>0.12000000000000455</v>
      </c>
      <c r="D322" s="8">
        <f t="shared" si="41"/>
        <v>1.3215777815545913</v>
      </c>
      <c r="E322" s="8">
        <f t="shared" si="42"/>
        <v>1.0616604361005504</v>
      </c>
      <c r="F322" s="8">
        <f t="shared" si="49"/>
        <v>0</v>
      </c>
      <c r="G322" s="8">
        <f t="shared" si="50"/>
        <v>3.5254911485809703</v>
      </c>
      <c r="H322" s="8">
        <f t="shared" si="43"/>
        <v>1.0791218697829723</v>
      </c>
      <c r="I322" s="8">
        <f t="shared" si="44"/>
        <v>0</v>
      </c>
      <c r="J322" s="2" t="str">
        <f t="shared" si="45"/>
        <v>Y</v>
      </c>
      <c r="K322" s="2" t="str">
        <f t="shared" si="46"/>
        <v/>
      </c>
      <c r="L322" s="2" t="str">
        <f t="shared" si="47"/>
        <v/>
      </c>
    </row>
    <row r="323" spans="1:12">
      <c r="A323" s="9">
        <v>311</v>
      </c>
      <c r="B323" s="8">
        <v>700.15</v>
      </c>
      <c r="C323" s="8">
        <f t="shared" si="48"/>
        <v>0.75099999999997635</v>
      </c>
      <c r="D323" s="8">
        <f t="shared" si="41"/>
        <v>1.3215777815545913</v>
      </c>
      <c r="E323" s="8">
        <f t="shared" si="42"/>
        <v>1.0616604361005504</v>
      </c>
      <c r="F323" s="8">
        <f t="shared" si="49"/>
        <v>0</v>
      </c>
      <c r="G323" s="8">
        <f t="shared" si="50"/>
        <v>3.5254911485809703</v>
      </c>
      <c r="H323" s="8">
        <f t="shared" si="43"/>
        <v>1.0791218697829723</v>
      </c>
      <c r="I323" s="8">
        <f t="shared" si="44"/>
        <v>0</v>
      </c>
      <c r="J323" s="2" t="str">
        <f t="shared" si="45"/>
        <v>Y</v>
      </c>
      <c r="K323" s="2" t="str">
        <f t="shared" si="46"/>
        <v/>
      </c>
      <c r="L323" s="2" t="str">
        <f t="shared" si="47"/>
        <v/>
      </c>
    </row>
    <row r="324" spans="1:12">
      <c r="A324" s="9">
        <v>312</v>
      </c>
      <c r="B324" s="8">
        <v>701.37599999999998</v>
      </c>
      <c r="C324" s="8">
        <f t="shared" si="48"/>
        <v>1.2259999999999991</v>
      </c>
      <c r="D324" s="8">
        <f t="shared" si="41"/>
        <v>1.3215777815545913</v>
      </c>
      <c r="E324" s="8">
        <f t="shared" si="42"/>
        <v>1.0616604361005504</v>
      </c>
      <c r="F324" s="8">
        <f t="shared" si="49"/>
        <v>0</v>
      </c>
      <c r="G324" s="8">
        <f t="shared" si="50"/>
        <v>3.5254911485809703</v>
      </c>
      <c r="H324" s="8">
        <f t="shared" si="43"/>
        <v>1.0791218697829723</v>
      </c>
      <c r="I324" s="8">
        <f t="shared" si="44"/>
        <v>0</v>
      </c>
      <c r="J324" s="2" t="str">
        <f t="shared" si="45"/>
        <v>Y</v>
      </c>
      <c r="K324" s="2" t="str">
        <f t="shared" si="46"/>
        <v/>
      </c>
      <c r="L324" s="2" t="str">
        <f t="shared" si="47"/>
        <v/>
      </c>
    </row>
    <row r="325" spans="1:12">
      <c r="A325" s="9">
        <v>313</v>
      </c>
      <c r="B325" s="8">
        <v>700.98800000000006</v>
      </c>
      <c r="C325" s="8">
        <f t="shared" si="48"/>
        <v>0.38799999999991996</v>
      </c>
      <c r="D325" s="8">
        <f t="shared" si="41"/>
        <v>1.3215777815545913</v>
      </c>
      <c r="E325" s="8">
        <f t="shared" si="42"/>
        <v>1.0616604361005504</v>
      </c>
      <c r="F325" s="8">
        <f t="shared" si="49"/>
        <v>0</v>
      </c>
      <c r="G325" s="8">
        <f t="shared" si="50"/>
        <v>3.5254911485809703</v>
      </c>
      <c r="H325" s="8">
        <f t="shared" si="43"/>
        <v>1.0791218697829723</v>
      </c>
      <c r="I325" s="8">
        <f t="shared" si="44"/>
        <v>0</v>
      </c>
      <c r="J325" s="2" t="str">
        <f t="shared" si="45"/>
        <v>Y</v>
      </c>
      <c r="K325" s="2" t="str">
        <f t="shared" si="46"/>
        <v/>
      </c>
      <c r="L325" s="2" t="str">
        <f t="shared" si="47"/>
        <v/>
      </c>
    </row>
    <row r="326" spans="1:12">
      <c r="A326" s="9">
        <v>314</v>
      </c>
      <c r="B326" s="8">
        <v>700.11400000000003</v>
      </c>
      <c r="C326" s="8">
        <f t="shared" si="48"/>
        <v>0.87400000000002365</v>
      </c>
      <c r="D326" s="8">
        <f t="shared" si="41"/>
        <v>1.3215777815545913</v>
      </c>
      <c r="E326" s="8">
        <f t="shared" si="42"/>
        <v>1.0616604361005504</v>
      </c>
      <c r="F326" s="8">
        <f t="shared" si="49"/>
        <v>0</v>
      </c>
      <c r="G326" s="8">
        <f t="shared" si="50"/>
        <v>3.5254911485809703</v>
      </c>
      <c r="H326" s="8">
        <f t="shared" si="43"/>
        <v>1.0791218697829723</v>
      </c>
      <c r="I326" s="8">
        <f t="shared" si="44"/>
        <v>0</v>
      </c>
      <c r="J326" s="2" t="str">
        <f t="shared" si="45"/>
        <v>Y</v>
      </c>
      <c r="K326" s="2" t="str">
        <f t="shared" si="46"/>
        <v/>
      </c>
      <c r="L326" s="2" t="str">
        <f t="shared" si="47"/>
        <v/>
      </c>
    </row>
    <row r="327" spans="1:12">
      <c r="A327" s="9">
        <v>315</v>
      </c>
      <c r="B327" s="8">
        <v>700.399</v>
      </c>
      <c r="C327" s="8">
        <f t="shared" si="48"/>
        <v>0.28499999999996817</v>
      </c>
      <c r="D327" s="8">
        <f t="shared" si="41"/>
        <v>1.3215777815545913</v>
      </c>
      <c r="E327" s="8">
        <f t="shared" si="42"/>
        <v>1.0616604361005504</v>
      </c>
      <c r="F327" s="8">
        <f t="shared" si="49"/>
        <v>0</v>
      </c>
      <c r="G327" s="8">
        <f t="shared" si="50"/>
        <v>3.5254911485809703</v>
      </c>
      <c r="H327" s="8">
        <f t="shared" si="43"/>
        <v>1.0791218697829723</v>
      </c>
      <c r="I327" s="8">
        <f t="shared" si="44"/>
        <v>0</v>
      </c>
      <c r="J327" s="2" t="str">
        <f t="shared" si="45"/>
        <v>Y</v>
      </c>
      <c r="K327" s="2" t="str">
        <f t="shared" si="46"/>
        <v/>
      </c>
      <c r="L327" s="2" t="str">
        <f t="shared" si="47"/>
        <v/>
      </c>
    </row>
    <row r="328" spans="1:12">
      <c r="A328" s="9">
        <v>316</v>
      </c>
      <c r="B328" s="8">
        <v>701.55100000000004</v>
      </c>
      <c r="C328" s="8">
        <f t="shared" si="48"/>
        <v>1.1520000000000437</v>
      </c>
      <c r="D328" s="8">
        <f t="shared" si="41"/>
        <v>1.3215777815545913</v>
      </c>
      <c r="E328" s="8">
        <f t="shared" si="42"/>
        <v>1.0616604361005504</v>
      </c>
      <c r="F328" s="8">
        <f t="shared" si="49"/>
        <v>0</v>
      </c>
      <c r="G328" s="8">
        <f t="shared" si="50"/>
        <v>3.5254911485809703</v>
      </c>
      <c r="H328" s="8">
        <f t="shared" si="43"/>
        <v>1.0791218697829723</v>
      </c>
      <c r="I328" s="8">
        <f t="shared" si="44"/>
        <v>0</v>
      </c>
      <c r="J328" s="2" t="str">
        <f t="shared" si="45"/>
        <v>Y</v>
      </c>
      <c r="K328" s="2" t="str">
        <f t="shared" si="46"/>
        <v/>
      </c>
      <c r="L328" s="2" t="str">
        <f t="shared" si="47"/>
        <v/>
      </c>
    </row>
    <row r="329" spans="1:12">
      <c r="A329" s="9">
        <v>317</v>
      </c>
      <c r="B329" s="8">
        <v>703.15599999999995</v>
      </c>
      <c r="C329" s="8">
        <f t="shared" si="48"/>
        <v>1.6049999999999045</v>
      </c>
      <c r="D329" s="8">
        <f t="shared" si="41"/>
        <v>1.3215777815545913</v>
      </c>
      <c r="E329" s="8">
        <f t="shared" si="42"/>
        <v>1.0616604361005504</v>
      </c>
      <c r="F329" s="8">
        <f t="shared" si="49"/>
        <v>0</v>
      </c>
      <c r="G329" s="8">
        <f t="shared" si="50"/>
        <v>3.5254911485809703</v>
      </c>
      <c r="H329" s="8">
        <f t="shared" si="43"/>
        <v>1.0791218697829723</v>
      </c>
      <c r="I329" s="8">
        <f t="shared" si="44"/>
        <v>0</v>
      </c>
      <c r="J329" s="2" t="str">
        <f t="shared" si="45"/>
        <v>Y</v>
      </c>
      <c r="K329" s="2" t="str">
        <f t="shared" si="46"/>
        <v/>
      </c>
      <c r="L329" s="2" t="str">
        <f t="shared" si="47"/>
        <v/>
      </c>
    </row>
    <row r="330" spans="1:12">
      <c r="A330" s="9">
        <v>318</v>
      </c>
      <c r="B330" s="8">
        <v>701.83299999999997</v>
      </c>
      <c r="C330" s="8">
        <f t="shared" si="48"/>
        <v>1.3229999999999791</v>
      </c>
      <c r="D330" s="8">
        <f t="shared" si="41"/>
        <v>1.3215777815545913</v>
      </c>
      <c r="E330" s="8">
        <f t="shared" si="42"/>
        <v>1.0616604361005504</v>
      </c>
      <c r="F330" s="8">
        <f t="shared" si="49"/>
        <v>0</v>
      </c>
      <c r="G330" s="8">
        <f t="shared" si="50"/>
        <v>3.5254911485809703</v>
      </c>
      <c r="H330" s="8">
        <f t="shared" si="43"/>
        <v>1.0791218697829723</v>
      </c>
      <c r="I330" s="8">
        <f t="shared" si="44"/>
        <v>0</v>
      </c>
      <c r="J330" s="2" t="str">
        <f t="shared" si="45"/>
        <v>Y</v>
      </c>
      <c r="K330" s="2" t="str">
        <f t="shared" si="46"/>
        <v/>
      </c>
      <c r="L330" s="2" t="str">
        <f t="shared" si="47"/>
        <v/>
      </c>
    </row>
    <row r="331" spans="1:12">
      <c r="A331" s="9">
        <v>319</v>
      </c>
      <c r="B331" s="8">
        <v>699.76300000000003</v>
      </c>
      <c r="C331" s="8">
        <f t="shared" si="48"/>
        <v>2.0699999999999363</v>
      </c>
      <c r="D331" s="8">
        <f t="shared" si="41"/>
        <v>1.3215777815545913</v>
      </c>
      <c r="E331" s="8">
        <f t="shared" si="42"/>
        <v>1.0616604361005504</v>
      </c>
      <c r="F331" s="8">
        <f t="shared" si="49"/>
        <v>0</v>
      </c>
      <c r="G331" s="8">
        <f t="shared" si="50"/>
        <v>3.5254911485809703</v>
      </c>
      <c r="H331" s="8">
        <f t="shared" si="43"/>
        <v>1.0791218697829723</v>
      </c>
      <c r="I331" s="8">
        <f t="shared" si="44"/>
        <v>0</v>
      </c>
      <c r="J331" s="2" t="str">
        <f t="shared" si="45"/>
        <v>Y</v>
      </c>
      <c r="K331" s="2" t="str">
        <f t="shared" si="46"/>
        <v/>
      </c>
      <c r="L331" s="2" t="str">
        <f t="shared" si="47"/>
        <v/>
      </c>
    </row>
    <row r="332" spans="1:12">
      <c r="A332" s="9">
        <v>320</v>
      </c>
      <c r="B332" s="8">
        <v>702.80899999999997</v>
      </c>
      <c r="C332" s="8">
        <f t="shared" si="48"/>
        <v>3.0459999999999354</v>
      </c>
      <c r="D332" s="8">
        <f t="shared" si="41"/>
        <v>1.3215777815545913</v>
      </c>
      <c r="E332" s="8">
        <f t="shared" si="42"/>
        <v>1.0616604361005504</v>
      </c>
      <c r="F332" s="8">
        <f t="shared" si="49"/>
        <v>0</v>
      </c>
      <c r="G332" s="8">
        <f t="shared" si="50"/>
        <v>3.5254911485809703</v>
      </c>
      <c r="H332" s="8">
        <f t="shared" si="43"/>
        <v>1.0791218697829723</v>
      </c>
      <c r="I332" s="8">
        <f t="shared" si="44"/>
        <v>0</v>
      </c>
      <c r="J332" s="2" t="str">
        <f t="shared" si="45"/>
        <v>Y</v>
      </c>
      <c r="K332" s="2" t="str">
        <f t="shared" si="46"/>
        <v/>
      </c>
      <c r="L332" s="2" t="str">
        <f t="shared" si="47"/>
        <v/>
      </c>
    </row>
    <row r="333" spans="1:12">
      <c r="A333" s="9">
        <v>321</v>
      </c>
      <c r="B333" s="8">
        <v>700.87599999999998</v>
      </c>
      <c r="C333" s="8">
        <f t="shared" si="48"/>
        <v>1.9329999999999927</v>
      </c>
      <c r="D333" s="8">
        <f t="shared" ref="D333:D396" si="51">$G$13</f>
        <v>1.3215777815545913</v>
      </c>
      <c r="E333" s="8">
        <f t="shared" ref="E333:E396" si="52">$G$14</f>
        <v>1.0616604361005504</v>
      </c>
      <c r="F333" s="8">
        <f t="shared" si="49"/>
        <v>0</v>
      </c>
      <c r="G333" s="8">
        <f t="shared" si="50"/>
        <v>3.5254911485809703</v>
      </c>
      <c r="H333" s="8">
        <f t="shared" ref="H333:H396" si="53">$G$17</f>
        <v>1.0791218697829723</v>
      </c>
      <c r="I333" s="8">
        <f t="shared" ref="I333:I396" si="54">$G$18</f>
        <v>0</v>
      </c>
      <c r="J333" s="2" t="str">
        <f t="shared" ref="J333:J396" si="55">IF(OR(B333&gt;D333,B333&lt;F333),"Y","")</f>
        <v>Y</v>
      </c>
      <c r="K333" s="2" t="str">
        <f t="shared" ref="K333:K396" si="56">IF(AND(C333&lt;&gt;"",C333&gt;G333),"Y","")</f>
        <v/>
      </c>
      <c r="L333" s="2" t="str">
        <f t="shared" ref="L333:L396" si="57">IF(OR(B333&lt;$B$5,B333&gt;$D$5),"Y","")</f>
        <v/>
      </c>
    </row>
    <row r="334" spans="1:12">
      <c r="A334" s="9">
        <v>322</v>
      </c>
      <c r="B334" s="8">
        <v>702.95299999999997</v>
      </c>
      <c r="C334" s="8">
        <f t="shared" ref="C334:C397" si="58">ABS(B334-B333)</f>
        <v>2.0769999999999982</v>
      </c>
      <c r="D334" s="8">
        <f t="shared" si="51"/>
        <v>1.3215777815545913</v>
      </c>
      <c r="E334" s="8">
        <f t="shared" si="52"/>
        <v>1.0616604361005504</v>
      </c>
      <c r="F334" s="8">
        <f t="shared" si="49"/>
        <v>0</v>
      </c>
      <c r="G334" s="8">
        <f t="shared" si="50"/>
        <v>3.5254911485809703</v>
      </c>
      <c r="H334" s="8">
        <f t="shared" si="53"/>
        <v>1.0791218697829723</v>
      </c>
      <c r="I334" s="8">
        <f t="shared" si="54"/>
        <v>0</v>
      </c>
      <c r="J334" s="2" t="str">
        <f t="shared" si="55"/>
        <v>Y</v>
      </c>
      <c r="K334" s="2" t="str">
        <f t="shared" si="56"/>
        <v/>
      </c>
      <c r="L334" s="2" t="str">
        <f t="shared" si="57"/>
        <v/>
      </c>
    </row>
    <row r="335" spans="1:12">
      <c r="A335" s="9">
        <v>323</v>
      </c>
      <c r="B335" s="8">
        <v>699.54</v>
      </c>
      <c r="C335" s="8">
        <f t="shared" si="58"/>
        <v>3.4130000000000109</v>
      </c>
      <c r="D335" s="8">
        <f t="shared" si="51"/>
        <v>1.3215777815545913</v>
      </c>
      <c r="E335" s="8">
        <f t="shared" si="52"/>
        <v>1.0616604361005504</v>
      </c>
      <c r="F335" s="8">
        <f t="shared" si="49"/>
        <v>0</v>
      </c>
      <c r="G335" s="8">
        <f t="shared" si="50"/>
        <v>3.5254911485809703</v>
      </c>
      <c r="H335" s="8">
        <f t="shared" si="53"/>
        <v>1.0791218697829723</v>
      </c>
      <c r="I335" s="8">
        <f t="shared" si="54"/>
        <v>0</v>
      </c>
      <c r="J335" s="2" t="str">
        <f t="shared" si="55"/>
        <v>Y</v>
      </c>
      <c r="K335" s="2" t="str">
        <f t="shared" si="56"/>
        <v/>
      </c>
      <c r="L335" s="2" t="str">
        <f t="shared" si="57"/>
        <v/>
      </c>
    </row>
    <row r="336" spans="1:12">
      <c r="A336" s="9">
        <v>324</v>
      </c>
      <c r="B336" s="8">
        <v>701.93700000000001</v>
      </c>
      <c r="C336" s="8">
        <f t="shared" si="58"/>
        <v>2.3970000000000482</v>
      </c>
      <c r="D336" s="8">
        <f t="shared" si="51"/>
        <v>1.3215777815545913</v>
      </c>
      <c r="E336" s="8">
        <f t="shared" si="52"/>
        <v>1.0616604361005504</v>
      </c>
      <c r="F336" s="8">
        <f t="shared" ref="F336:F399" si="59">$G$15</f>
        <v>0</v>
      </c>
      <c r="G336" s="8">
        <f t="shared" si="50"/>
        <v>3.5254911485809703</v>
      </c>
      <c r="H336" s="8">
        <f t="shared" si="53"/>
        <v>1.0791218697829723</v>
      </c>
      <c r="I336" s="8">
        <f t="shared" si="54"/>
        <v>0</v>
      </c>
      <c r="J336" s="2" t="str">
        <f t="shared" si="55"/>
        <v>Y</v>
      </c>
      <c r="K336" s="2" t="str">
        <f t="shared" si="56"/>
        <v/>
      </c>
      <c r="L336" s="2" t="str">
        <f t="shared" si="57"/>
        <v/>
      </c>
    </row>
    <row r="337" spans="1:12">
      <c r="A337" s="9">
        <v>325</v>
      </c>
      <c r="B337" s="8">
        <v>700.66399999999999</v>
      </c>
      <c r="C337" s="8">
        <f t="shared" si="58"/>
        <v>1.2730000000000246</v>
      </c>
      <c r="D337" s="8">
        <f t="shared" si="51"/>
        <v>1.3215777815545913</v>
      </c>
      <c r="E337" s="8">
        <f t="shared" si="52"/>
        <v>1.0616604361005504</v>
      </c>
      <c r="F337" s="8">
        <f t="shared" si="59"/>
        <v>0</v>
      </c>
      <c r="G337" s="8">
        <f t="shared" si="50"/>
        <v>3.5254911485809703</v>
      </c>
      <c r="H337" s="8">
        <f t="shared" si="53"/>
        <v>1.0791218697829723</v>
      </c>
      <c r="I337" s="8">
        <f t="shared" si="54"/>
        <v>0</v>
      </c>
      <c r="J337" s="2" t="str">
        <f t="shared" si="55"/>
        <v>Y</v>
      </c>
      <c r="K337" s="2" t="str">
        <f t="shared" si="56"/>
        <v/>
      </c>
      <c r="L337" s="2" t="str">
        <f t="shared" si="57"/>
        <v/>
      </c>
    </row>
    <row r="338" spans="1:12">
      <c r="A338" s="9">
        <v>326</v>
      </c>
      <c r="B338" s="8">
        <v>700.88499999999999</v>
      </c>
      <c r="C338" s="8">
        <f t="shared" si="58"/>
        <v>0.22100000000000364</v>
      </c>
      <c r="D338" s="8">
        <f t="shared" si="51"/>
        <v>1.3215777815545913</v>
      </c>
      <c r="E338" s="8">
        <f t="shared" si="52"/>
        <v>1.0616604361005504</v>
      </c>
      <c r="F338" s="8">
        <f t="shared" si="59"/>
        <v>0</v>
      </c>
      <c r="G338" s="8">
        <f t="shared" si="50"/>
        <v>3.5254911485809703</v>
      </c>
      <c r="H338" s="8">
        <f t="shared" si="53"/>
        <v>1.0791218697829723</v>
      </c>
      <c r="I338" s="8">
        <f t="shared" si="54"/>
        <v>0</v>
      </c>
      <c r="J338" s="2" t="str">
        <f t="shared" si="55"/>
        <v>Y</v>
      </c>
      <c r="K338" s="2" t="str">
        <f t="shared" si="56"/>
        <v/>
      </c>
      <c r="L338" s="2" t="str">
        <f t="shared" si="57"/>
        <v/>
      </c>
    </row>
    <row r="339" spans="1:12">
      <c r="A339" s="9">
        <v>327</v>
      </c>
      <c r="B339" s="8">
        <v>699.66200000000003</v>
      </c>
      <c r="C339" s="8">
        <f t="shared" si="58"/>
        <v>1.2229999999999563</v>
      </c>
      <c r="D339" s="8">
        <f t="shared" si="51"/>
        <v>1.3215777815545913</v>
      </c>
      <c r="E339" s="8">
        <f t="shared" si="52"/>
        <v>1.0616604361005504</v>
      </c>
      <c r="F339" s="8">
        <f t="shared" si="59"/>
        <v>0</v>
      </c>
      <c r="G339" s="8">
        <f t="shared" ref="G339:G402" si="60">$G$16</f>
        <v>3.5254911485809703</v>
      </c>
      <c r="H339" s="8">
        <f t="shared" si="53"/>
        <v>1.0791218697829723</v>
      </c>
      <c r="I339" s="8">
        <f t="shared" si="54"/>
        <v>0</v>
      </c>
      <c r="J339" s="2" t="str">
        <f t="shared" si="55"/>
        <v>Y</v>
      </c>
      <c r="K339" s="2" t="str">
        <f t="shared" si="56"/>
        <v/>
      </c>
      <c r="L339" s="2" t="str">
        <f t="shared" si="57"/>
        <v/>
      </c>
    </row>
    <row r="340" spans="1:12">
      <c r="A340" s="9">
        <v>328</v>
      </c>
      <c r="B340" s="8">
        <v>700.82500000000005</v>
      </c>
      <c r="C340" s="8">
        <f t="shared" si="58"/>
        <v>1.1630000000000109</v>
      </c>
      <c r="D340" s="8">
        <f t="shared" si="51"/>
        <v>1.3215777815545913</v>
      </c>
      <c r="E340" s="8">
        <f t="shared" si="52"/>
        <v>1.0616604361005504</v>
      </c>
      <c r="F340" s="8">
        <f t="shared" si="59"/>
        <v>0</v>
      </c>
      <c r="G340" s="8">
        <f t="shared" si="60"/>
        <v>3.5254911485809703</v>
      </c>
      <c r="H340" s="8">
        <f t="shared" si="53"/>
        <v>1.0791218697829723</v>
      </c>
      <c r="I340" s="8">
        <f t="shared" si="54"/>
        <v>0</v>
      </c>
      <c r="J340" s="2" t="str">
        <f t="shared" si="55"/>
        <v>Y</v>
      </c>
      <c r="K340" s="2" t="str">
        <f t="shared" si="56"/>
        <v/>
      </c>
      <c r="L340" s="2" t="str">
        <f t="shared" si="57"/>
        <v/>
      </c>
    </row>
    <row r="341" spans="1:12">
      <c r="A341" s="9">
        <v>329</v>
      </c>
      <c r="B341" s="8">
        <v>699.91200000000003</v>
      </c>
      <c r="C341" s="8">
        <f t="shared" si="58"/>
        <v>0.91300000000001091</v>
      </c>
      <c r="D341" s="8">
        <f t="shared" si="51"/>
        <v>1.3215777815545913</v>
      </c>
      <c r="E341" s="8">
        <f t="shared" si="52"/>
        <v>1.0616604361005504</v>
      </c>
      <c r="F341" s="8">
        <f t="shared" si="59"/>
        <v>0</v>
      </c>
      <c r="G341" s="8">
        <f t="shared" si="60"/>
        <v>3.5254911485809703</v>
      </c>
      <c r="H341" s="8">
        <f t="shared" si="53"/>
        <v>1.0791218697829723</v>
      </c>
      <c r="I341" s="8">
        <f t="shared" si="54"/>
        <v>0</v>
      </c>
      <c r="J341" s="2" t="str">
        <f t="shared" si="55"/>
        <v>Y</v>
      </c>
      <c r="K341" s="2" t="str">
        <f t="shared" si="56"/>
        <v/>
      </c>
      <c r="L341" s="2" t="str">
        <f t="shared" si="57"/>
        <v/>
      </c>
    </row>
    <row r="342" spans="1:12">
      <c r="A342" s="9">
        <v>330</v>
      </c>
      <c r="B342" s="8">
        <v>699.93299999999999</v>
      </c>
      <c r="C342" s="8">
        <f t="shared" si="58"/>
        <v>2.0999999999958163E-2</v>
      </c>
      <c r="D342" s="8">
        <f t="shared" si="51"/>
        <v>1.3215777815545913</v>
      </c>
      <c r="E342" s="8">
        <f t="shared" si="52"/>
        <v>1.0616604361005504</v>
      </c>
      <c r="F342" s="8">
        <f t="shared" si="59"/>
        <v>0</v>
      </c>
      <c r="G342" s="8">
        <f t="shared" si="60"/>
        <v>3.5254911485809703</v>
      </c>
      <c r="H342" s="8">
        <f t="shared" si="53"/>
        <v>1.0791218697829723</v>
      </c>
      <c r="I342" s="8">
        <f t="shared" si="54"/>
        <v>0</v>
      </c>
      <c r="J342" s="2" t="str">
        <f t="shared" si="55"/>
        <v>Y</v>
      </c>
      <c r="K342" s="2" t="str">
        <f t="shared" si="56"/>
        <v/>
      </c>
      <c r="L342" s="2" t="str">
        <f t="shared" si="57"/>
        <v/>
      </c>
    </row>
    <row r="343" spans="1:12">
      <c r="A343" s="9">
        <v>331</v>
      </c>
      <c r="B343" s="8">
        <v>702.24099999999999</v>
      </c>
      <c r="C343" s="8">
        <f t="shared" si="58"/>
        <v>2.3079999999999927</v>
      </c>
      <c r="D343" s="8">
        <f t="shared" si="51"/>
        <v>1.3215777815545913</v>
      </c>
      <c r="E343" s="8">
        <f t="shared" si="52"/>
        <v>1.0616604361005504</v>
      </c>
      <c r="F343" s="8">
        <f t="shared" si="59"/>
        <v>0</v>
      </c>
      <c r="G343" s="8">
        <f t="shared" si="60"/>
        <v>3.5254911485809703</v>
      </c>
      <c r="H343" s="8">
        <f t="shared" si="53"/>
        <v>1.0791218697829723</v>
      </c>
      <c r="I343" s="8">
        <f t="shared" si="54"/>
        <v>0</v>
      </c>
      <c r="J343" s="2" t="str">
        <f t="shared" si="55"/>
        <v>Y</v>
      </c>
      <c r="K343" s="2" t="str">
        <f t="shared" si="56"/>
        <v/>
      </c>
      <c r="L343" s="2" t="str">
        <f t="shared" si="57"/>
        <v/>
      </c>
    </row>
    <row r="344" spans="1:12">
      <c r="A344" s="9">
        <v>332</v>
      </c>
      <c r="B344" s="8">
        <v>699.98299999999995</v>
      </c>
      <c r="C344" s="8">
        <f t="shared" si="58"/>
        <v>2.2580000000000382</v>
      </c>
      <c r="D344" s="8">
        <f t="shared" si="51"/>
        <v>1.3215777815545913</v>
      </c>
      <c r="E344" s="8">
        <f t="shared" si="52"/>
        <v>1.0616604361005504</v>
      </c>
      <c r="F344" s="8">
        <f t="shared" si="59"/>
        <v>0</v>
      </c>
      <c r="G344" s="8">
        <f t="shared" si="60"/>
        <v>3.5254911485809703</v>
      </c>
      <c r="H344" s="8">
        <f t="shared" si="53"/>
        <v>1.0791218697829723</v>
      </c>
      <c r="I344" s="8">
        <f t="shared" si="54"/>
        <v>0</v>
      </c>
      <c r="J344" s="2" t="str">
        <f t="shared" si="55"/>
        <v>Y</v>
      </c>
      <c r="K344" s="2" t="str">
        <f t="shared" si="56"/>
        <v/>
      </c>
      <c r="L344" s="2" t="str">
        <f t="shared" si="57"/>
        <v/>
      </c>
    </row>
    <row r="345" spans="1:12">
      <c r="A345" s="9">
        <v>333</v>
      </c>
      <c r="B345" s="8">
        <v>700.678</v>
      </c>
      <c r="C345" s="8">
        <f t="shared" si="58"/>
        <v>0.69500000000005002</v>
      </c>
      <c r="D345" s="8">
        <f t="shared" si="51"/>
        <v>1.3215777815545913</v>
      </c>
      <c r="E345" s="8">
        <f t="shared" si="52"/>
        <v>1.0616604361005504</v>
      </c>
      <c r="F345" s="8">
        <f t="shared" si="59"/>
        <v>0</v>
      </c>
      <c r="G345" s="8">
        <f t="shared" si="60"/>
        <v>3.5254911485809703</v>
      </c>
      <c r="H345" s="8">
        <f t="shared" si="53"/>
        <v>1.0791218697829723</v>
      </c>
      <c r="I345" s="8">
        <f t="shared" si="54"/>
        <v>0</v>
      </c>
      <c r="J345" s="2" t="str">
        <f t="shared" si="55"/>
        <v>Y</v>
      </c>
      <c r="K345" s="2" t="str">
        <f t="shared" si="56"/>
        <v/>
      </c>
      <c r="L345" s="2" t="str">
        <f t="shared" si="57"/>
        <v/>
      </c>
    </row>
    <row r="346" spans="1:12">
      <c r="A346" s="9">
        <v>334</v>
      </c>
      <c r="B346" s="8">
        <v>699.71600000000001</v>
      </c>
      <c r="C346" s="8">
        <f t="shared" si="58"/>
        <v>0.96199999999998909</v>
      </c>
      <c r="D346" s="8">
        <f t="shared" si="51"/>
        <v>1.3215777815545913</v>
      </c>
      <c r="E346" s="8">
        <f t="shared" si="52"/>
        <v>1.0616604361005504</v>
      </c>
      <c r="F346" s="8">
        <f t="shared" si="59"/>
        <v>0</v>
      </c>
      <c r="G346" s="8">
        <f t="shared" si="60"/>
        <v>3.5254911485809703</v>
      </c>
      <c r="H346" s="8">
        <f t="shared" si="53"/>
        <v>1.0791218697829723</v>
      </c>
      <c r="I346" s="8">
        <f t="shared" si="54"/>
        <v>0</v>
      </c>
      <c r="J346" s="2" t="str">
        <f t="shared" si="55"/>
        <v>Y</v>
      </c>
      <c r="K346" s="2" t="str">
        <f t="shared" si="56"/>
        <v/>
      </c>
      <c r="L346" s="2" t="str">
        <f t="shared" si="57"/>
        <v/>
      </c>
    </row>
    <row r="347" spans="1:12">
      <c r="A347" s="9">
        <v>335</v>
      </c>
      <c r="B347" s="8">
        <v>700.61400000000003</v>
      </c>
      <c r="C347" s="8">
        <f t="shared" si="58"/>
        <v>0.89800000000002456</v>
      </c>
      <c r="D347" s="8">
        <f t="shared" si="51"/>
        <v>1.3215777815545913</v>
      </c>
      <c r="E347" s="8">
        <f t="shared" si="52"/>
        <v>1.0616604361005504</v>
      </c>
      <c r="F347" s="8">
        <f t="shared" si="59"/>
        <v>0</v>
      </c>
      <c r="G347" s="8">
        <f t="shared" si="60"/>
        <v>3.5254911485809703</v>
      </c>
      <c r="H347" s="8">
        <f t="shared" si="53"/>
        <v>1.0791218697829723</v>
      </c>
      <c r="I347" s="8">
        <f t="shared" si="54"/>
        <v>0</v>
      </c>
      <c r="J347" s="2" t="str">
        <f t="shared" si="55"/>
        <v>Y</v>
      </c>
      <c r="K347" s="2" t="str">
        <f t="shared" si="56"/>
        <v/>
      </c>
      <c r="L347" s="2" t="str">
        <f t="shared" si="57"/>
        <v/>
      </c>
    </row>
    <row r="348" spans="1:12">
      <c r="A348" s="9">
        <v>336</v>
      </c>
      <c r="B348" s="8">
        <v>703.33900000000006</v>
      </c>
      <c r="C348" s="8">
        <f t="shared" si="58"/>
        <v>2.7250000000000227</v>
      </c>
      <c r="D348" s="8">
        <f t="shared" si="51"/>
        <v>1.3215777815545913</v>
      </c>
      <c r="E348" s="8">
        <f t="shared" si="52"/>
        <v>1.0616604361005504</v>
      </c>
      <c r="F348" s="8">
        <f t="shared" si="59"/>
        <v>0</v>
      </c>
      <c r="G348" s="8">
        <f t="shared" si="60"/>
        <v>3.5254911485809703</v>
      </c>
      <c r="H348" s="8">
        <f t="shared" si="53"/>
        <v>1.0791218697829723</v>
      </c>
      <c r="I348" s="8">
        <f t="shared" si="54"/>
        <v>0</v>
      </c>
      <c r="J348" s="2" t="str">
        <f t="shared" si="55"/>
        <v>Y</v>
      </c>
      <c r="K348" s="2" t="str">
        <f t="shared" si="56"/>
        <v/>
      </c>
      <c r="L348" s="2" t="str">
        <f t="shared" si="57"/>
        <v/>
      </c>
    </row>
    <row r="349" spans="1:12">
      <c r="A349" s="9">
        <v>337</v>
      </c>
      <c r="B349" s="8">
        <v>703.61699999999996</v>
      </c>
      <c r="C349" s="8">
        <f t="shared" si="58"/>
        <v>0.27799999999990632</v>
      </c>
      <c r="D349" s="8">
        <f t="shared" si="51"/>
        <v>1.3215777815545913</v>
      </c>
      <c r="E349" s="8">
        <f t="shared" si="52"/>
        <v>1.0616604361005504</v>
      </c>
      <c r="F349" s="8">
        <f t="shared" si="59"/>
        <v>0</v>
      </c>
      <c r="G349" s="8">
        <f t="shared" si="60"/>
        <v>3.5254911485809703</v>
      </c>
      <c r="H349" s="8">
        <f t="shared" si="53"/>
        <v>1.0791218697829723</v>
      </c>
      <c r="I349" s="8">
        <f t="shared" si="54"/>
        <v>0</v>
      </c>
      <c r="J349" s="2" t="str">
        <f t="shared" si="55"/>
        <v>Y</v>
      </c>
      <c r="K349" s="2" t="str">
        <f t="shared" si="56"/>
        <v/>
      </c>
      <c r="L349" s="2" t="str">
        <f t="shared" si="57"/>
        <v/>
      </c>
    </row>
    <row r="350" spans="1:12">
      <c r="A350" s="9">
        <v>338</v>
      </c>
      <c r="B350" s="8">
        <v>704.13199999999995</v>
      </c>
      <c r="C350" s="8">
        <f t="shared" si="58"/>
        <v>0.51499999999998636</v>
      </c>
      <c r="D350" s="8">
        <f t="shared" si="51"/>
        <v>1.3215777815545913</v>
      </c>
      <c r="E350" s="8">
        <f t="shared" si="52"/>
        <v>1.0616604361005504</v>
      </c>
      <c r="F350" s="8">
        <f t="shared" si="59"/>
        <v>0</v>
      </c>
      <c r="G350" s="8">
        <f t="shared" si="60"/>
        <v>3.5254911485809703</v>
      </c>
      <c r="H350" s="8">
        <f t="shared" si="53"/>
        <v>1.0791218697829723</v>
      </c>
      <c r="I350" s="8">
        <f t="shared" si="54"/>
        <v>0</v>
      </c>
      <c r="J350" s="2" t="str">
        <f t="shared" si="55"/>
        <v>Y</v>
      </c>
      <c r="K350" s="2" t="str">
        <f t="shared" si="56"/>
        <v/>
      </c>
      <c r="L350" s="2" t="str">
        <f t="shared" si="57"/>
        <v/>
      </c>
    </row>
    <row r="351" spans="1:12">
      <c r="A351" s="9">
        <v>339</v>
      </c>
      <c r="B351" s="8">
        <v>700.322</v>
      </c>
      <c r="C351" s="8">
        <f t="shared" si="58"/>
        <v>3.8099999999999454</v>
      </c>
      <c r="D351" s="8">
        <f t="shared" si="51"/>
        <v>1.3215777815545913</v>
      </c>
      <c r="E351" s="8">
        <f t="shared" si="52"/>
        <v>1.0616604361005504</v>
      </c>
      <c r="F351" s="8">
        <f t="shared" si="59"/>
        <v>0</v>
      </c>
      <c r="G351" s="8">
        <f t="shared" si="60"/>
        <v>3.5254911485809703</v>
      </c>
      <c r="H351" s="8">
        <f t="shared" si="53"/>
        <v>1.0791218697829723</v>
      </c>
      <c r="I351" s="8">
        <f t="shared" si="54"/>
        <v>0</v>
      </c>
      <c r="J351" s="2" t="str">
        <f t="shared" si="55"/>
        <v>Y</v>
      </c>
      <c r="K351" s="2" t="str">
        <f t="shared" si="56"/>
        <v>Y</v>
      </c>
      <c r="L351" s="2" t="str">
        <f t="shared" si="57"/>
        <v/>
      </c>
    </row>
    <row r="352" spans="1:12">
      <c r="A352" s="9">
        <v>340</v>
      </c>
      <c r="B352" s="8">
        <v>700.95500000000004</v>
      </c>
      <c r="C352" s="8">
        <f t="shared" si="58"/>
        <v>0.6330000000000382</v>
      </c>
      <c r="D352" s="8">
        <f t="shared" si="51"/>
        <v>1.3215777815545913</v>
      </c>
      <c r="E352" s="8">
        <f t="shared" si="52"/>
        <v>1.0616604361005504</v>
      </c>
      <c r="F352" s="8">
        <f t="shared" si="59"/>
        <v>0</v>
      </c>
      <c r="G352" s="8">
        <f t="shared" si="60"/>
        <v>3.5254911485809703</v>
      </c>
      <c r="H352" s="8">
        <f t="shared" si="53"/>
        <v>1.0791218697829723</v>
      </c>
      <c r="I352" s="8">
        <f t="shared" si="54"/>
        <v>0</v>
      </c>
      <c r="J352" s="2" t="str">
        <f t="shared" si="55"/>
        <v>Y</v>
      </c>
      <c r="K352" s="2" t="str">
        <f t="shared" si="56"/>
        <v/>
      </c>
      <c r="L352" s="2" t="str">
        <f t="shared" si="57"/>
        <v/>
      </c>
    </row>
    <row r="353" spans="1:12">
      <c r="A353" s="9">
        <v>341</v>
      </c>
      <c r="B353" s="8">
        <v>699.83900000000006</v>
      </c>
      <c r="C353" s="8">
        <f t="shared" si="58"/>
        <v>1.1159999999999854</v>
      </c>
      <c r="D353" s="8">
        <f t="shared" si="51"/>
        <v>1.3215777815545913</v>
      </c>
      <c r="E353" s="8">
        <f t="shared" si="52"/>
        <v>1.0616604361005504</v>
      </c>
      <c r="F353" s="8">
        <f t="shared" si="59"/>
        <v>0</v>
      </c>
      <c r="G353" s="8">
        <f t="shared" si="60"/>
        <v>3.5254911485809703</v>
      </c>
      <c r="H353" s="8">
        <f t="shared" si="53"/>
        <v>1.0791218697829723</v>
      </c>
      <c r="I353" s="8">
        <f t="shared" si="54"/>
        <v>0</v>
      </c>
      <c r="J353" s="2" t="str">
        <f t="shared" si="55"/>
        <v>Y</v>
      </c>
      <c r="K353" s="2" t="str">
        <f t="shared" si="56"/>
        <v/>
      </c>
      <c r="L353" s="2" t="str">
        <f t="shared" si="57"/>
        <v/>
      </c>
    </row>
    <row r="354" spans="1:12">
      <c r="A354" s="9">
        <v>342</v>
      </c>
      <c r="B354" s="8">
        <v>699.69</v>
      </c>
      <c r="C354" s="8">
        <f t="shared" si="58"/>
        <v>0.14900000000000091</v>
      </c>
      <c r="D354" s="8">
        <f t="shared" si="51"/>
        <v>1.3215777815545913</v>
      </c>
      <c r="E354" s="8">
        <f t="shared" si="52"/>
        <v>1.0616604361005504</v>
      </c>
      <c r="F354" s="8">
        <f t="shared" si="59"/>
        <v>0</v>
      </c>
      <c r="G354" s="8">
        <f t="shared" si="60"/>
        <v>3.5254911485809703</v>
      </c>
      <c r="H354" s="8">
        <f t="shared" si="53"/>
        <v>1.0791218697829723</v>
      </c>
      <c r="I354" s="8">
        <f t="shared" si="54"/>
        <v>0</v>
      </c>
      <c r="J354" s="2" t="str">
        <f t="shared" si="55"/>
        <v>Y</v>
      </c>
      <c r="K354" s="2" t="str">
        <f t="shared" si="56"/>
        <v/>
      </c>
      <c r="L354" s="2" t="str">
        <f t="shared" si="57"/>
        <v/>
      </c>
    </row>
    <row r="355" spans="1:12">
      <c r="A355" s="9">
        <v>343</v>
      </c>
      <c r="B355" s="8">
        <v>699.34799999999996</v>
      </c>
      <c r="C355" s="8">
        <f t="shared" si="58"/>
        <v>0.34200000000009823</v>
      </c>
      <c r="D355" s="8">
        <f t="shared" si="51"/>
        <v>1.3215777815545913</v>
      </c>
      <c r="E355" s="8">
        <f t="shared" si="52"/>
        <v>1.0616604361005504</v>
      </c>
      <c r="F355" s="8">
        <f t="shared" si="59"/>
        <v>0</v>
      </c>
      <c r="G355" s="8">
        <f t="shared" si="60"/>
        <v>3.5254911485809703</v>
      </c>
      <c r="H355" s="8">
        <f t="shared" si="53"/>
        <v>1.0791218697829723</v>
      </c>
      <c r="I355" s="8">
        <f t="shared" si="54"/>
        <v>0</v>
      </c>
      <c r="J355" s="2" t="str">
        <f t="shared" si="55"/>
        <v>Y</v>
      </c>
      <c r="K355" s="2" t="str">
        <f t="shared" si="56"/>
        <v/>
      </c>
      <c r="L355" s="2" t="str">
        <f t="shared" si="57"/>
        <v/>
      </c>
    </row>
    <row r="356" spans="1:12">
      <c r="A356" s="9">
        <v>344</v>
      </c>
      <c r="B356" s="8">
        <v>698.85400000000004</v>
      </c>
      <c r="C356" s="8">
        <f t="shared" si="58"/>
        <v>0.49399999999991451</v>
      </c>
      <c r="D356" s="8">
        <f t="shared" si="51"/>
        <v>1.3215777815545913</v>
      </c>
      <c r="E356" s="8">
        <f t="shared" si="52"/>
        <v>1.0616604361005504</v>
      </c>
      <c r="F356" s="8">
        <f t="shared" si="59"/>
        <v>0</v>
      </c>
      <c r="G356" s="8">
        <f t="shared" si="60"/>
        <v>3.5254911485809703</v>
      </c>
      <c r="H356" s="8">
        <f t="shared" si="53"/>
        <v>1.0791218697829723</v>
      </c>
      <c r="I356" s="8">
        <f t="shared" si="54"/>
        <v>0</v>
      </c>
      <c r="J356" s="2" t="str">
        <f t="shared" si="55"/>
        <v>Y</v>
      </c>
      <c r="K356" s="2" t="str">
        <f t="shared" si="56"/>
        <v/>
      </c>
      <c r="L356" s="2" t="str">
        <f t="shared" si="57"/>
        <v/>
      </c>
    </row>
    <row r="357" spans="1:12">
      <c r="A357" s="9">
        <v>345</v>
      </c>
      <c r="B357" s="8">
        <v>699.33500000000004</v>
      </c>
      <c r="C357" s="8">
        <f t="shared" si="58"/>
        <v>0.48099999999999454</v>
      </c>
      <c r="D357" s="8">
        <f t="shared" si="51"/>
        <v>1.3215777815545913</v>
      </c>
      <c r="E357" s="8">
        <f t="shared" si="52"/>
        <v>1.0616604361005504</v>
      </c>
      <c r="F357" s="8">
        <f t="shared" si="59"/>
        <v>0</v>
      </c>
      <c r="G357" s="8">
        <f t="shared" si="60"/>
        <v>3.5254911485809703</v>
      </c>
      <c r="H357" s="8">
        <f t="shared" si="53"/>
        <v>1.0791218697829723</v>
      </c>
      <c r="I357" s="8">
        <f t="shared" si="54"/>
        <v>0</v>
      </c>
      <c r="J357" s="2" t="str">
        <f t="shared" si="55"/>
        <v>Y</v>
      </c>
      <c r="K357" s="2" t="str">
        <f t="shared" si="56"/>
        <v/>
      </c>
      <c r="L357" s="2" t="str">
        <f t="shared" si="57"/>
        <v/>
      </c>
    </row>
    <row r="358" spans="1:12">
      <c r="A358" s="9">
        <v>346</v>
      </c>
      <c r="B358" s="8">
        <v>700.28300000000002</v>
      </c>
      <c r="C358" s="8">
        <f t="shared" si="58"/>
        <v>0.94799999999997908</v>
      </c>
      <c r="D358" s="8">
        <f t="shared" si="51"/>
        <v>1.3215777815545913</v>
      </c>
      <c r="E358" s="8">
        <f t="shared" si="52"/>
        <v>1.0616604361005504</v>
      </c>
      <c r="F358" s="8">
        <f t="shared" si="59"/>
        <v>0</v>
      </c>
      <c r="G358" s="8">
        <f t="shared" si="60"/>
        <v>3.5254911485809703</v>
      </c>
      <c r="H358" s="8">
        <f t="shared" si="53"/>
        <v>1.0791218697829723</v>
      </c>
      <c r="I358" s="8">
        <f t="shared" si="54"/>
        <v>0</v>
      </c>
      <c r="J358" s="2" t="str">
        <f t="shared" si="55"/>
        <v>Y</v>
      </c>
      <c r="K358" s="2" t="str">
        <f t="shared" si="56"/>
        <v/>
      </c>
      <c r="L358" s="2" t="str">
        <f t="shared" si="57"/>
        <v/>
      </c>
    </row>
    <row r="359" spans="1:12">
      <c r="A359" s="9">
        <v>347</v>
      </c>
      <c r="B359" s="8">
        <v>701.20500000000004</v>
      </c>
      <c r="C359" s="8">
        <f t="shared" si="58"/>
        <v>0.92200000000002547</v>
      </c>
      <c r="D359" s="8">
        <f t="shared" si="51"/>
        <v>1.3215777815545913</v>
      </c>
      <c r="E359" s="8">
        <f t="shared" si="52"/>
        <v>1.0616604361005504</v>
      </c>
      <c r="F359" s="8">
        <f t="shared" si="59"/>
        <v>0</v>
      </c>
      <c r="G359" s="8">
        <f t="shared" si="60"/>
        <v>3.5254911485809703</v>
      </c>
      <c r="H359" s="8">
        <f t="shared" si="53"/>
        <v>1.0791218697829723</v>
      </c>
      <c r="I359" s="8">
        <f t="shared" si="54"/>
        <v>0</v>
      </c>
      <c r="J359" s="2" t="str">
        <f t="shared" si="55"/>
        <v>Y</v>
      </c>
      <c r="K359" s="2" t="str">
        <f t="shared" si="56"/>
        <v/>
      </c>
      <c r="L359" s="2" t="str">
        <f t="shared" si="57"/>
        <v/>
      </c>
    </row>
    <row r="360" spans="1:12">
      <c r="A360" s="9">
        <v>348</v>
      </c>
      <c r="B360" s="8">
        <v>700.85799999999995</v>
      </c>
      <c r="C360" s="8">
        <f t="shared" si="58"/>
        <v>0.34700000000009368</v>
      </c>
      <c r="D360" s="8">
        <f t="shared" si="51"/>
        <v>1.3215777815545913</v>
      </c>
      <c r="E360" s="8">
        <f t="shared" si="52"/>
        <v>1.0616604361005504</v>
      </c>
      <c r="F360" s="8">
        <f t="shared" si="59"/>
        <v>0</v>
      </c>
      <c r="G360" s="8">
        <f t="shared" si="60"/>
        <v>3.5254911485809703</v>
      </c>
      <c r="H360" s="8">
        <f t="shared" si="53"/>
        <v>1.0791218697829723</v>
      </c>
      <c r="I360" s="8">
        <f t="shared" si="54"/>
        <v>0</v>
      </c>
      <c r="J360" s="2" t="str">
        <f t="shared" si="55"/>
        <v>Y</v>
      </c>
      <c r="K360" s="2" t="str">
        <f t="shared" si="56"/>
        <v/>
      </c>
      <c r="L360" s="2" t="str">
        <f t="shared" si="57"/>
        <v/>
      </c>
    </row>
    <row r="361" spans="1:12">
      <c r="A361" s="9">
        <v>349</v>
      </c>
      <c r="B361" s="8">
        <v>700.34900000000005</v>
      </c>
      <c r="C361" s="8">
        <f t="shared" si="58"/>
        <v>0.50899999999990087</v>
      </c>
      <c r="D361" s="8">
        <f t="shared" si="51"/>
        <v>1.3215777815545913</v>
      </c>
      <c r="E361" s="8">
        <f t="shared" si="52"/>
        <v>1.0616604361005504</v>
      </c>
      <c r="F361" s="8">
        <f t="shared" si="59"/>
        <v>0</v>
      </c>
      <c r="G361" s="8">
        <f t="shared" si="60"/>
        <v>3.5254911485809703</v>
      </c>
      <c r="H361" s="8">
        <f t="shared" si="53"/>
        <v>1.0791218697829723</v>
      </c>
      <c r="I361" s="8">
        <f t="shared" si="54"/>
        <v>0</v>
      </c>
      <c r="J361" s="2" t="str">
        <f t="shared" si="55"/>
        <v>Y</v>
      </c>
      <c r="K361" s="2" t="str">
        <f t="shared" si="56"/>
        <v/>
      </c>
      <c r="L361" s="2" t="str">
        <f t="shared" si="57"/>
        <v/>
      </c>
    </row>
    <row r="362" spans="1:12">
      <c r="A362" s="9">
        <v>350</v>
      </c>
      <c r="B362" s="8">
        <v>702.91600000000005</v>
      </c>
      <c r="C362" s="8">
        <f t="shared" si="58"/>
        <v>2.5670000000000073</v>
      </c>
      <c r="D362" s="8">
        <f t="shared" si="51"/>
        <v>1.3215777815545913</v>
      </c>
      <c r="E362" s="8">
        <f t="shared" si="52"/>
        <v>1.0616604361005504</v>
      </c>
      <c r="F362" s="8">
        <f t="shared" si="59"/>
        <v>0</v>
      </c>
      <c r="G362" s="8">
        <f t="shared" si="60"/>
        <v>3.5254911485809703</v>
      </c>
      <c r="H362" s="8">
        <f t="shared" si="53"/>
        <v>1.0791218697829723</v>
      </c>
      <c r="I362" s="8">
        <f t="shared" si="54"/>
        <v>0</v>
      </c>
      <c r="J362" s="2" t="str">
        <f t="shared" si="55"/>
        <v>Y</v>
      </c>
      <c r="K362" s="2" t="str">
        <f t="shared" si="56"/>
        <v/>
      </c>
      <c r="L362" s="2" t="str">
        <f t="shared" si="57"/>
        <v/>
      </c>
    </row>
    <row r="363" spans="1:12">
      <c r="A363" s="9">
        <v>351</v>
      </c>
      <c r="B363" s="8">
        <v>700.029</v>
      </c>
      <c r="C363" s="8">
        <f t="shared" si="58"/>
        <v>2.8870000000000573</v>
      </c>
      <c r="D363" s="8">
        <f t="shared" si="51"/>
        <v>1.3215777815545913</v>
      </c>
      <c r="E363" s="8">
        <f t="shared" si="52"/>
        <v>1.0616604361005504</v>
      </c>
      <c r="F363" s="8">
        <f t="shared" si="59"/>
        <v>0</v>
      </c>
      <c r="G363" s="8">
        <f t="shared" si="60"/>
        <v>3.5254911485809703</v>
      </c>
      <c r="H363" s="8">
        <f t="shared" si="53"/>
        <v>1.0791218697829723</v>
      </c>
      <c r="I363" s="8">
        <f t="shared" si="54"/>
        <v>0</v>
      </c>
      <c r="J363" s="2" t="str">
        <f t="shared" si="55"/>
        <v>Y</v>
      </c>
      <c r="K363" s="2" t="str">
        <f t="shared" si="56"/>
        <v/>
      </c>
      <c r="L363" s="2" t="str">
        <f t="shared" si="57"/>
        <v/>
      </c>
    </row>
    <row r="364" spans="1:12">
      <c r="A364" s="9">
        <v>352</v>
      </c>
      <c r="B364" s="8">
        <v>703.08399999999995</v>
      </c>
      <c r="C364" s="8">
        <f t="shared" si="58"/>
        <v>3.05499999999995</v>
      </c>
      <c r="D364" s="8">
        <f t="shared" si="51"/>
        <v>1.3215777815545913</v>
      </c>
      <c r="E364" s="8">
        <f t="shared" si="52"/>
        <v>1.0616604361005504</v>
      </c>
      <c r="F364" s="8">
        <f t="shared" si="59"/>
        <v>0</v>
      </c>
      <c r="G364" s="8">
        <f t="shared" si="60"/>
        <v>3.5254911485809703</v>
      </c>
      <c r="H364" s="8">
        <f t="shared" si="53"/>
        <v>1.0791218697829723</v>
      </c>
      <c r="I364" s="8">
        <f t="shared" si="54"/>
        <v>0</v>
      </c>
      <c r="J364" s="2" t="str">
        <f t="shared" si="55"/>
        <v>Y</v>
      </c>
      <c r="K364" s="2" t="str">
        <f t="shared" si="56"/>
        <v/>
      </c>
      <c r="L364" s="2" t="str">
        <f t="shared" si="57"/>
        <v/>
      </c>
    </row>
    <row r="365" spans="1:12">
      <c r="A365" s="9">
        <v>353</v>
      </c>
      <c r="B365" s="8">
        <v>699.61199999999997</v>
      </c>
      <c r="C365" s="8">
        <f t="shared" si="58"/>
        <v>3.47199999999998</v>
      </c>
      <c r="D365" s="8">
        <f t="shared" si="51"/>
        <v>1.3215777815545913</v>
      </c>
      <c r="E365" s="8">
        <f t="shared" si="52"/>
        <v>1.0616604361005504</v>
      </c>
      <c r="F365" s="8">
        <f t="shared" si="59"/>
        <v>0</v>
      </c>
      <c r="G365" s="8">
        <f t="shared" si="60"/>
        <v>3.5254911485809703</v>
      </c>
      <c r="H365" s="8">
        <f t="shared" si="53"/>
        <v>1.0791218697829723</v>
      </c>
      <c r="I365" s="8">
        <f t="shared" si="54"/>
        <v>0</v>
      </c>
      <c r="J365" s="2" t="str">
        <f t="shared" si="55"/>
        <v>Y</v>
      </c>
      <c r="K365" s="2" t="str">
        <f t="shared" si="56"/>
        <v/>
      </c>
      <c r="L365" s="2" t="str">
        <f t="shared" si="57"/>
        <v/>
      </c>
    </row>
    <row r="366" spans="1:12">
      <c r="A366" s="9">
        <v>354</v>
      </c>
      <c r="B366" s="8">
        <v>700.03800000000001</v>
      </c>
      <c r="C366" s="8">
        <f t="shared" si="58"/>
        <v>0.42600000000004457</v>
      </c>
      <c r="D366" s="8">
        <f t="shared" si="51"/>
        <v>1.3215777815545913</v>
      </c>
      <c r="E366" s="8">
        <f t="shared" si="52"/>
        <v>1.0616604361005504</v>
      </c>
      <c r="F366" s="8">
        <f t="shared" si="59"/>
        <v>0</v>
      </c>
      <c r="G366" s="8">
        <f t="shared" si="60"/>
        <v>3.5254911485809703</v>
      </c>
      <c r="H366" s="8">
        <f t="shared" si="53"/>
        <v>1.0791218697829723</v>
      </c>
      <c r="I366" s="8">
        <f t="shared" si="54"/>
        <v>0</v>
      </c>
      <c r="J366" s="2" t="str">
        <f t="shared" si="55"/>
        <v>Y</v>
      </c>
      <c r="K366" s="2" t="str">
        <f t="shared" si="56"/>
        <v/>
      </c>
      <c r="L366" s="2" t="str">
        <f t="shared" si="57"/>
        <v/>
      </c>
    </row>
    <row r="367" spans="1:12">
      <c r="A367" s="9">
        <v>355</v>
      </c>
      <c r="B367" s="8">
        <v>703.04499999999996</v>
      </c>
      <c r="C367" s="8">
        <f t="shared" si="58"/>
        <v>3.0069999999999482</v>
      </c>
      <c r="D367" s="8">
        <f t="shared" si="51"/>
        <v>1.3215777815545913</v>
      </c>
      <c r="E367" s="8">
        <f t="shared" si="52"/>
        <v>1.0616604361005504</v>
      </c>
      <c r="F367" s="8">
        <f t="shared" si="59"/>
        <v>0</v>
      </c>
      <c r="G367" s="8">
        <f t="shared" si="60"/>
        <v>3.5254911485809703</v>
      </c>
      <c r="H367" s="8">
        <f t="shared" si="53"/>
        <v>1.0791218697829723</v>
      </c>
      <c r="I367" s="8">
        <f t="shared" si="54"/>
        <v>0</v>
      </c>
      <c r="J367" s="2" t="str">
        <f t="shared" si="55"/>
        <v>Y</v>
      </c>
      <c r="K367" s="2" t="str">
        <f t="shared" si="56"/>
        <v/>
      </c>
      <c r="L367" s="2" t="str">
        <f t="shared" si="57"/>
        <v/>
      </c>
    </row>
    <row r="368" spans="1:12">
      <c r="A368" s="9">
        <v>356</v>
      </c>
      <c r="B368" s="8">
        <v>703.09500000000003</v>
      </c>
      <c r="C368" s="8">
        <f t="shared" si="58"/>
        <v>5.0000000000068212E-2</v>
      </c>
      <c r="D368" s="8">
        <f t="shared" si="51"/>
        <v>1.3215777815545913</v>
      </c>
      <c r="E368" s="8">
        <f t="shared" si="52"/>
        <v>1.0616604361005504</v>
      </c>
      <c r="F368" s="8">
        <f t="shared" si="59"/>
        <v>0</v>
      </c>
      <c r="G368" s="8">
        <f t="shared" si="60"/>
        <v>3.5254911485809703</v>
      </c>
      <c r="H368" s="8">
        <f t="shared" si="53"/>
        <v>1.0791218697829723</v>
      </c>
      <c r="I368" s="8">
        <f t="shared" si="54"/>
        <v>0</v>
      </c>
      <c r="J368" s="2" t="str">
        <f t="shared" si="55"/>
        <v>Y</v>
      </c>
      <c r="K368" s="2" t="str">
        <f t="shared" si="56"/>
        <v/>
      </c>
      <c r="L368" s="2" t="str">
        <f t="shared" si="57"/>
        <v/>
      </c>
    </row>
    <row r="369" spans="1:12">
      <c r="A369" s="9">
        <v>357</v>
      </c>
      <c r="B369" s="8">
        <v>703.02800000000002</v>
      </c>
      <c r="C369" s="8">
        <f t="shared" si="58"/>
        <v>6.7000000000007276E-2</v>
      </c>
      <c r="D369" s="8">
        <f t="shared" si="51"/>
        <v>1.3215777815545913</v>
      </c>
      <c r="E369" s="8">
        <f t="shared" si="52"/>
        <v>1.0616604361005504</v>
      </c>
      <c r="F369" s="8">
        <f t="shared" si="59"/>
        <v>0</v>
      </c>
      <c r="G369" s="8">
        <f t="shared" si="60"/>
        <v>3.5254911485809703</v>
      </c>
      <c r="H369" s="8">
        <f t="shared" si="53"/>
        <v>1.0791218697829723</v>
      </c>
      <c r="I369" s="8">
        <f t="shared" si="54"/>
        <v>0</v>
      </c>
      <c r="J369" s="2" t="str">
        <f t="shared" si="55"/>
        <v>Y</v>
      </c>
      <c r="K369" s="2" t="str">
        <f t="shared" si="56"/>
        <v/>
      </c>
      <c r="L369" s="2" t="str">
        <f t="shared" si="57"/>
        <v/>
      </c>
    </row>
    <row r="370" spans="1:12">
      <c r="A370" s="9">
        <v>358</v>
      </c>
      <c r="B370" s="8">
        <v>698.48400000000004</v>
      </c>
      <c r="C370" s="8">
        <f t="shared" si="58"/>
        <v>4.5439999999999827</v>
      </c>
      <c r="D370" s="8">
        <f t="shared" si="51"/>
        <v>1.3215777815545913</v>
      </c>
      <c r="E370" s="8">
        <f t="shared" si="52"/>
        <v>1.0616604361005504</v>
      </c>
      <c r="F370" s="8">
        <f t="shared" si="59"/>
        <v>0</v>
      </c>
      <c r="G370" s="8">
        <f t="shared" si="60"/>
        <v>3.5254911485809703</v>
      </c>
      <c r="H370" s="8">
        <f t="shared" si="53"/>
        <v>1.0791218697829723</v>
      </c>
      <c r="I370" s="8">
        <f t="shared" si="54"/>
        <v>0</v>
      </c>
      <c r="J370" s="2" t="str">
        <f t="shared" si="55"/>
        <v>Y</v>
      </c>
      <c r="K370" s="2" t="str">
        <f t="shared" si="56"/>
        <v>Y</v>
      </c>
      <c r="L370" s="2" t="str">
        <f t="shared" si="57"/>
        <v/>
      </c>
    </row>
    <row r="371" spans="1:12">
      <c r="A371" s="9">
        <v>359</v>
      </c>
      <c r="B371" s="8">
        <v>700.58299999999997</v>
      </c>
      <c r="C371" s="8">
        <f t="shared" si="58"/>
        <v>2.0989999999999327</v>
      </c>
      <c r="D371" s="8">
        <f t="shared" si="51"/>
        <v>1.3215777815545913</v>
      </c>
      <c r="E371" s="8">
        <f t="shared" si="52"/>
        <v>1.0616604361005504</v>
      </c>
      <c r="F371" s="8">
        <f t="shared" si="59"/>
        <v>0</v>
      </c>
      <c r="G371" s="8">
        <f t="shared" si="60"/>
        <v>3.5254911485809703</v>
      </c>
      <c r="H371" s="8">
        <f t="shared" si="53"/>
        <v>1.0791218697829723</v>
      </c>
      <c r="I371" s="8">
        <f t="shared" si="54"/>
        <v>0</v>
      </c>
      <c r="J371" s="2" t="str">
        <f t="shared" si="55"/>
        <v>Y</v>
      </c>
      <c r="K371" s="2" t="str">
        <f t="shared" si="56"/>
        <v/>
      </c>
      <c r="L371" s="2" t="str">
        <f t="shared" si="57"/>
        <v/>
      </c>
    </row>
    <row r="372" spans="1:12">
      <c r="A372" s="9">
        <v>360</v>
      </c>
      <c r="B372" s="8">
        <v>699.79899999999998</v>
      </c>
      <c r="C372" s="8">
        <f t="shared" si="58"/>
        <v>0.78399999999999181</v>
      </c>
      <c r="D372" s="8">
        <f t="shared" si="51"/>
        <v>1.3215777815545913</v>
      </c>
      <c r="E372" s="8">
        <f t="shared" si="52"/>
        <v>1.0616604361005504</v>
      </c>
      <c r="F372" s="8">
        <f t="shared" si="59"/>
        <v>0</v>
      </c>
      <c r="G372" s="8">
        <f t="shared" si="60"/>
        <v>3.5254911485809703</v>
      </c>
      <c r="H372" s="8">
        <f t="shared" si="53"/>
        <v>1.0791218697829723</v>
      </c>
      <c r="I372" s="8">
        <f t="shared" si="54"/>
        <v>0</v>
      </c>
      <c r="J372" s="2" t="str">
        <f t="shared" si="55"/>
        <v>Y</v>
      </c>
      <c r="K372" s="2" t="str">
        <f t="shared" si="56"/>
        <v/>
      </c>
      <c r="L372" s="2" t="str">
        <f t="shared" si="57"/>
        <v/>
      </c>
    </row>
    <row r="373" spans="1:12">
      <c r="A373" s="9">
        <v>361</v>
      </c>
      <c r="B373" s="8">
        <v>700.702</v>
      </c>
      <c r="C373" s="8">
        <f t="shared" si="58"/>
        <v>0.90300000000002001</v>
      </c>
      <c r="D373" s="8">
        <f t="shared" si="51"/>
        <v>1.3215777815545913</v>
      </c>
      <c r="E373" s="8">
        <f t="shared" si="52"/>
        <v>1.0616604361005504</v>
      </c>
      <c r="F373" s="8">
        <f t="shared" si="59"/>
        <v>0</v>
      </c>
      <c r="G373" s="8">
        <f t="shared" si="60"/>
        <v>3.5254911485809703</v>
      </c>
      <c r="H373" s="8">
        <f t="shared" si="53"/>
        <v>1.0791218697829723</v>
      </c>
      <c r="I373" s="8">
        <f t="shared" si="54"/>
        <v>0</v>
      </c>
      <c r="J373" s="2" t="str">
        <f t="shared" si="55"/>
        <v>Y</v>
      </c>
      <c r="K373" s="2" t="str">
        <f t="shared" si="56"/>
        <v/>
      </c>
      <c r="L373" s="2" t="str">
        <f t="shared" si="57"/>
        <v/>
      </c>
    </row>
    <row r="374" spans="1:12">
      <c r="A374" s="9">
        <v>362</v>
      </c>
      <c r="B374" s="8">
        <v>700.76300000000003</v>
      </c>
      <c r="C374" s="8">
        <f t="shared" si="58"/>
        <v>6.100000000003547E-2</v>
      </c>
      <c r="D374" s="8">
        <f t="shared" si="51"/>
        <v>1.3215777815545913</v>
      </c>
      <c r="E374" s="8">
        <f t="shared" si="52"/>
        <v>1.0616604361005504</v>
      </c>
      <c r="F374" s="8">
        <f t="shared" si="59"/>
        <v>0</v>
      </c>
      <c r="G374" s="8">
        <f t="shared" si="60"/>
        <v>3.5254911485809703</v>
      </c>
      <c r="H374" s="8">
        <f t="shared" si="53"/>
        <v>1.0791218697829723</v>
      </c>
      <c r="I374" s="8">
        <f t="shared" si="54"/>
        <v>0</v>
      </c>
      <c r="J374" s="2" t="str">
        <f t="shared" si="55"/>
        <v>Y</v>
      </c>
      <c r="K374" s="2" t="str">
        <f t="shared" si="56"/>
        <v/>
      </c>
      <c r="L374" s="2" t="str">
        <f t="shared" si="57"/>
        <v/>
      </c>
    </row>
    <row r="375" spans="1:12">
      <c r="A375" s="9">
        <v>363</v>
      </c>
      <c r="B375" s="8">
        <v>700.72400000000005</v>
      </c>
      <c r="C375" s="8">
        <f t="shared" si="58"/>
        <v>3.8999999999987267E-2</v>
      </c>
      <c r="D375" s="8">
        <f t="shared" si="51"/>
        <v>1.3215777815545913</v>
      </c>
      <c r="E375" s="8">
        <f t="shared" si="52"/>
        <v>1.0616604361005504</v>
      </c>
      <c r="F375" s="8">
        <f t="shared" si="59"/>
        <v>0</v>
      </c>
      <c r="G375" s="8">
        <f t="shared" si="60"/>
        <v>3.5254911485809703</v>
      </c>
      <c r="H375" s="8">
        <f t="shared" si="53"/>
        <v>1.0791218697829723</v>
      </c>
      <c r="I375" s="8">
        <f t="shared" si="54"/>
        <v>0</v>
      </c>
      <c r="J375" s="2" t="str">
        <f t="shared" si="55"/>
        <v>Y</v>
      </c>
      <c r="K375" s="2" t="str">
        <f t="shared" si="56"/>
        <v/>
      </c>
      <c r="L375" s="2" t="str">
        <f t="shared" si="57"/>
        <v/>
      </c>
    </row>
    <row r="376" spans="1:12">
      <c r="A376" s="9">
        <v>364</v>
      </c>
      <c r="B376" s="8">
        <v>703.81500000000005</v>
      </c>
      <c r="C376" s="8">
        <f t="shared" si="58"/>
        <v>3.0910000000000082</v>
      </c>
      <c r="D376" s="8">
        <f t="shared" si="51"/>
        <v>1.3215777815545913</v>
      </c>
      <c r="E376" s="8">
        <f t="shared" si="52"/>
        <v>1.0616604361005504</v>
      </c>
      <c r="F376" s="8">
        <f t="shared" si="59"/>
        <v>0</v>
      </c>
      <c r="G376" s="8">
        <f t="shared" si="60"/>
        <v>3.5254911485809703</v>
      </c>
      <c r="H376" s="8">
        <f t="shared" si="53"/>
        <v>1.0791218697829723</v>
      </c>
      <c r="I376" s="8">
        <f t="shared" si="54"/>
        <v>0</v>
      </c>
      <c r="J376" s="2" t="str">
        <f t="shared" si="55"/>
        <v>Y</v>
      </c>
      <c r="K376" s="2" t="str">
        <f t="shared" si="56"/>
        <v/>
      </c>
      <c r="L376" s="2" t="str">
        <f t="shared" si="57"/>
        <v/>
      </c>
    </row>
    <row r="377" spans="1:12">
      <c r="A377" s="9">
        <v>365</v>
      </c>
      <c r="B377" s="8">
        <v>700.13900000000001</v>
      </c>
      <c r="C377" s="8">
        <f t="shared" si="58"/>
        <v>3.6760000000000446</v>
      </c>
      <c r="D377" s="8">
        <f t="shared" si="51"/>
        <v>1.3215777815545913</v>
      </c>
      <c r="E377" s="8">
        <f t="shared" si="52"/>
        <v>1.0616604361005504</v>
      </c>
      <c r="F377" s="8">
        <f t="shared" si="59"/>
        <v>0</v>
      </c>
      <c r="G377" s="8">
        <f t="shared" si="60"/>
        <v>3.5254911485809703</v>
      </c>
      <c r="H377" s="8">
        <f t="shared" si="53"/>
        <v>1.0791218697829723</v>
      </c>
      <c r="I377" s="8">
        <f t="shared" si="54"/>
        <v>0</v>
      </c>
      <c r="J377" s="2" t="str">
        <f t="shared" si="55"/>
        <v>Y</v>
      </c>
      <c r="K377" s="2" t="str">
        <f t="shared" si="56"/>
        <v>Y</v>
      </c>
      <c r="L377" s="2" t="str">
        <f t="shared" si="57"/>
        <v/>
      </c>
    </row>
    <row r="378" spans="1:12">
      <c r="A378" s="9">
        <v>366</v>
      </c>
      <c r="B378" s="8">
        <v>700.16899999999998</v>
      </c>
      <c r="C378" s="8">
        <f t="shared" si="58"/>
        <v>2.9999999999972715E-2</v>
      </c>
      <c r="D378" s="8">
        <f t="shared" si="51"/>
        <v>1.3215777815545913</v>
      </c>
      <c r="E378" s="8">
        <f t="shared" si="52"/>
        <v>1.0616604361005504</v>
      </c>
      <c r="F378" s="8">
        <f t="shared" si="59"/>
        <v>0</v>
      </c>
      <c r="G378" s="8">
        <f t="shared" si="60"/>
        <v>3.5254911485809703</v>
      </c>
      <c r="H378" s="8">
        <f t="shared" si="53"/>
        <v>1.0791218697829723</v>
      </c>
      <c r="I378" s="8">
        <f t="shared" si="54"/>
        <v>0</v>
      </c>
      <c r="J378" s="2" t="str">
        <f t="shared" si="55"/>
        <v>Y</v>
      </c>
      <c r="K378" s="2" t="str">
        <f t="shared" si="56"/>
        <v/>
      </c>
      <c r="L378" s="2" t="str">
        <f t="shared" si="57"/>
        <v/>
      </c>
    </row>
    <row r="379" spans="1:12">
      <c r="A379" s="9">
        <v>367</v>
      </c>
      <c r="B379" s="8">
        <v>701.31399999999996</v>
      </c>
      <c r="C379" s="8">
        <f t="shared" si="58"/>
        <v>1.1449999999999818</v>
      </c>
      <c r="D379" s="8">
        <f t="shared" si="51"/>
        <v>1.3215777815545913</v>
      </c>
      <c r="E379" s="8">
        <f t="shared" si="52"/>
        <v>1.0616604361005504</v>
      </c>
      <c r="F379" s="8">
        <f t="shared" si="59"/>
        <v>0</v>
      </c>
      <c r="G379" s="8">
        <f t="shared" si="60"/>
        <v>3.5254911485809703</v>
      </c>
      <c r="H379" s="8">
        <f t="shared" si="53"/>
        <v>1.0791218697829723</v>
      </c>
      <c r="I379" s="8">
        <f t="shared" si="54"/>
        <v>0</v>
      </c>
      <c r="J379" s="2" t="str">
        <f t="shared" si="55"/>
        <v>Y</v>
      </c>
      <c r="K379" s="2" t="str">
        <f t="shared" si="56"/>
        <v/>
      </c>
      <c r="L379" s="2" t="str">
        <f t="shared" si="57"/>
        <v/>
      </c>
    </row>
    <row r="380" spans="1:12">
      <c r="A380" s="9">
        <v>368</v>
      </c>
      <c r="B380" s="8">
        <v>700.45799999999997</v>
      </c>
      <c r="C380" s="8">
        <f t="shared" si="58"/>
        <v>0.85599999999999454</v>
      </c>
      <c r="D380" s="8">
        <f t="shared" si="51"/>
        <v>1.3215777815545913</v>
      </c>
      <c r="E380" s="8">
        <f t="shared" si="52"/>
        <v>1.0616604361005504</v>
      </c>
      <c r="F380" s="8">
        <f t="shared" si="59"/>
        <v>0</v>
      </c>
      <c r="G380" s="8">
        <f t="shared" si="60"/>
        <v>3.5254911485809703</v>
      </c>
      <c r="H380" s="8">
        <f t="shared" si="53"/>
        <v>1.0791218697829723</v>
      </c>
      <c r="I380" s="8">
        <f t="shared" si="54"/>
        <v>0</v>
      </c>
      <c r="J380" s="2" t="str">
        <f t="shared" si="55"/>
        <v>Y</v>
      </c>
      <c r="K380" s="2" t="str">
        <f t="shared" si="56"/>
        <v/>
      </c>
      <c r="L380" s="2" t="str">
        <f t="shared" si="57"/>
        <v/>
      </c>
    </row>
    <row r="381" spans="1:12">
      <c r="A381" s="9">
        <v>369</v>
      </c>
      <c r="B381" s="8">
        <v>700.88499999999999</v>
      </c>
      <c r="C381" s="8">
        <f t="shared" si="58"/>
        <v>0.42700000000002092</v>
      </c>
      <c r="D381" s="8">
        <f t="shared" si="51"/>
        <v>1.3215777815545913</v>
      </c>
      <c r="E381" s="8">
        <f t="shared" si="52"/>
        <v>1.0616604361005504</v>
      </c>
      <c r="F381" s="8">
        <f t="shared" si="59"/>
        <v>0</v>
      </c>
      <c r="G381" s="8">
        <f t="shared" si="60"/>
        <v>3.5254911485809703</v>
      </c>
      <c r="H381" s="8">
        <f t="shared" si="53"/>
        <v>1.0791218697829723</v>
      </c>
      <c r="I381" s="8">
        <f t="shared" si="54"/>
        <v>0</v>
      </c>
      <c r="J381" s="2" t="str">
        <f t="shared" si="55"/>
        <v>Y</v>
      </c>
      <c r="K381" s="2" t="str">
        <f t="shared" si="56"/>
        <v/>
      </c>
      <c r="L381" s="2" t="str">
        <f t="shared" si="57"/>
        <v/>
      </c>
    </row>
    <row r="382" spans="1:12">
      <c r="A382" s="9">
        <v>370</v>
      </c>
      <c r="B382" s="8">
        <v>702.31899999999996</v>
      </c>
      <c r="C382" s="8">
        <f t="shared" si="58"/>
        <v>1.4339999999999691</v>
      </c>
      <c r="D382" s="8">
        <f t="shared" si="51"/>
        <v>1.3215777815545913</v>
      </c>
      <c r="E382" s="8">
        <f t="shared" si="52"/>
        <v>1.0616604361005504</v>
      </c>
      <c r="F382" s="8">
        <f t="shared" si="59"/>
        <v>0</v>
      </c>
      <c r="G382" s="8">
        <f t="shared" si="60"/>
        <v>3.5254911485809703</v>
      </c>
      <c r="H382" s="8">
        <f t="shared" si="53"/>
        <v>1.0791218697829723</v>
      </c>
      <c r="I382" s="8">
        <f t="shared" si="54"/>
        <v>0</v>
      </c>
      <c r="J382" s="2" t="str">
        <f t="shared" si="55"/>
        <v>Y</v>
      </c>
      <c r="K382" s="2" t="str">
        <f t="shared" si="56"/>
        <v/>
      </c>
      <c r="L382" s="2" t="str">
        <f t="shared" si="57"/>
        <v/>
      </c>
    </row>
    <row r="383" spans="1:12">
      <c r="A383" s="9">
        <v>371</v>
      </c>
      <c r="B383" s="8">
        <v>700.12599999999998</v>
      </c>
      <c r="C383" s="8">
        <f t="shared" si="58"/>
        <v>2.1929999999999836</v>
      </c>
      <c r="D383" s="8">
        <f t="shared" si="51"/>
        <v>1.3215777815545913</v>
      </c>
      <c r="E383" s="8">
        <f t="shared" si="52"/>
        <v>1.0616604361005504</v>
      </c>
      <c r="F383" s="8">
        <f t="shared" si="59"/>
        <v>0</v>
      </c>
      <c r="G383" s="8">
        <f t="shared" si="60"/>
        <v>3.5254911485809703</v>
      </c>
      <c r="H383" s="8">
        <f t="shared" si="53"/>
        <v>1.0791218697829723</v>
      </c>
      <c r="I383" s="8">
        <f t="shared" si="54"/>
        <v>0</v>
      </c>
      <c r="J383" s="2" t="str">
        <f t="shared" si="55"/>
        <v>Y</v>
      </c>
      <c r="K383" s="2" t="str">
        <f t="shared" si="56"/>
        <v/>
      </c>
      <c r="L383" s="2" t="str">
        <f t="shared" si="57"/>
        <v/>
      </c>
    </row>
    <row r="384" spans="1:12">
      <c r="A384" s="9">
        <v>372</v>
      </c>
      <c r="B384" s="8">
        <v>699.70799999999997</v>
      </c>
      <c r="C384" s="8">
        <f t="shared" si="58"/>
        <v>0.41800000000000637</v>
      </c>
      <c r="D384" s="8">
        <f t="shared" si="51"/>
        <v>1.3215777815545913</v>
      </c>
      <c r="E384" s="8">
        <f t="shared" si="52"/>
        <v>1.0616604361005504</v>
      </c>
      <c r="F384" s="8">
        <f t="shared" si="59"/>
        <v>0</v>
      </c>
      <c r="G384" s="8">
        <f t="shared" si="60"/>
        <v>3.5254911485809703</v>
      </c>
      <c r="H384" s="8">
        <f t="shared" si="53"/>
        <v>1.0791218697829723</v>
      </c>
      <c r="I384" s="8">
        <f t="shared" si="54"/>
        <v>0</v>
      </c>
      <c r="J384" s="2" t="str">
        <f t="shared" si="55"/>
        <v>Y</v>
      </c>
      <c r="K384" s="2" t="str">
        <f t="shared" si="56"/>
        <v/>
      </c>
      <c r="L384" s="2" t="str">
        <f t="shared" si="57"/>
        <v/>
      </c>
    </row>
    <row r="385" spans="1:12">
      <c r="A385" s="9">
        <v>373</v>
      </c>
      <c r="B385" s="8">
        <v>700.87199999999996</v>
      </c>
      <c r="C385" s="8">
        <f t="shared" si="58"/>
        <v>1.1639999999999873</v>
      </c>
      <c r="D385" s="8">
        <f t="shared" si="51"/>
        <v>1.3215777815545913</v>
      </c>
      <c r="E385" s="8">
        <f t="shared" si="52"/>
        <v>1.0616604361005504</v>
      </c>
      <c r="F385" s="8">
        <f t="shared" si="59"/>
        <v>0</v>
      </c>
      <c r="G385" s="8">
        <f t="shared" si="60"/>
        <v>3.5254911485809703</v>
      </c>
      <c r="H385" s="8">
        <f t="shared" si="53"/>
        <v>1.0791218697829723</v>
      </c>
      <c r="I385" s="8">
        <f t="shared" si="54"/>
        <v>0</v>
      </c>
      <c r="J385" s="2" t="str">
        <f t="shared" si="55"/>
        <v>Y</v>
      </c>
      <c r="K385" s="2" t="str">
        <f t="shared" si="56"/>
        <v/>
      </c>
      <c r="L385" s="2" t="str">
        <f t="shared" si="57"/>
        <v/>
      </c>
    </row>
    <row r="386" spans="1:12">
      <c r="A386" s="9">
        <v>374</v>
      </c>
      <c r="B386" s="8">
        <v>702.202</v>
      </c>
      <c r="C386" s="8">
        <f t="shared" si="58"/>
        <v>1.3300000000000409</v>
      </c>
      <c r="D386" s="8">
        <f t="shared" si="51"/>
        <v>1.3215777815545913</v>
      </c>
      <c r="E386" s="8">
        <f t="shared" si="52"/>
        <v>1.0616604361005504</v>
      </c>
      <c r="F386" s="8">
        <f t="shared" si="59"/>
        <v>0</v>
      </c>
      <c r="G386" s="8">
        <f t="shared" si="60"/>
        <v>3.5254911485809703</v>
      </c>
      <c r="H386" s="8">
        <f t="shared" si="53"/>
        <v>1.0791218697829723</v>
      </c>
      <c r="I386" s="8">
        <f t="shared" si="54"/>
        <v>0</v>
      </c>
      <c r="J386" s="2" t="str">
        <f t="shared" si="55"/>
        <v>Y</v>
      </c>
      <c r="K386" s="2" t="str">
        <f t="shared" si="56"/>
        <v/>
      </c>
      <c r="L386" s="2" t="str">
        <f t="shared" si="57"/>
        <v/>
      </c>
    </row>
    <row r="387" spans="1:12">
      <c r="A387" s="9">
        <v>375</v>
      </c>
      <c r="B387" s="8">
        <v>700.24199999999996</v>
      </c>
      <c r="C387" s="8">
        <f t="shared" si="58"/>
        <v>1.9600000000000364</v>
      </c>
      <c r="D387" s="8">
        <f t="shared" si="51"/>
        <v>1.3215777815545913</v>
      </c>
      <c r="E387" s="8">
        <f t="shared" si="52"/>
        <v>1.0616604361005504</v>
      </c>
      <c r="F387" s="8">
        <f t="shared" si="59"/>
        <v>0</v>
      </c>
      <c r="G387" s="8">
        <f t="shared" si="60"/>
        <v>3.5254911485809703</v>
      </c>
      <c r="H387" s="8">
        <f t="shared" si="53"/>
        <v>1.0791218697829723</v>
      </c>
      <c r="I387" s="8">
        <f t="shared" si="54"/>
        <v>0</v>
      </c>
      <c r="J387" s="2" t="str">
        <f t="shared" si="55"/>
        <v>Y</v>
      </c>
      <c r="K387" s="2" t="str">
        <f t="shared" si="56"/>
        <v/>
      </c>
      <c r="L387" s="2" t="str">
        <f t="shared" si="57"/>
        <v/>
      </c>
    </row>
    <row r="388" spans="1:12">
      <c r="A388" s="9">
        <v>376</v>
      </c>
      <c r="B388" s="8">
        <v>700.84</v>
      </c>
      <c r="C388" s="8">
        <f t="shared" si="58"/>
        <v>0.59800000000007003</v>
      </c>
      <c r="D388" s="8">
        <f t="shared" si="51"/>
        <v>1.3215777815545913</v>
      </c>
      <c r="E388" s="8">
        <f t="shared" si="52"/>
        <v>1.0616604361005504</v>
      </c>
      <c r="F388" s="8">
        <f t="shared" si="59"/>
        <v>0</v>
      </c>
      <c r="G388" s="8">
        <f t="shared" si="60"/>
        <v>3.5254911485809703</v>
      </c>
      <c r="H388" s="8">
        <f t="shared" si="53"/>
        <v>1.0791218697829723</v>
      </c>
      <c r="I388" s="8">
        <f t="shared" si="54"/>
        <v>0</v>
      </c>
      <c r="J388" s="2" t="str">
        <f t="shared" si="55"/>
        <v>Y</v>
      </c>
      <c r="K388" s="2" t="str">
        <f t="shared" si="56"/>
        <v/>
      </c>
      <c r="L388" s="2" t="str">
        <f t="shared" si="57"/>
        <v/>
      </c>
    </row>
    <row r="389" spans="1:12">
      <c r="A389" s="9">
        <v>377</v>
      </c>
      <c r="B389" s="8">
        <v>700.09400000000005</v>
      </c>
      <c r="C389" s="8">
        <f t="shared" si="58"/>
        <v>0.7459999999999809</v>
      </c>
      <c r="D389" s="8">
        <f t="shared" si="51"/>
        <v>1.3215777815545913</v>
      </c>
      <c r="E389" s="8">
        <f t="shared" si="52"/>
        <v>1.0616604361005504</v>
      </c>
      <c r="F389" s="8">
        <f t="shared" si="59"/>
        <v>0</v>
      </c>
      <c r="G389" s="8">
        <f t="shared" si="60"/>
        <v>3.5254911485809703</v>
      </c>
      <c r="H389" s="8">
        <f t="shared" si="53"/>
        <v>1.0791218697829723</v>
      </c>
      <c r="I389" s="8">
        <f t="shared" si="54"/>
        <v>0</v>
      </c>
      <c r="J389" s="2" t="str">
        <f t="shared" si="55"/>
        <v>Y</v>
      </c>
      <c r="K389" s="2" t="str">
        <f t="shared" si="56"/>
        <v/>
      </c>
      <c r="L389" s="2" t="str">
        <f t="shared" si="57"/>
        <v/>
      </c>
    </row>
    <row r="390" spans="1:12">
      <c r="A390" s="9">
        <v>378</v>
      </c>
      <c r="B390" s="8">
        <v>699.78099999999995</v>
      </c>
      <c r="C390" s="8">
        <f t="shared" si="58"/>
        <v>0.31300000000010186</v>
      </c>
      <c r="D390" s="8">
        <f t="shared" si="51"/>
        <v>1.3215777815545913</v>
      </c>
      <c r="E390" s="8">
        <f t="shared" si="52"/>
        <v>1.0616604361005504</v>
      </c>
      <c r="F390" s="8">
        <f t="shared" si="59"/>
        <v>0</v>
      </c>
      <c r="G390" s="8">
        <f t="shared" si="60"/>
        <v>3.5254911485809703</v>
      </c>
      <c r="H390" s="8">
        <f t="shared" si="53"/>
        <v>1.0791218697829723</v>
      </c>
      <c r="I390" s="8">
        <f t="shared" si="54"/>
        <v>0</v>
      </c>
      <c r="J390" s="2" t="str">
        <f t="shared" si="55"/>
        <v>Y</v>
      </c>
      <c r="K390" s="2" t="str">
        <f t="shared" si="56"/>
        <v/>
      </c>
      <c r="L390" s="2" t="str">
        <f t="shared" si="57"/>
        <v/>
      </c>
    </row>
    <row r="391" spans="1:12">
      <c r="A391" s="9">
        <v>379</v>
      </c>
      <c r="B391" s="8">
        <v>699.49599999999998</v>
      </c>
      <c r="C391" s="8">
        <f t="shared" si="58"/>
        <v>0.28499999999996817</v>
      </c>
      <c r="D391" s="8">
        <f t="shared" si="51"/>
        <v>1.3215777815545913</v>
      </c>
      <c r="E391" s="8">
        <f t="shared" si="52"/>
        <v>1.0616604361005504</v>
      </c>
      <c r="F391" s="8">
        <f t="shared" si="59"/>
        <v>0</v>
      </c>
      <c r="G391" s="8">
        <f t="shared" si="60"/>
        <v>3.5254911485809703</v>
      </c>
      <c r="H391" s="8">
        <f t="shared" si="53"/>
        <v>1.0791218697829723</v>
      </c>
      <c r="I391" s="8">
        <f t="shared" si="54"/>
        <v>0</v>
      </c>
      <c r="J391" s="2" t="str">
        <f t="shared" si="55"/>
        <v>Y</v>
      </c>
      <c r="K391" s="2" t="str">
        <f t="shared" si="56"/>
        <v/>
      </c>
      <c r="L391" s="2" t="str">
        <f t="shared" si="57"/>
        <v/>
      </c>
    </row>
    <row r="392" spans="1:12">
      <c r="A392" s="9">
        <v>380</v>
      </c>
      <c r="B392" s="8">
        <v>698.26099999999997</v>
      </c>
      <c r="C392" s="8">
        <f t="shared" si="58"/>
        <v>1.2350000000000136</v>
      </c>
      <c r="D392" s="8">
        <f t="shared" si="51"/>
        <v>1.3215777815545913</v>
      </c>
      <c r="E392" s="8">
        <f t="shared" si="52"/>
        <v>1.0616604361005504</v>
      </c>
      <c r="F392" s="8">
        <f t="shared" si="59"/>
        <v>0</v>
      </c>
      <c r="G392" s="8">
        <f t="shared" si="60"/>
        <v>3.5254911485809703</v>
      </c>
      <c r="H392" s="8">
        <f t="shared" si="53"/>
        <v>1.0791218697829723</v>
      </c>
      <c r="I392" s="8">
        <f t="shared" si="54"/>
        <v>0</v>
      </c>
      <c r="J392" s="2" t="str">
        <f t="shared" si="55"/>
        <v>Y</v>
      </c>
      <c r="K392" s="2" t="str">
        <f t="shared" si="56"/>
        <v/>
      </c>
      <c r="L392" s="2" t="str">
        <f t="shared" si="57"/>
        <v/>
      </c>
    </row>
    <row r="393" spans="1:12">
      <c r="A393" s="9">
        <v>381</v>
      </c>
      <c r="B393" s="8">
        <v>702.11800000000005</v>
      </c>
      <c r="C393" s="8">
        <f t="shared" si="58"/>
        <v>3.8570000000000846</v>
      </c>
      <c r="D393" s="8">
        <f t="shared" si="51"/>
        <v>1.3215777815545913</v>
      </c>
      <c r="E393" s="8">
        <f t="shared" si="52"/>
        <v>1.0616604361005504</v>
      </c>
      <c r="F393" s="8">
        <f t="shared" si="59"/>
        <v>0</v>
      </c>
      <c r="G393" s="8">
        <f t="shared" si="60"/>
        <v>3.5254911485809703</v>
      </c>
      <c r="H393" s="8">
        <f t="shared" si="53"/>
        <v>1.0791218697829723</v>
      </c>
      <c r="I393" s="8">
        <f t="shared" si="54"/>
        <v>0</v>
      </c>
      <c r="J393" s="2" t="str">
        <f t="shared" si="55"/>
        <v>Y</v>
      </c>
      <c r="K393" s="2" t="str">
        <f t="shared" si="56"/>
        <v>Y</v>
      </c>
      <c r="L393" s="2" t="str">
        <f t="shared" si="57"/>
        <v/>
      </c>
    </row>
    <row r="394" spans="1:12">
      <c r="A394" s="9">
        <v>382</v>
      </c>
      <c r="B394" s="8">
        <v>701.81799999999998</v>
      </c>
      <c r="C394" s="8">
        <f t="shared" si="58"/>
        <v>0.30000000000006821</v>
      </c>
      <c r="D394" s="8">
        <f t="shared" si="51"/>
        <v>1.3215777815545913</v>
      </c>
      <c r="E394" s="8">
        <f t="shared" si="52"/>
        <v>1.0616604361005504</v>
      </c>
      <c r="F394" s="8">
        <f t="shared" si="59"/>
        <v>0</v>
      </c>
      <c r="G394" s="8">
        <f t="shared" si="60"/>
        <v>3.5254911485809703</v>
      </c>
      <c r="H394" s="8">
        <f t="shared" si="53"/>
        <v>1.0791218697829723</v>
      </c>
      <c r="I394" s="8">
        <f t="shared" si="54"/>
        <v>0</v>
      </c>
      <c r="J394" s="2" t="str">
        <f t="shared" si="55"/>
        <v>Y</v>
      </c>
      <c r="K394" s="2" t="str">
        <f t="shared" si="56"/>
        <v/>
      </c>
      <c r="L394" s="2" t="str">
        <f t="shared" si="57"/>
        <v/>
      </c>
    </row>
    <row r="395" spans="1:12">
      <c r="A395" s="9">
        <v>383</v>
      </c>
      <c r="B395" s="8">
        <v>698.91099999999994</v>
      </c>
      <c r="C395" s="8">
        <f t="shared" si="58"/>
        <v>2.9070000000000391</v>
      </c>
      <c r="D395" s="8">
        <f t="shared" si="51"/>
        <v>1.3215777815545913</v>
      </c>
      <c r="E395" s="8">
        <f t="shared" si="52"/>
        <v>1.0616604361005504</v>
      </c>
      <c r="F395" s="8">
        <f t="shared" si="59"/>
        <v>0</v>
      </c>
      <c r="G395" s="8">
        <f t="shared" si="60"/>
        <v>3.5254911485809703</v>
      </c>
      <c r="H395" s="8">
        <f t="shared" si="53"/>
        <v>1.0791218697829723</v>
      </c>
      <c r="I395" s="8">
        <f t="shared" si="54"/>
        <v>0</v>
      </c>
      <c r="J395" s="2" t="str">
        <f t="shared" si="55"/>
        <v>Y</v>
      </c>
      <c r="K395" s="2" t="str">
        <f t="shared" si="56"/>
        <v/>
      </c>
      <c r="L395" s="2" t="str">
        <f t="shared" si="57"/>
        <v/>
      </c>
    </row>
    <row r="396" spans="1:12">
      <c r="A396" s="9">
        <v>384</v>
      </c>
      <c r="B396" s="8">
        <v>701.53099999999995</v>
      </c>
      <c r="C396" s="8">
        <f t="shared" si="58"/>
        <v>2.6200000000000045</v>
      </c>
      <c r="D396" s="8">
        <f t="shared" si="51"/>
        <v>1.3215777815545913</v>
      </c>
      <c r="E396" s="8">
        <f t="shared" si="52"/>
        <v>1.0616604361005504</v>
      </c>
      <c r="F396" s="8">
        <f t="shared" si="59"/>
        <v>0</v>
      </c>
      <c r="G396" s="8">
        <f t="shared" si="60"/>
        <v>3.5254911485809703</v>
      </c>
      <c r="H396" s="8">
        <f t="shared" si="53"/>
        <v>1.0791218697829723</v>
      </c>
      <c r="I396" s="8">
        <f t="shared" si="54"/>
        <v>0</v>
      </c>
      <c r="J396" s="2" t="str">
        <f t="shared" si="55"/>
        <v>Y</v>
      </c>
      <c r="K396" s="2" t="str">
        <f t="shared" si="56"/>
        <v/>
      </c>
      <c r="L396" s="2" t="str">
        <f t="shared" si="57"/>
        <v/>
      </c>
    </row>
    <row r="397" spans="1:12">
      <c r="A397" s="9">
        <v>385</v>
      </c>
      <c r="B397" s="8">
        <v>701.596</v>
      </c>
      <c r="C397" s="8">
        <f t="shared" si="58"/>
        <v>6.500000000005457E-2</v>
      </c>
      <c r="D397" s="8">
        <f t="shared" ref="D397:D460" si="61">$G$13</f>
        <v>1.3215777815545913</v>
      </c>
      <c r="E397" s="8">
        <f t="shared" ref="E397:E460" si="62">$G$14</f>
        <v>1.0616604361005504</v>
      </c>
      <c r="F397" s="8">
        <f t="shared" si="59"/>
        <v>0</v>
      </c>
      <c r="G397" s="8">
        <f t="shared" si="60"/>
        <v>3.5254911485809703</v>
      </c>
      <c r="H397" s="8">
        <f t="shared" ref="H397:H460" si="63">$G$17</f>
        <v>1.0791218697829723</v>
      </c>
      <c r="I397" s="8">
        <f t="shared" ref="I397:I460" si="64">$G$18</f>
        <v>0</v>
      </c>
      <c r="J397" s="2" t="str">
        <f t="shared" ref="J397:J460" si="65">IF(OR(B397&gt;D397,B397&lt;F397),"Y","")</f>
        <v>Y</v>
      </c>
      <c r="K397" s="2" t="str">
        <f t="shared" ref="K397:K460" si="66">IF(AND(C397&lt;&gt;"",C397&gt;G397),"Y","")</f>
        <v/>
      </c>
      <c r="L397" s="2" t="str">
        <f t="shared" ref="L397:L460" si="67">IF(OR(B397&lt;$B$5,B397&gt;$D$5),"Y","")</f>
        <v/>
      </c>
    </row>
    <row r="398" spans="1:12">
      <c r="A398" s="9">
        <v>386</v>
      </c>
      <c r="B398" s="8">
        <v>699.92600000000004</v>
      </c>
      <c r="C398" s="8">
        <f t="shared" ref="C398:C461" si="68">ABS(B398-B397)</f>
        <v>1.6699999999999591</v>
      </c>
      <c r="D398" s="8">
        <f t="shared" si="61"/>
        <v>1.3215777815545913</v>
      </c>
      <c r="E398" s="8">
        <f t="shared" si="62"/>
        <v>1.0616604361005504</v>
      </c>
      <c r="F398" s="8">
        <f t="shared" si="59"/>
        <v>0</v>
      </c>
      <c r="G398" s="8">
        <f t="shared" si="60"/>
        <v>3.5254911485809703</v>
      </c>
      <c r="H398" s="8">
        <f t="shared" si="63"/>
        <v>1.0791218697829723</v>
      </c>
      <c r="I398" s="8">
        <f t="shared" si="64"/>
        <v>0</v>
      </c>
      <c r="J398" s="2" t="str">
        <f t="shared" si="65"/>
        <v>Y</v>
      </c>
      <c r="K398" s="2" t="str">
        <f t="shared" si="66"/>
        <v/>
      </c>
      <c r="L398" s="2" t="str">
        <f t="shared" si="67"/>
        <v/>
      </c>
    </row>
    <row r="399" spans="1:12">
      <c r="A399" s="9">
        <v>387</v>
      </c>
      <c r="B399" s="8">
        <v>701.58299999999997</v>
      </c>
      <c r="C399" s="8">
        <f t="shared" si="68"/>
        <v>1.6569999999999254</v>
      </c>
      <c r="D399" s="8">
        <f t="shared" si="61"/>
        <v>1.3215777815545913</v>
      </c>
      <c r="E399" s="8">
        <f t="shared" si="62"/>
        <v>1.0616604361005504</v>
      </c>
      <c r="F399" s="8">
        <f t="shared" si="59"/>
        <v>0</v>
      </c>
      <c r="G399" s="8">
        <f t="shared" si="60"/>
        <v>3.5254911485809703</v>
      </c>
      <c r="H399" s="8">
        <f t="shared" si="63"/>
        <v>1.0791218697829723</v>
      </c>
      <c r="I399" s="8">
        <f t="shared" si="64"/>
        <v>0</v>
      </c>
      <c r="J399" s="2" t="str">
        <f t="shared" si="65"/>
        <v>Y</v>
      </c>
      <c r="K399" s="2" t="str">
        <f t="shared" si="66"/>
        <v/>
      </c>
      <c r="L399" s="2" t="str">
        <f t="shared" si="67"/>
        <v/>
      </c>
    </row>
    <row r="400" spans="1:12">
      <c r="A400" s="9">
        <v>388</v>
      </c>
      <c r="B400" s="8">
        <v>702.17</v>
      </c>
      <c r="C400" s="8">
        <f t="shared" si="68"/>
        <v>0.58699999999998909</v>
      </c>
      <c r="D400" s="8">
        <f t="shared" si="61"/>
        <v>1.3215777815545913</v>
      </c>
      <c r="E400" s="8">
        <f t="shared" si="62"/>
        <v>1.0616604361005504</v>
      </c>
      <c r="F400" s="8">
        <f t="shared" ref="F400:F463" si="69">$G$15</f>
        <v>0</v>
      </c>
      <c r="G400" s="8">
        <f t="shared" si="60"/>
        <v>3.5254911485809703</v>
      </c>
      <c r="H400" s="8">
        <f t="shared" si="63"/>
        <v>1.0791218697829723</v>
      </c>
      <c r="I400" s="8">
        <f t="shared" si="64"/>
        <v>0</v>
      </c>
      <c r="J400" s="2" t="str">
        <f t="shared" si="65"/>
        <v>Y</v>
      </c>
      <c r="K400" s="2" t="str">
        <f t="shared" si="66"/>
        <v/>
      </c>
      <c r="L400" s="2" t="str">
        <f t="shared" si="67"/>
        <v/>
      </c>
    </row>
    <row r="401" spans="1:12">
      <c r="A401" s="9">
        <v>389</v>
      </c>
      <c r="B401" s="8">
        <v>702.13</v>
      </c>
      <c r="C401" s="8">
        <f t="shared" si="68"/>
        <v>3.999999999996362E-2</v>
      </c>
      <c r="D401" s="8">
        <f t="shared" si="61"/>
        <v>1.3215777815545913</v>
      </c>
      <c r="E401" s="8">
        <f t="shared" si="62"/>
        <v>1.0616604361005504</v>
      </c>
      <c r="F401" s="8">
        <f t="shared" si="69"/>
        <v>0</v>
      </c>
      <c r="G401" s="8">
        <f t="shared" si="60"/>
        <v>3.5254911485809703</v>
      </c>
      <c r="H401" s="8">
        <f t="shared" si="63"/>
        <v>1.0791218697829723</v>
      </c>
      <c r="I401" s="8">
        <f t="shared" si="64"/>
        <v>0</v>
      </c>
      <c r="J401" s="2" t="str">
        <f t="shared" si="65"/>
        <v>Y</v>
      </c>
      <c r="K401" s="2" t="str">
        <f t="shared" si="66"/>
        <v/>
      </c>
      <c r="L401" s="2" t="str">
        <f t="shared" si="67"/>
        <v/>
      </c>
    </row>
    <row r="402" spans="1:12">
      <c r="A402" s="9">
        <v>390</v>
      </c>
      <c r="B402" s="8">
        <v>698.33299999999997</v>
      </c>
      <c r="C402" s="8">
        <f t="shared" si="68"/>
        <v>3.7970000000000255</v>
      </c>
      <c r="D402" s="8">
        <f t="shared" si="61"/>
        <v>1.3215777815545913</v>
      </c>
      <c r="E402" s="8">
        <f t="shared" si="62"/>
        <v>1.0616604361005504</v>
      </c>
      <c r="F402" s="8">
        <f t="shared" si="69"/>
        <v>0</v>
      </c>
      <c r="G402" s="8">
        <f t="shared" si="60"/>
        <v>3.5254911485809703</v>
      </c>
      <c r="H402" s="8">
        <f t="shared" si="63"/>
        <v>1.0791218697829723</v>
      </c>
      <c r="I402" s="8">
        <f t="shared" si="64"/>
        <v>0</v>
      </c>
      <c r="J402" s="2" t="str">
        <f t="shared" si="65"/>
        <v>Y</v>
      </c>
      <c r="K402" s="2" t="str">
        <f t="shared" si="66"/>
        <v>Y</v>
      </c>
      <c r="L402" s="2" t="str">
        <f t="shared" si="67"/>
        <v/>
      </c>
    </row>
    <row r="403" spans="1:12">
      <c r="A403" s="9">
        <v>391</v>
      </c>
      <c r="B403" s="8">
        <v>700.298</v>
      </c>
      <c r="C403" s="8">
        <f t="shared" si="68"/>
        <v>1.9650000000000318</v>
      </c>
      <c r="D403" s="8">
        <f t="shared" si="61"/>
        <v>1.3215777815545913</v>
      </c>
      <c r="E403" s="8">
        <f t="shared" si="62"/>
        <v>1.0616604361005504</v>
      </c>
      <c r="F403" s="8">
        <f t="shared" si="69"/>
        <v>0</v>
      </c>
      <c r="G403" s="8">
        <f t="shared" ref="G403:G466" si="70">$G$16</f>
        <v>3.5254911485809703</v>
      </c>
      <c r="H403" s="8">
        <f t="shared" si="63"/>
        <v>1.0791218697829723</v>
      </c>
      <c r="I403" s="8">
        <f t="shared" si="64"/>
        <v>0</v>
      </c>
      <c r="J403" s="2" t="str">
        <f t="shared" si="65"/>
        <v>Y</v>
      </c>
      <c r="K403" s="2" t="str">
        <f t="shared" si="66"/>
        <v/>
      </c>
      <c r="L403" s="2" t="str">
        <f t="shared" si="67"/>
        <v/>
      </c>
    </row>
    <row r="404" spans="1:12">
      <c r="A404" s="9">
        <v>392</v>
      </c>
      <c r="B404" s="8">
        <v>700.12800000000004</v>
      </c>
      <c r="C404" s="8">
        <f t="shared" si="68"/>
        <v>0.16999999999995907</v>
      </c>
      <c r="D404" s="8">
        <f t="shared" si="61"/>
        <v>1.3215777815545913</v>
      </c>
      <c r="E404" s="8">
        <f t="shared" si="62"/>
        <v>1.0616604361005504</v>
      </c>
      <c r="F404" s="8">
        <f t="shared" si="69"/>
        <v>0</v>
      </c>
      <c r="G404" s="8">
        <f t="shared" si="70"/>
        <v>3.5254911485809703</v>
      </c>
      <c r="H404" s="8">
        <f t="shared" si="63"/>
        <v>1.0791218697829723</v>
      </c>
      <c r="I404" s="8">
        <f t="shared" si="64"/>
        <v>0</v>
      </c>
      <c r="J404" s="2" t="str">
        <f t="shared" si="65"/>
        <v>Y</v>
      </c>
      <c r="K404" s="2" t="str">
        <f t="shared" si="66"/>
        <v/>
      </c>
      <c r="L404" s="2" t="str">
        <f t="shared" si="67"/>
        <v/>
      </c>
    </row>
    <row r="405" spans="1:12">
      <c r="A405" s="9">
        <v>393</v>
      </c>
      <c r="B405" s="8">
        <v>702.654</v>
      </c>
      <c r="C405" s="8">
        <f t="shared" si="68"/>
        <v>2.5259999999999536</v>
      </c>
      <c r="D405" s="8">
        <f t="shared" si="61"/>
        <v>1.3215777815545913</v>
      </c>
      <c r="E405" s="8">
        <f t="shared" si="62"/>
        <v>1.0616604361005504</v>
      </c>
      <c r="F405" s="8">
        <f t="shared" si="69"/>
        <v>0</v>
      </c>
      <c r="G405" s="8">
        <f t="shared" si="70"/>
        <v>3.5254911485809703</v>
      </c>
      <c r="H405" s="8">
        <f t="shared" si="63"/>
        <v>1.0791218697829723</v>
      </c>
      <c r="I405" s="8">
        <f t="shared" si="64"/>
        <v>0</v>
      </c>
      <c r="J405" s="2" t="str">
        <f t="shared" si="65"/>
        <v>Y</v>
      </c>
      <c r="K405" s="2" t="str">
        <f t="shared" si="66"/>
        <v/>
      </c>
      <c r="L405" s="2" t="str">
        <f t="shared" si="67"/>
        <v/>
      </c>
    </row>
    <row r="406" spans="1:12">
      <c r="A406" s="9">
        <v>394</v>
      </c>
      <c r="B406" s="8">
        <v>698.55200000000002</v>
      </c>
      <c r="C406" s="8">
        <f t="shared" si="68"/>
        <v>4.1019999999999754</v>
      </c>
      <c r="D406" s="8">
        <f t="shared" si="61"/>
        <v>1.3215777815545913</v>
      </c>
      <c r="E406" s="8">
        <f t="shared" si="62"/>
        <v>1.0616604361005504</v>
      </c>
      <c r="F406" s="8">
        <f t="shared" si="69"/>
        <v>0</v>
      </c>
      <c r="G406" s="8">
        <f t="shared" si="70"/>
        <v>3.5254911485809703</v>
      </c>
      <c r="H406" s="8">
        <f t="shared" si="63"/>
        <v>1.0791218697829723</v>
      </c>
      <c r="I406" s="8">
        <f t="shared" si="64"/>
        <v>0</v>
      </c>
      <c r="J406" s="2" t="str">
        <f t="shared" si="65"/>
        <v>Y</v>
      </c>
      <c r="K406" s="2" t="str">
        <f t="shared" si="66"/>
        <v>Y</v>
      </c>
      <c r="L406" s="2" t="str">
        <f t="shared" si="67"/>
        <v/>
      </c>
    </row>
    <row r="407" spans="1:12">
      <c r="A407" s="9">
        <v>395</v>
      </c>
      <c r="B407" s="8">
        <v>699.28899999999999</v>
      </c>
      <c r="C407" s="8">
        <f t="shared" si="68"/>
        <v>0.73699999999996635</v>
      </c>
      <c r="D407" s="8">
        <f t="shared" si="61"/>
        <v>1.3215777815545913</v>
      </c>
      <c r="E407" s="8">
        <f t="shared" si="62"/>
        <v>1.0616604361005504</v>
      </c>
      <c r="F407" s="8">
        <f t="shared" si="69"/>
        <v>0</v>
      </c>
      <c r="G407" s="8">
        <f t="shared" si="70"/>
        <v>3.5254911485809703</v>
      </c>
      <c r="H407" s="8">
        <f t="shared" si="63"/>
        <v>1.0791218697829723</v>
      </c>
      <c r="I407" s="8">
        <f t="shared" si="64"/>
        <v>0</v>
      </c>
      <c r="J407" s="2" t="str">
        <f t="shared" si="65"/>
        <v>Y</v>
      </c>
      <c r="K407" s="2" t="str">
        <f t="shared" si="66"/>
        <v/>
      </c>
      <c r="L407" s="2" t="str">
        <f t="shared" si="67"/>
        <v/>
      </c>
    </row>
    <row r="408" spans="1:12">
      <c r="A408" s="9">
        <v>396</v>
      </c>
      <c r="B408" s="8">
        <v>701.34699999999998</v>
      </c>
      <c r="C408" s="8">
        <f t="shared" si="68"/>
        <v>2.0579999999999927</v>
      </c>
      <c r="D408" s="8">
        <f t="shared" si="61"/>
        <v>1.3215777815545913</v>
      </c>
      <c r="E408" s="8">
        <f t="shared" si="62"/>
        <v>1.0616604361005504</v>
      </c>
      <c r="F408" s="8">
        <f t="shared" si="69"/>
        <v>0</v>
      </c>
      <c r="G408" s="8">
        <f t="shared" si="70"/>
        <v>3.5254911485809703</v>
      </c>
      <c r="H408" s="8">
        <f t="shared" si="63"/>
        <v>1.0791218697829723</v>
      </c>
      <c r="I408" s="8">
        <f t="shared" si="64"/>
        <v>0</v>
      </c>
      <c r="J408" s="2" t="str">
        <f t="shared" si="65"/>
        <v>Y</v>
      </c>
      <c r="K408" s="2" t="str">
        <f t="shared" si="66"/>
        <v/>
      </c>
      <c r="L408" s="2" t="str">
        <f t="shared" si="67"/>
        <v/>
      </c>
    </row>
    <row r="409" spans="1:12">
      <c r="A409" s="9">
        <v>397</v>
      </c>
      <c r="B409" s="8">
        <v>701.95799999999997</v>
      </c>
      <c r="C409" s="8">
        <f t="shared" si="68"/>
        <v>0.61099999999999</v>
      </c>
      <c r="D409" s="8">
        <f t="shared" si="61"/>
        <v>1.3215777815545913</v>
      </c>
      <c r="E409" s="8">
        <f t="shared" si="62"/>
        <v>1.0616604361005504</v>
      </c>
      <c r="F409" s="8">
        <f t="shared" si="69"/>
        <v>0</v>
      </c>
      <c r="G409" s="8">
        <f t="shared" si="70"/>
        <v>3.5254911485809703</v>
      </c>
      <c r="H409" s="8">
        <f t="shared" si="63"/>
        <v>1.0791218697829723</v>
      </c>
      <c r="I409" s="8">
        <f t="shared" si="64"/>
        <v>0</v>
      </c>
      <c r="J409" s="2" t="str">
        <f t="shared" si="65"/>
        <v>Y</v>
      </c>
      <c r="K409" s="2" t="str">
        <f t="shared" si="66"/>
        <v/>
      </c>
      <c r="L409" s="2" t="str">
        <f t="shared" si="67"/>
        <v/>
      </c>
    </row>
    <row r="410" spans="1:12">
      <c r="A410" s="9">
        <v>398</v>
      </c>
      <c r="B410" s="8">
        <v>700.81</v>
      </c>
      <c r="C410" s="8">
        <f t="shared" si="68"/>
        <v>1.1480000000000246</v>
      </c>
      <c r="D410" s="8">
        <f t="shared" si="61"/>
        <v>1.3215777815545913</v>
      </c>
      <c r="E410" s="8">
        <f t="shared" si="62"/>
        <v>1.0616604361005504</v>
      </c>
      <c r="F410" s="8">
        <f t="shared" si="69"/>
        <v>0</v>
      </c>
      <c r="G410" s="8">
        <f t="shared" si="70"/>
        <v>3.5254911485809703</v>
      </c>
      <c r="H410" s="8">
        <f t="shared" si="63"/>
        <v>1.0791218697829723</v>
      </c>
      <c r="I410" s="8">
        <f t="shared" si="64"/>
        <v>0</v>
      </c>
      <c r="J410" s="2" t="str">
        <f t="shared" si="65"/>
        <v>Y</v>
      </c>
      <c r="K410" s="2" t="str">
        <f t="shared" si="66"/>
        <v/>
      </c>
      <c r="L410" s="2" t="str">
        <f t="shared" si="67"/>
        <v/>
      </c>
    </row>
    <row r="411" spans="1:12">
      <c r="A411" s="9">
        <v>399</v>
      </c>
      <c r="B411" s="8">
        <v>698.63900000000001</v>
      </c>
      <c r="C411" s="8">
        <f t="shared" si="68"/>
        <v>2.1709999999999354</v>
      </c>
      <c r="D411" s="8">
        <f t="shared" si="61"/>
        <v>1.3215777815545913</v>
      </c>
      <c r="E411" s="8">
        <f t="shared" si="62"/>
        <v>1.0616604361005504</v>
      </c>
      <c r="F411" s="8">
        <f t="shared" si="69"/>
        <v>0</v>
      </c>
      <c r="G411" s="8">
        <f t="shared" si="70"/>
        <v>3.5254911485809703</v>
      </c>
      <c r="H411" s="8">
        <f t="shared" si="63"/>
        <v>1.0791218697829723</v>
      </c>
      <c r="I411" s="8">
        <f t="shared" si="64"/>
        <v>0</v>
      </c>
      <c r="J411" s="2" t="str">
        <f t="shared" si="65"/>
        <v>Y</v>
      </c>
      <c r="K411" s="2" t="str">
        <f t="shared" si="66"/>
        <v/>
      </c>
      <c r="L411" s="2" t="str">
        <f t="shared" si="67"/>
        <v/>
      </c>
    </row>
    <row r="412" spans="1:12">
      <c r="A412" s="9">
        <v>400</v>
      </c>
      <c r="B412" s="8">
        <v>700.27499999999998</v>
      </c>
      <c r="C412" s="8">
        <f t="shared" si="68"/>
        <v>1.6359999999999673</v>
      </c>
      <c r="D412" s="8">
        <f t="shared" si="61"/>
        <v>1.3215777815545913</v>
      </c>
      <c r="E412" s="8">
        <f t="shared" si="62"/>
        <v>1.0616604361005504</v>
      </c>
      <c r="F412" s="8">
        <f t="shared" si="69"/>
        <v>0</v>
      </c>
      <c r="G412" s="8">
        <f t="shared" si="70"/>
        <v>3.5254911485809703</v>
      </c>
      <c r="H412" s="8">
        <f t="shared" si="63"/>
        <v>1.0791218697829723</v>
      </c>
      <c r="I412" s="8">
        <f t="shared" si="64"/>
        <v>0</v>
      </c>
      <c r="J412" s="2" t="str">
        <f t="shared" si="65"/>
        <v>Y</v>
      </c>
      <c r="K412" s="2" t="str">
        <f t="shared" si="66"/>
        <v/>
      </c>
      <c r="L412" s="2" t="str">
        <f t="shared" si="67"/>
        <v/>
      </c>
    </row>
    <row r="413" spans="1:12">
      <c r="A413" s="9">
        <v>401</v>
      </c>
      <c r="B413" s="8">
        <v>698.99900000000002</v>
      </c>
      <c r="C413" s="8">
        <f t="shared" si="68"/>
        <v>1.2759999999999536</v>
      </c>
      <c r="D413" s="8">
        <f t="shared" si="61"/>
        <v>1.3215777815545913</v>
      </c>
      <c r="E413" s="8">
        <f t="shared" si="62"/>
        <v>1.0616604361005504</v>
      </c>
      <c r="F413" s="8">
        <f t="shared" si="69"/>
        <v>0</v>
      </c>
      <c r="G413" s="8">
        <f t="shared" si="70"/>
        <v>3.5254911485809703</v>
      </c>
      <c r="H413" s="8">
        <f t="shared" si="63"/>
        <v>1.0791218697829723</v>
      </c>
      <c r="I413" s="8">
        <f t="shared" si="64"/>
        <v>0</v>
      </c>
      <c r="J413" s="2" t="str">
        <f t="shared" si="65"/>
        <v>Y</v>
      </c>
      <c r="K413" s="2" t="str">
        <f t="shared" si="66"/>
        <v/>
      </c>
      <c r="L413" s="2" t="str">
        <f t="shared" si="67"/>
        <v/>
      </c>
    </row>
    <row r="414" spans="1:12">
      <c r="A414" s="9">
        <v>402</v>
      </c>
      <c r="B414" s="8">
        <v>698.99800000000005</v>
      </c>
      <c r="C414" s="8">
        <f t="shared" si="68"/>
        <v>9.9999999997635314E-4</v>
      </c>
      <c r="D414" s="8">
        <f t="shared" si="61"/>
        <v>1.3215777815545913</v>
      </c>
      <c r="E414" s="8">
        <f t="shared" si="62"/>
        <v>1.0616604361005504</v>
      </c>
      <c r="F414" s="8">
        <f t="shared" si="69"/>
        <v>0</v>
      </c>
      <c r="G414" s="8">
        <f t="shared" si="70"/>
        <v>3.5254911485809703</v>
      </c>
      <c r="H414" s="8">
        <f t="shared" si="63"/>
        <v>1.0791218697829723</v>
      </c>
      <c r="I414" s="8">
        <f t="shared" si="64"/>
        <v>0</v>
      </c>
      <c r="J414" s="2" t="str">
        <f t="shared" si="65"/>
        <v>Y</v>
      </c>
      <c r="K414" s="2" t="str">
        <f t="shared" si="66"/>
        <v/>
      </c>
      <c r="L414" s="2" t="str">
        <f t="shared" si="67"/>
        <v/>
      </c>
    </row>
    <row r="415" spans="1:12">
      <c r="A415" s="9">
        <v>403</v>
      </c>
      <c r="B415" s="8">
        <v>700.32</v>
      </c>
      <c r="C415" s="8">
        <f t="shared" si="68"/>
        <v>1.3220000000000027</v>
      </c>
      <c r="D415" s="8">
        <f t="shared" si="61"/>
        <v>1.3215777815545913</v>
      </c>
      <c r="E415" s="8">
        <f t="shared" si="62"/>
        <v>1.0616604361005504</v>
      </c>
      <c r="F415" s="8">
        <f t="shared" si="69"/>
        <v>0</v>
      </c>
      <c r="G415" s="8">
        <f t="shared" si="70"/>
        <v>3.5254911485809703</v>
      </c>
      <c r="H415" s="8">
        <f t="shared" si="63"/>
        <v>1.0791218697829723</v>
      </c>
      <c r="I415" s="8">
        <f t="shared" si="64"/>
        <v>0</v>
      </c>
      <c r="J415" s="2" t="str">
        <f t="shared" si="65"/>
        <v>Y</v>
      </c>
      <c r="K415" s="2" t="str">
        <f t="shared" si="66"/>
        <v/>
      </c>
      <c r="L415" s="2" t="str">
        <f t="shared" si="67"/>
        <v/>
      </c>
    </row>
    <row r="416" spans="1:12">
      <c r="A416" s="9">
        <v>404</v>
      </c>
      <c r="B416" s="8">
        <v>702.58100000000002</v>
      </c>
      <c r="C416" s="8">
        <f t="shared" si="68"/>
        <v>2.2609999999999673</v>
      </c>
      <c r="D416" s="8">
        <f t="shared" si="61"/>
        <v>1.3215777815545913</v>
      </c>
      <c r="E416" s="8">
        <f t="shared" si="62"/>
        <v>1.0616604361005504</v>
      </c>
      <c r="F416" s="8">
        <f t="shared" si="69"/>
        <v>0</v>
      </c>
      <c r="G416" s="8">
        <f t="shared" si="70"/>
        <v>3.5254911485809703</v>
      </c>
      <c r="H416" s="8">
        <f t="shared" si="63"/>
        <v>1.0791218697829723</v>
      </c>
      <c r="I416" s="8">
        <f t="shared" si="64"/>
        <v>0</v>
      </c>
      <c r="J416" s="2" t="str">
        <f t="shared" si="65"/>
        <v>Y</v>
      </c>
      <c r="K416" s="2" t="str">
        <f t="shared" si="66"/>
        <v/>
      </c>
      <c r="L416" s="2" t="str">
        <f t="shared" si="67"/>
        <v/>
      </c>
    </row>
    <row r="417" spans="1:12">
      <c r="A417" s="9">
        <v>405</v>
      </c>
      <c r="B417" s="8">
        <v>701.52099999999996</v>
      </c>
      <c r="C417" s="8">
        <f t="shared" si="68"/>
        <v>1.0600000000000591</v>
      </c>
      <c r="D417" s="8">
        <f t="shared" si="61"/>
        <v>1.3215777815545913</v>
      </c>
      <c r="E417" s="8">
        <f t="shared" si="62"/>
        <v>1.0616604361005504</v>
      </c>
      <c r="F417" s="8">
        <f t="shared" si="69"/>
        <v>0</v>
      </c>
      <c r="G417" s="8">
        <f t="shared" si="70"/>
        <v>3.5254911485809703</v>
      </c>
      <c r="H417" s="8">
        <f t="shared" si="63"/>
        <v>1.0791218697829723</v>
      </c>
      <c r="I417" s="8">
        <f t="shared" si="64"/>
        <v>0</v>
      </c>
      <c r="J417" s="2" t="str">
        <f t="shared" si="65"/>
        <v>Y</v>
      </c>
      <c r="K417" s="2" t="str">
        <f t="shared" si="66"/>
        <v/>
      </c>
      <c r="L417" s="2" t="str">
        <f t="shared" si="67"/>
        <v/>
      </c>
    </row>
    <row r="418" spans="1:12">
      <c r="A418" s="9">
        <v>406</v>
      </c>
      <c r="B418" s="8">
        <v>703.89400000000001</v>
      </c>
      <c r="C418" s="8">
        <f t="shared" si="68"/>
        <v>2.3730000000000473</v>
      </c>
      <c r="D418" s="8">
        <f t="shared" si="61"/>
        <v>1.3215777815545913</v>
      </c>
      <c r="E418" s="8">
        <f t="shared" si="62"/>
        <v>1.0616604361005504</v>
      </c>
      <c r="F418" s="8">
        <f t="shared" si="69"/>
        <v>0</v>
      </c>
      <c r="G418" s="8">
        <f t="shared" si="70"/>
        <v>3.5254911485809703</v>
      </c>
      <c r="H418" s="8">
        <f t="shared" si="63"/>
        <v>1.0791218697829723</v>
      </c>
      <c r="I418" s="8">
        <f t="shared" si="64"/>
        <v>0</v>
      </c>
      <c r="J418" s="2" t="str">
        <f t="shared" si="65"/>
        <v>Y</v>
      </c>
      <c r="K418" s="2" t="str">
        <f t="shared" si="66"/>
        <v/>
      </c>
      <c r="L418" s="2" t="str">
        <f t="shared" si="67"/>
        <v/>
      </c>
    </row>
    <row r="419" spans="1:12">
      <c r="A419" s="9">
        <v>407</v>
      </c>
      <c r="B419" s="8">
        <v>701.82299999999998</v>
      </c>
      <c r="C419" s="8">
        <f t="shared" si="68"/>
        <v>2.0710000000000264</v>
      </c>
      <c r="D419" s="8">
        <f t="shared" si="61"/>
        <v>1.3215777815545913</v>
      </c>
      <c r="E419" s="8">
        <f t="shared" si="62"/>
        <v>1.0616604361005504</v>
      </c>
      <c r="F419" s="8">
        <f t="shared" si="69"/>
        <v>0</v>
      </c>
      <c r="G419" s="8">
        <f t="shared" si="70"/>
        <v>3.5254911485809703</v>
      </c>
      <c r="H419" s="8">
        <f t="shared" si="63"/>
        <v>1.0791218697829723</v>
      </c>
      <c r="I419" s="8">
        <f t="shared" si="64"/>
        <v>0</v>
      </c>
      <c r="J419" s="2" t="str">
        <f t="shared" si="65"/>
        <v>Y</v>
      </c>
      <c r="K419" s="2" t="str">
        <f t="shared" si="66"/>
        <v/>
      </c>
      <c r="L419" s="2" t="str">
        <f t="shared" si="67"/>
        <v/>
      </c>
    </row>
    <row r="420" spans="1:12">
      <c r="A420" s="9">
        <v>408</v>
      </c>
      <c r="B420" s="8">
        <v>701.73299999999995</v>
      </c>
      <c r="C420" s="8">
        <f t="shared" si="68"/>
        <v>9.0000000000031832E-2</v>
      </c>
      <c r="D420" s="8">
        <f t="shared" si="61"/>
        <v>1.3215777815545913</v>
      </c>
      <c r="E420" s="8">
        <f t="shared" si="62"/>
        <v>1.0616604361005504</v>
      </c>
      <c r="F420" s="8">
        <f t="shared" si="69"/>
        <v>0</v>
      </c>
      <c r="G420" s="8">
        <f t="shared" si="70"/>
        <v>3.5254911485809703</v>
      </c>
      <c r="H420" s="8">
        <f t="shared" si="63"/>
        <v>1.0791218697829723</v>
      </c>
      <c r="I420" s="8">
        <f t="shared" si="64"/>
        <v>0</v>
      </c>
      <c r="J420" s="2" t="str">
        <f t="shared" si="65"/>
        <v>Y</v>
      </c>
      <c r="K420" s="2" t="str">
        <f t="shared" si="66"/>
        <v/>
      </c>
      <c r="L420" s="2" t="str">
        <f t="shared" si="67"/>
        <v/>
      </c>
    </row>
    <row r="421" spans="1:12">
      <c r="A421" s="9">
        <v>409</v>
      </c>
      <c r="B421" s="8">
        <v>701.45699999999999</v>
      </c>
      <c r="C421" s="8">
        <f t="shared" si="68"/>
        <v>0.27599999999995362</v>
      </c>
      <c r="D421" s="8">
        <f t="shared" si="61"/>
        <v>1.3215777815545913</v>
      </c>
      <c r="E421" s="8">
        <f t="shared" si="62"/>
        <v>1.0616604361005504</v>
      </c>
      <c r="F421" s="8">
        <f t="shared" si="69"/>
        <v>0</v>
      </c>
      <c r="G421" s="8">
        <f t="shared" si="70"/>
        <v>3.5254911485809703</v>
      </c>
      <c r="H421" s="8">
        <f t="shared" si="63"/>
        <v>1.0791218697829723</v>
      </c>
      <c r="I421" s="8">
        <f t="shared" si="64"/>
        <v>0</v>
      </c>
      <c r="J421" s="2" t="str">
        <f t="shared" si="65"/>
        <v>Y</v>
      </c>
      <c r="K421" s="2" t="str">
        <f t="shared" si="66"/>
        <v/>
      </c>
      <c r="L421" s="2" t="str">
        <f t="shared" si="67"/>
        <v/>
      </c>
    </row>
    <row r="422" spans="1:12">
      <c r="A422" s="9">
        <v>410</v>
      </c>
      <c r="B422" s="8">
        <v>700.44</v>
      </c>
      <c r="C422" s="8">
        <f t="shared" si="68"/>
        <v>1.0169999999999391</v>
      </c>
      <c r="D422" s="8">
        <f t="shared" si="61"/>
        <v>1.3215777815545913</v>
      </c>
      <c r="E422" s="8">
        <f t="shared" si="62"/>
        <v>1.0616604361005504</v>
      </c>
      <c r="F422" s="8">
        <f t="shared" si="69"/>
        <v>0</v>
      </c>
      <c r="G422" s="8">
        <f t="shared" si="70"/>
        <v>3.5254911485809703</v>
      </c>
      <c r="H422" s="8">
        <f t="shared" si="63"/>
        <v>1.0791218697829723</v>
      </c>
      <c r="I422" s="8">
        <f t="shared" si="64"/>
        <v>0</v>
      </c>
      <c r="J422" s="2" t="str">
        <f t="shared" si="65"/>
        <v>Y</v>
      </c>
      <c r="K422" s="2" t="str">
        <f t="shared" si="66"/>
        <v/>
      </c>
      <c r="L422" s="2" t="str">
        <f t="shared" si="67"/>
        <v/>
      </c>
    </row>
    <row r="423" spans="1:12">
      <c r="A423" s="9">
        <v>411</v>
      </c>
      <c r="B423" s="8">
        <v>700.61500000000001</v>
      </c>
      <c r="C423" s="8">
        <f t="shared" si="68"/>
        <v>0.17499999999995453</v>
      </c>
      <c r="D423" s="8">
        <f t="shared" si="61"/>
        <v>1.3215777815545913</v>
      </c>
      <c r="E423" s="8">
        <f t="shared" si="62"/>
        <v>1.0616604361005504</v>
      </c>
      <c r="F423" s="8">
        <f t="shared" si="69"/>
        <v>0</v>
      </c>
      <c r="G423" s="8">
        <f t="shared" si="70"/>
        <v>3.5254911485809703</v>
      </c>
      <c r="H423" s="8">
        <f t="shared" si="63"/>
        <v>1.0791218697829723</v>
      </c>
      <c r="I423" s="8">
        <f t="shared" si="64"/>
        <v>0</v>
      </c>
      <c r="J423" s="2" t="str">
        <f t="shared" si="65"/>
        <v>Y</v>
      </c>
      <c r="K423" s="2" t="str">
        <f t="shared" si="66"/>
        <v/>
      </c>
      <c r="L423" s="2" t="str">
        <f t="shared" si="67"/>
        <v/>
      </c>
    </row>
    <row r="424" spans="1:12">
      <c r="A424" s="9">
        <v>412</v>
      </c>
      <c r="B424" s="8">
        <v>700.923</v>
      </c>
      <c r="C424" s="8">
        <f t="shared" si="68"/>
        <v>0.30799999999999272</v>
      </c>
      <c r="D424" s="8">
        <f t="shared" si="61"/>
        <v>1.3215777815545913</v>
      </c>
      <c r="E424" s="8">
        <f t="shared" si="62"/>
        <v>1.0616604361005504</v>
      </c>
      <c r="F424" s="8">
        <f t="shared" si="69"/>
        <v>0</v>
      </c>
      <c r="G424" s="8">
        <f t="shared" si="70"/>
        <v>3.5254911485809703</v>
      </c>
      <c r="H424" s="8">
        <f t="shared" si="63"/>
        <v>1.0791218697829723</v>
      </c>
      <c r="I424" s="8">
        <f t="shared" si="64"/>
        <v>0</v>
      </c>
      <c r="J424" s="2" t="str">
        <f t="shared" si="65"/>
        <v>Y</v>
      </c>
      <c r="K424" s="2" t="str">
        <f t="shared" si="66"/>
        <v/>
      </c>
      <c r="L424" s="2" t="str">
        <f t="shared" si="67"/>
        <v/>
      </c>
    </row>
    <row r="425" spans="1:12">
      <c r="A425" s="9">
        <v>413</v>
      </c>
      <c r="B425" s="8">
        <v>699.76900000000001</v>
      </c>
      <c r="C425" s="8">
        <f t="shared" si="68"/>
        <v>1.1539999999999964</v>
      </c>
      <c r="D425" s="8">
        <f t="shared" si="61"/>
        <v>1.3215777815545913</v>
      </c>
      <c r="E425" s="8">
        <f t="shared" si="62"/>
        <v>1.0616604361005504</v>
      </c>
      <c r="F425" s="8">
        <f t="shared" si="69"/>
        <v>0</v>
      </c>
      <c r="G425" s="8">
        <f t="shared" si="70"/>
        <v>3.5254911485809703</v>
      </c>
      <c r="H425" s="8">
        <f t="shared" si="63"/>
        <v>1.0791218697829723</v>
      </c>
      <c r="I425" s="8">
        <f t="shared" si="64"/>
        <v>0</v>
      </c>
      <c r="J425" s="2" t="str">
        <f t="shared" si="65"/>
        <v>Y</v>
      </c>
      <c r="K425" s="2" t="str">
        <f t="shared" si="66"/>
        <v/>
      </c>
      <c r="L425" s="2" t="str">
        <f t="shared" si="67"/>
        <v/>
      </c>
    </row>
    <row r="426" spans="1:12">
      <c r="A426" s="9">
        <v>414</v>
      </c>
      <c r="B426" s="8">
        <v>700.71500000000003</v>
      </c>
      <c r="C426" s="8">
        <f t="shared" si="68"/>
        <v>0.94600000000002638</v>
      </c>
      <c r="D426" s="8">
        <f t="shared" si="61"/>
        <v>1.3215777815545913</v>
      </c>
      <c r="E426" s="8">
        <f t="shared" si="62"/>
        <v>1.0616604361005504</v>
      </c>
      <c r="F426" s="8">
        <f t="shared" si="69"/>
        <v>0</v>
      </c>
      <c r="G426" s="8">
        <f t="shared" si="70"/>
        <v>3.5254911485809703</v>
      </c>
      <c r="H426" s="8">
        <f t="shared" si="63"/>
        <v>1.0791218697829723</v>
      </c>
      <c r="I426" s="8">
        <f t="shared" si="64"/>
        <v>0</v>
      </c>
      <c r="J426" s="2" t="str">
        <f t="shared" si="65"/>
        <v>Y</v>
      </c>
      <c r="K426" s="2" t="str">
        <f t="shared" si="66"/>
        <v/>
      </c>
      <c r="L426" s="2" t="str">
        <f t="shared" si="67"/>
        <v/>
      </c>
    </row>
    <row r="427" spans="1:12">
      <c r="A427" s="9">
        <v>415</v>
      </c>
      <c r="B427" s="8">
        <v>700.18700000000001</v>
      </c>
      <c r="C427" s="8">
        <f t="shared" si="68"/>
        <v>0.52800000000002001</v>
      </c>
      <c r="D427" s="8">
        <f t="shared" si="61"/>
        <v>1.3215777815545913</v>
      </c>
      <c r="E427" s="8">
        <f t="shared" si="62"/>
        <v>1.0616604361005504</v>
      </c>
      <c r="F427" s="8">
        <f t="shared" si="69"/>
        <v>0</v>
      </c>
      <c r="G427" s="8">
        <f t="shared" si="70"/>
        <v>3.5254911485809703</v>
      </c>
      <c r="H427" s="8">
        <f t="shared" si="63"/>
        <v>1.0791218697829723</v>
      </c>
      <c r="I427" s="8">
        <f t="shared" si="64"/>
        <v>0</v>
      </c>
      <c r="J427" s="2" t="str">
        <f t="shared" si="65"/>
        <v>Y</v>
      </c>
      <c r="K427" s="2" t="str">
        <f t="shared" si="66"/>
        <v/>
      </c>
      <c r="L427" s="2" t="str">
        <f t="shared" si="67"/>
        <v/>
      </c>
    </row>
    <row r="428" spans="1:12">
      <c r="A428" s="9">
        <v>416</v>
      </c>
      <c r="B428" s="8">
        <v>701.28</v>
      </c>
      <c r="C428" s="8">
        <f t="shared" si="68"/>
        <v>1.0929999999999609</v>
      </c>
      <c r="D428" s="8">
        <f t="shared" si="61"/>
        <v>1.3215777815545913</v>
      </c>
      <c r="E428" s="8">
        <f t="shared" si="62"/>
        <v>1.0616604361005504</v>
      </c>
      <c r="F428" s="8">
        <f t="shared" si="69"/>
        <v>0</v>
      </c>
      <c r="G428" s="8">
        <f t="shared" si="70"/>
        <v>3.5254911485809703</v>
      </c>
      <c r="H428" s="8">
        <f t="shared" si="63"/>
        <v>1.0791218697829723</v>
      </c>
      <c r="I428" s="8">
        <f t="shared" si="64"/>
        <v>0</v>
      </c>
      <c r="J428" s="2" t="str">
        <f t="shared" si="65"/>
        <v>Y</v>
      </c>
      <c r="K428" s="2" t="str">
        <f t="shared" si="66"/>
        <v/>
      </c>
      <c r="L428" s="2" t="str">
        <f t="shared" si="67"/>
        <v/>
      </c>
    </row>
    <row r="429" spans="1:12">
      <c r="A429" s="9">
        <v>417</v>
      </c>
      <c r="B429" s="8">
        <v>701.41600000000005</v>
      </c>
      <c r="C429" s="8">
        <f t="shared" si="68"/>
        <v>0.13600000000008095</v>
      </c>
      <c r="D429" s="8">
        <f t="shared" si="61"/>
        <v>1.3215777815545913</v>
      </c>
      <c r="E429" s="8">
        <f t="shared" si="62"/>
        <v>1.0616604361005504</v>
      </c>
      <c r="F429" s="8">
        <f t="shared" si="69"/>
        <v>0</v>
      </c>
      <c r="G429" s="8">
        <f t="shared" si="70"/>
        <v>3.5254911485809703</v>
      </c>
      <c r="H429" s="8">
        <f t="shared" si="63"/>
        <v>1.0791218697829723</v>
      </c>
      <c r="I429" s="8">
        <f t="shared" si="64"/>
        <v>0</v>
      </c>
      <c r="J429" s="2" t="str">
        <f t="shared" si="65"/>
        <v>Y</v>
      </c>
      <c r="K429" s="2" t="str">
        <f t="shared" si="66"/>
        <v/>
      </c>
      <c r="L429" s="2" t="str">
        <f t="shared" si="67"/>
        <v/>
      </c>
    </row>
    <row r="430" spans="1:12">
      <c r="A430" s="9">
        <v>418</v>
      </c>
      <c r="B430" s="8">
        <v>701.20699999999999</v>
      </c>
      <c r="C430" s="8">
        <f t="shared" si="68"/>
        <v>0.20900000000006003</v>
      </c>
      <c r="D430" s="8">
        <f t="shared" si="61"/>
        <v>1.3215777815545913</v>
      </c>
      <c r="E430" s="8">
        <f t="shared" si="62"/>
        <v>1.0616604361005504</v>
      </c>
      <c r="F430" s="8">
        <f t="shared" si="69"/>
        <v>0</v>
      </c>
      <c r="G430" s="8">
        <f t="shared" si="70"/>
        <v>3.5254911485809703</v>
      </c>
      <c r="H430" s="8">
        <f t="shared" si="63"/>
        <v>1.0791218697829723</v>
      </c>
      <c r="I430" s="8">
        <f t="shared" si="64"/>
        <v>0</v>
      </c>
      <c r="J430" s="2" t="str">
        <f t="shared" si="65"/>
        <v>Y</v>
      </c>
      <c r="K430" s="2" t="str">
        <f t="shared" si="66"/>
        <v/>
      </c>
      <c r="L430" s="2" t="str">
        <f t="shared" si="67"/>
        <v/>
      </c>
    </row>
    <row r="431" spans="1:12">
      <c r="A431" s="9">
        <v>419</v>
      </c>
      <c r="B431" s="8">
        <v>701.25900000000001</v>
      </c>
      <c r="C431" s="8">
        <f t="shared" si="68"/>
        <v>5.2000000000020918E-2</v>
      </c>
      <c r="D431" s="8">
        <f t="shared" si="61"/>
        <v>1.3215777815545913</v>
      </c>
      <c r="E431" s="8">
        <f t="shared" si="62"/>
        <v>1.0616604361005504</v>
      </c>
      <c r="F431" s="8">
        <f t="shared" si="69"/>
        <v>0</v>
      </c>
      <c r="G431" s="8">
        <f t="shared" si="70"/>
        <v>3.5254911485809703</v>
      </c>
      <c r="H431" s="8">
        <f t="shared" si="63"/>
        <v>1.0791218697829723</v>
      </c>
      <c r="I431" s="8">
        <f t="shared" si="64"/>
        <v>0</v>
      </c>
      <c r="J431" s="2" t="str">
        <f t="shared" si="65"/>
        <v>Y</v>
      </c>
      <c r="K431" s="2" t="str">
        <f t="shared" si="66"/>
        <v/>
      </c>
      <c r="L431" s="2" t="str">
        <f t="shared" si="67"/>
        <v/>
      </c>
    </row>
    <row r="432" spans="1:12">
      <c r="A432" s="9">
        <v>420</v>
      </c>
      <c r="B432" s="8">
        <v>699.86400000000003</v>
      </c>
      <c r="C432" s="8">
        <f t="shared" si="68"/>
        <v>1.3949999999999818</v>
      </c>
      <c r="D432" s="8">
        <f t="shared" si="61"/>
        <v>1.3215777815545913</v>
      </c>
      <c r="E432" s="8">
        <f t="shared" si="62"/>
        <v>1.0616604361005504</v>
      </c>
      <c r="F432" s="8">
        <f t="shared" si="69"/>
        <v>0</v>
      </c>
      <c r="G432" s="8">
        <f t="shared" si="70"/>
        <v>3.5254911485809703</v>
      </c>
      <c r="H432" s="8">
        <f t="shared" si="63"/>
        <v>1.0791218697829723</v>
      </c>
      <c r="I432" s="8">
        <f t="shared" si="64"/>
        <v>0</v>
      </c>
      <c r="J432" s="2" t="str">
        <f t="shared" si="65"/>
        <v>Y</v>
      </c>
      <c r="K432" s="2" t="str">
        <f t="shared" si="66"/>
        <v/>
      </c>
      <c r="L432" s="2" t="str">
        <f t="shared" si="67"/>
        <v/>
      </c>
    </row>
    <row r="433" spans="1:12">
      <c r="A433" s="9">
        <v>421</v>
      </c>
      <c r="B433" s="8">
        <v>701.81899999999996</v>
      </c>
      <c r="C433" s="8">
        <f t="shared" si="68"/>
        <v>1.9549999999999272</v>
      </c>
      <c r="D433" s="8">
        <f t="shared" si="61"/>
        <v>1.3215777815545913</v>
      </c>
      <c r="E433" s="8">
        <f t="shared" si="62"/>
        <v>1.0616604361005504</v>
      </c>
      <c r="F433" s="8">
        <f t="shared" si="69"/>
        <v>0</v>
      </c>
      <c r="G433" s="8">
        <f t="shared" si="70"/>
        <v>3.5254911485809703</v>
      </c>
      <c r="H433" s="8">
        <f t="shared" si="63"/>
        <v>1.0791218697829723</v>
      </c>
      <c r="I433" s="8">
        <f t="shared" si="64"/>
        <v>0</v>
      </c>
      <c r="J433" s="2" t="str">
        <f t="shared" si="65"/>
        <v>Y</v>
      </c>
      <c r="K433" s="2" t="str">
        <f t="shared" si="66"/>
        <v/>
      </c>
      <c r="L433" s="2" t="str">
        <f t="shared" si="67"/>
        <v/>
      </c>
    </row>
    <row r="434" spans="1:12">
      <c r="A434" s="9">
        <v>422</v>
      </c>
      <c r="B434" s="8">
        <v>701.09900000000005</v>
      </c>
      <c r="C434" s="8">
        <f t="shared" si="68"/>
        <v>0.7199999999999136</v>
      </c>
      <c r="D434" s="8">
        <f t="shared" si="61"/>
        <v>1.3215777815545913</v>
      </c>
      <c r="E434" s="8">
        <f t="shared" si="62"/>
        <v>1.0616604361005504</v>
      </c>
      <c r="F434" s="8">
        <f t="shared" si="69"/>
        <v>0</v>
      </c>
      <c r="G434" s="8">
        <f t="shared" si="70"/>
        <v>3.5254911485809703</v>
      </c>
      <c r="H434" s="8">
        <f t="shared" si="63"/>
        <v>1.0791218697829723</v>
      </c>
      <c r="I434" s="8">
        <f t="shared" si="64"/>
        <v>0</v>
      </c>
      <c r="J434" s="2" t="str">
        <f t="shared" si="65"/>
        <v>Y</v>
      </c>
      <c r="K434" s="2" t="str">
        <f t="shared" si="66"/>
        <v/>
      </c>
      <c r="L434" s="2" t="str">
        <f t="shared" si="67"/>
        <v/>
      </c>
    </row>
    <row r="435" spans="1:12">
      <c r="A435" s="9">
        <v>423</v>
      </c>
      <c r="B435" s="8">
        <v>701.423</v>
      </c>
      <c r="C435" s="8">
        <f t="shared" si="68"/>
        <v>0.32399999999995543</v>
      </c>
      <c r="D435" s="8">
        <f t="shared" si="61"/>
        <v>1.3215777815545913</v>
      </c>
      <c r="E435" s="8">
        <f t="shared" si="62"/>
        <v>1.0616604361005504</v>
      </c>
      <c r="F435" s="8">
        <f t="shared" si="69"/>
        <v>0</v>
      </c>
      <c r="G435" s="8">
        <f t="shared" si="70"/>
        <v>3.5254911485809703</v>
      </c>
      <c r="H435" s="8">
        <f t="shared" si="63"/>
        <v>1.0791218697829723</v>
      </c>
      <c r="I435" s="8">
        <f t="shared" si="64"/>
        <v>0</v>
      </c>
      <c r="J435" s="2" t="str">
        <f t="shared" si="65"/>
        <v>Y</v>
      </c>
      <c r="K435" s="2" t="str">
        <f t="shared" si="66"/>
        <v/>
      </c>
      <c r="L435" s="2" t="str">
        <f t="shared" si="67"/>
        <v/>
      </c>
    </row>
    <row r="436" spans="1:12">
      <c r="A436" s="9">
        <v>424</v>
      </c>
      <c r="B436" s="8">
        <v>700.56200000000001</v>
      </c>
      <c r="C436" s="8">
        <f t="shared" si="68"/>
        <v>0.86099999999999</v>
      </c>
      <c r="D436" s="8">
        <f t="shared" si="61"/>
        <v>1.3215777815545913</v>
      </c>
      <c r="E436" s="8">
        <f t="shared" si="62"/>
        <v>1.0616604361005504</v>
      </c>
      <c r="F436" s="8">
        <f t="shared" si="69"/>
        <v>0</v>
      </c>
      <c r="G436" s="8">
        <f t="shared" si="70"/>
        <v>3.5254911485809703</v>
      </c>
      <c r="H436" s="8">
        <f t="shared" si="63"/>
        <v>1.0791218697829723</v>
      </c>
      <c r="I436" s="8">
        <f t="shared" si="64"/>
        <v>0</v>
      </c>
      <c r="J436" s="2" t="str">
        <f t="shared" si="65"/>
        <v>Y</v>
      </c>
      <c r="K436" s="2" t="str">
        <f t="shared" si="66"/>
        <v/>
      </c>
      <c r="L436" s="2" t="str">
        <f t="shared" si="67"/>
        <v/>
      </c>
    </row>
    <row r="437" spans="1:12">
      <c r="A437" s="9">
        <v>425</v>
      </c>
      <c r="B437" s="8">
        <v>700.70600000000002</v>
      </c>
      <c r="C437" s="8">
        <f t="shared" si="68"/>
        <v>0.14400000000000546</v>
      </c>
      <c r="D437" s="8">
        <f t="shared" si="61"/>
        <v>1.3215777815545913</v>
      </c>
      <c r="E437" s="8">
        <f t="shared" si="62"/>
        <v>1.0616604361005504</v>
      </c>
      <c r="F437" s="8">
        <f t="shared" si="69"/>
        <v>0</v>
      </c>
      <c r="G437" s="8">
        <f t="shared" si="70"/>
        <v>3.5254911485809703</v>
      </c>
      <c r="H437" s="8">
        <f t="shared" si="63"/>
        <v>1.0791218697829723</v>
      </c>
      <c r="I437" s="8">
        <f t="shared" si="64"/>
        <v>0</v>
      </c>
      <c r="J437" s="2" t="str">
        <f t="shared" si="65"/>
        <v>Y</v>
      </c>
      <c r="K437" s="2" t="str">
        <f t="shared" si="66"/>
        <v/>
      </c>
      <c r="L437" s="2" t="str">
        <f t="shared" si="67"/>
        <v/>
      </c>
    </row>
    <row r="438" spans="1:12">
      <c r="A438" s="9">
        <v>426</v>
      </c>
      <c r="B438" s="8">
        <v>699.18299999999999</v>
      </c>
      <c r="C438" s="8">
        <f t="shared" si="68"/>
        <v>1.5230000000000246</v>
      </c>
      <c r="D438" s="8">
        <f t="shared" si="61"/>
        <v>1.3215777815545913</v>
      </c>
      <c r="E438" s="8">
        <f t="shared" si="62"/>
        <v>1.0616604361005504</v>
      </c>
      <c r="F438" s="8">
        <f t="shared" si="69"/>
        <v>0</v>
      </c>
      <c r="G438" s="8">
        <f t="shared" si="70"/>
        <v>3.5254911485809703</v>
      </c>
      <c r="H438" s="8">
        <f t="shared" si="63"/>
        <v>1.0791218697829723</v>
      </c>
      <c r="I438" s="8">
        <f t="shared" si="64"/>
        <v>0</v>
      </c>
      <c r="J438" s="2" t="str">
        <f t="shared" si="65"/>
        <v>Y</v>
      </c>
      <c r="K438" s="2" t="str">
        <f t="shared" si="66"/>
        <v/>
      </c>
      <c r="L438" s="2" t="str">
        <f t="shared" si="67"/>
        <v/>
      </c>
    </row>
    <row r="439" spans="1:12">
      <c r="A439" s="9">
        <v>427</v>
      </c>
      <c r="B439" s="8">
        <v>701.05499999999995</v>
      </c>
      <c r="C439" s="8">
        <f t="shared" si="68"/>
        <v>1.8719999999999573</v>
      </c>
      <c r="D439" s="8">
        <f t="shared" si="61"/>
        <v>1.3215777815545913</v>
      </c>
      <c r="E439" s="8">
        <f t="shared" si="62"/>
        <v>1.0616604361005504</v>
      </c>
      <c r="F439" s="8">
        <f t="shared" si="69"/>
        <v>0</v>
      </c>
      <c r="G439" s="8">
        <f t="shared" si="70"/>
        <v>3.5254911485809703</v>
      </c>
      <c r="H439" s="8">
        <f t="shared" si="63"/>
        <v>1.0791218697829723</v>
      </c>
      <c r="I439" s="8">
        <f t="shared" si="64"/>
        <v>0</v>
      </c>
      <c r="J439" s="2" t="str">
        <f t="shared" si="65"/>
        <v>Y</v>
      </c>
      <c r="K439" s="2" t="str">
        <f t="shared" si="66"/>
        <v/>
      </c>
      <c r="L439" s="2" t="str">
        <f t="shared" si="67"/>
        <v/>
      </c>
    </row>
    <row r="440" spans="1:12">
      <c r="A440" s="9">
        <v>428</v>
      </c>
      <c r="B440" s="8">
        <v>699.01</v>
      </c>
      <c r="C440" s="8">
        <f t="shared" si="68"/>
        <v>2.0449999999999591</v>
      </c>
      <c r="D440" s="8">
        <f t="shared" si="61"/>
        <v>1.3215777815545913</v>
      </c>
      <c r="E440" s="8">
        <f t="shared" si="62"/>
        <v>1.0616604361005504</v>
      </c>
      <c r="F440" s="8">
        <f t="shared" si="69"/>
        <v>0</v>
      </c>
      <c r="G440" s="8">
        <f t="shared" si="70"/>
        <v>3.5254911485809703</v>
      </c>
      <c r="H440" s="8">
        <f t="shared" si="63"/>
        <v>1.0791218697829723</v>
      </c>
      <c r="I440" s="8">
        <f t="shared" si="64"/>
        <v>0</v>
      </c>
      <c r="J440" s="2" t="str">
        <f t="shared" si="65"/>
        <v>Y</v>
      </c>
      <c r="K440" s="2" t="str">
        <f t="shared" si="66"/>
        <v/>
      </c>
      <c r="L440" s="2" t="str">
        <f t="shared" si="67"/>
        <v/>
      </c>
    </row>
    <row r="441" spans="1:12">
      <c r="A441" s="9">
        <v>429</v>
      </c>
      <c r="B441" s="8">
        <v>701.09</v>
      </c>
      <c r="C441" s="8">
        <f t="shared" si="68"/>
        <v>2.0800000000000409</v>
      </c>
      <c r="D441" s="8">
        <f t="shared" si="61"/>
        <v>1.3215777815545913</v>
      </c>
      <c r="E441" s="8">
        <f t="shared" si="62"/>
        <v>1.0616604361005504</v>
      </c>
      <c r="F441" s="8">
        <f t="shared" si="69"/>
        <v>0</v>
      </c>
      <c r="G441" s="8">
        <f t="shared" si="70"/>
        <v>3.5254911485809703</v>
      </c>
      <c r="H441" s="8">
        <f t="shared" si="63"/>
        <v>1.0791218697829723</v>
      </c>
      <c r="I441" s="8">
        <f t="shared" si="64"/>
        <v>0</v>
      </c>
      <c r="J441" s="2" t="str">
        <f t="shared" si="65"/>
        <v>Y</v>
      </c>
      <c r="K441" s="2" t="str">
        <f t="shared" si="66"/>
        <v/>
      </c>
      <c r="L441" s="2" t="str">
        <f t="shared" si="67"/>
        <v/>
      </c>
    </row>
    <row r="442" spans="1:12">
      <c r="A442" s="9">
        <v>430</v>
      </c>
      <c r="B442" s="8">
        <v>698.86500000000001</v>
      </c>
      <c r="C442" s="8">
        <f t="shared" si="68"/>
        <v>2.2250000000000227</v>
      </c>
      <c r="D442" s="8">
        <f t="shared" si="61"/>
        <v>1.3215777815545913</v>
      </c>
      <c r="E442" s="8">
        <f t="shared" si="62"/>
        <v>1.0616604361005504</v>
      </c>
      <c r="F442" s="8">
        <f t="shared" si="69"/>
        <v>0</v>
      </c>
      <c r="G442" s="8">
        <f t="shared" si="70"/>
        <v>3.5254911485809703</v>
      </c>
      <c r="H442" s="8">
        <f t="shared" si="63"/>
        <v>1.0791218697829723</v>
      </c>
      <c r="I442" s="8">
        <f t="shared" si="64"/>
        <v>0</v>
      </c>
      <c r="J442" s="2" t="str">
        <f t="shared" si="65"/>
        <v>Y</v>
      </c>
      <c r="K442" s="2" t="str">
        <f t="shared" si="66"/>
        <v/>
      </c>
      <c r="L442" s="2" t="str">
        <f t="shared" si="67"/>
        <v/>
      </c>
    </row>
    <row r="443" spans="1:12">
      <c r="A443" s="9">
        <v>431</v>
      </c>
      <c r="B443" s="8">
        <v>700.22900000000004</v>
      </c>
      <c r="C443" s="8">
        <f t="shared" si="68"/>
        <v>1.3640000000000327</v>
      </c>
      <c r="D443" s="8">
        <f t="shared" si="61"/>
        <v>1.3215777815545913</v>
      </c>
      <c r="E443" s="8">
        <f t="shared" si="62"/>
        <v>1.0616604361005504</v>
      </c>
      <c r="F443" s="8">
        <f t="shared" si="69"/>
        <v>0</v>
      </c>
      <c r="G443" s="8">
        <f t="shared" si="70"/>
        <v>3.5254911485809703</v>
      </c>
      <c r="H443" s="8">
        <f t="shared" si="63"/>
        <v>1.0791218697829723</v>
      </c>
      <c r="I443" s="8">
        <f t="shared" si="64"/>
        <v>0</v>
      </c>
      <c r="J443" s="2" t="str">
        <f t="shared" si="65"/>
        <v>Y</v>
      </c>
      <c r="K443" s="2" t="str">
        <f t="shared" si="66"/>
        <v/>
      </c>
      <c r="L443" s="2" t="str">
        <f t="shared" si="67"/>
        <v/>
      </c>
    </row>
    <row r="444" spans="1:12">
      <c r="A444" s="9">
        <v>432</v>
      </c>
      <c r="B444" s="8">
        <v>699.03899999999999</v>
      </c>
      <c r="C444" s="8">
        <f t="shared" si="68"/>
        <v>1.1900000000000546</v>
      </c>
      <c r="D444" s="8">
        <f t="shared" si="61"/>
        <v>1.3215777815545913</v>
      </c>
      <c r="E444" s="8">
        <f t="shared" si="62"/>
        <v>1.0616604361005504</v>
      </c>
      <c r="F444" s="8">
        <f t="shared" si="69"/>
        <v>0</v>
      </c>
      <c r="G444" s="8">
        <f t="shared" si="70"/>
        <v>3.5254911485809703</v>
      </c>
      <c r="H444" s="8">
        <f t="shared" si="63"/>
        <v>1.0791218697829723</v>
      </c>
      <c r="I444" s="8">
        <f t="shared" si="64"/>
        <v>0</v>
      </c>
      <c r="J444" s="2" t="str">
        <f t="shared" si="65"/>
        <v>Y</v>
      </c>
      <c r="K444" s="2" t="str">
        <f t="shared" si="66"/>
        <v/>
      </c>
      <c r="L444" s="2" t="str">
        <f t="shared" si="67"/>
        <v/>
      </c>
    </row>
    <row r="445" spans="1:12">
      <c r="A445" s="9">
        <v>433</v>
      </c>
      <c r="B445" s="8">
        <v>701.64200000000005</v>
      </c>
      <c r="C445" s="8">
        <f t="shared" si="68"/>
        <v>2.6030000000000655</v>
      </c>
      <c r="D445" s="8">
        <f t="shared" si="61"/>
        <v>1.3215777815545913</v>
      </c>
      <c r="E445" s="8">
        <f t="shared" si="62"/>
        <v>1.0616604361005504</v>
      </c>
      <c r="F445" s="8">
        <f t="shared" si="69"/>
        <v>0</v>
      </c>
      <c r="G445" s="8">
        <f t="shared" si="70"/>
        <v>3.5254911485809703</v>
      </c>
      <c r="H445" s="8">
        <f t="shared" si="63"/>
        <v>1.0791218697829723</v>
      </c>
      <c r="I445" s="8">
        <f t="shared" si="64"/>
        <v>0</v>
      </c>
      <c r="J445" s="2" t="str">
        <f t="shared" si="65"/>
        <v>Y</v>
      </c>
      <c r="K445" s="2" t="str">
        <f t="shared" si="66"/>
        <v/>
      </c>
      <c r="L445" s="2" t="str">
        <f t="shared" si="67"/>
        <v/>
      </c>
    </row>
    <row r="446" spans="1:12">
      <c r="A446" s="9">
        <v>434</v>
      </c>
      <c r="B446" s="8">
        <v>699.11099999999999</v>
      </c>
      <c r="C446" s="8">
        <f t="shared" si="68"/>
        <v>2.5310000000000628</v>
      </c>
      <c r="D446" s="8">
        <f t="shared" si="61"/>
        <v>1.3215777815545913</v>
      </c>
      <c r="E446" s="8">
        <f t="shared" si="62"/>
        <v>1.0616604361005504</v>
      </c>
      <c r="F446" s="8">
        <f t="shared" si="69"/>
        <v>0</v>
      </c>
      <c r="G446" s="8">
        <f t="shared" si="70"/>
        <v>3.5254911485809703</v>
      </c>
      <c r="H446" s="8">
        <f t="shared" si="63"/>
        <v>1.0791218697829723</v>
      </c>
      <c r="I446" s="8">
        <f t="shared" si="64"/>
        <v>0</v>
      </c>
      <c r="J446" s="2" t="str">
        <f t="shared" si="65"/>
        <v>Y</v>
      </c>
      <c r="K446" s="2" t="str">
        <f t="shared" si="66"/>
        <v/>
      </c>
      <c r="L446" s="2" t="str">
        <f t="shared" si="67"/>
        <v/>
      </c>
    </row>
    <row r="447" spans="1:12">
      <c r="A447" s="9">
        <v>435</v>
      </c>
      <c r="B447" s="8">
        <v>698.89499999999998</v>
      </c>
      <c r="C447" s="8">
        <f t="shared" si="68"/>
        <v>0.21600000000000819</v>
      </c>
      <c r="D447" s="8">
        <f t="shared" si="61"/>
        <v>1.3215777815545913</v>
      </c>
      <c r="E447" s="8">
        <f t="shared" si="62"/>
        <v>1.0616604361005504</v>
      </c>
      <c r="F447" s="8">
        <f t="shared" si="69"/>
        <v>0</v>
      </c>
      <c r="G447" s="8">
        <f t="shared" si="70"/>
        <v>3.5254911485809703</v>
      </c>
      <c r="H447" s="8">
        <f t="shared" si="63"/>
        <v>1.0791218697829723</v>
      </c>
      <c r="I447" s="8">
        <f t="shared" si="64"/>
        <v>0</v>
      </c>
      <c r="J447" s="2" t="str">
        <f t="shared" si="65"/>
        <v>Y</v>
      </c>
      <c r="K447" s="2" t="str">
        <f t="shared" si="66"/>
        <v/>
      </c>
      <c r="L447" s="2" t="str">
        <f t="shared" si="67"/>
        <v/>
      </c>
    </row>
    <row r="448" spans="1:12">
      <c r="A448" s="9">
        <v>436</v>
      </c>
      <c r="B448" s="8">
        <v>700.62300000000005</v>
      </c>
      <c r="C448" s="8">
        <f t="shared" si="68"/>
        <v>1.7280000000000655</v>
      </c>
      <c r="D448" s="8">
        <f t="shared" si="61"/>
        <v>1.3215777815545913</v>
      </c>
      <c r="E448" s="8">
        <f t="shared" si="62"/>
        <v>1.0616604361005504</v>
      </c>
      <c r="F448" s="8">
        <f t="shared" si="69"/>
        <v>0</v>
      </c>
      <c r="G448" s="8">
        <f t="shared" si="70"/>
        <v>3.5254911485809703</v>
      </c>
      <c r="H448" s="8">
        <f t="shared" si="63"/>
        <v>1.0791218697829723</v>
      </c>
      <c r="I448" s="8">
        <f t="shared" si="64"/>
        <v>0</v>
      </c>
      <c r="J448" s="2" t="str">
        <f t="shared" si="65"/>
        <v>Y</v>
      </c>
      <c r="K448" s="2" t="str">
        <f t="shared" si="66"/>
        <v/>
      </c>
      <c r="L448" s="2" t="str">
        <f t="shared" si="67"/>
        <v/>
      </c>
    </row>
    <row r="449" spans="1:12">
      <c r="A449" s="9">
        <v>437</v>
      </c>
      <c r="B449" s="8">
        <v>702.21199999999999</v>
      </c>
      <c r="C449" s="8">
        <f t="shared" si="68"/>
        <v>1.5889999999999418</v>
      </c>
      <c r="D449" s="8">
        <f t="shared" si="61"/>
        <v>1.3215777815545913</v>
      </c>
      <c r="E449" s="8">
        <f t="shared" si="62"/>
        <v>1.0616604361005504</v>
      </c>
      <c r="F449" s="8">
        <f t="shared" si="69"/>
        <v>0</v>
      </c>
      <c r="G449" s="8">
        <f t="shared" si="70"/>
        <v>3.5254911485809703</v>
      </c>
      <c r="H449" s="8">
        <f t="shared" si="63"/>
        <v>1.0791218697829723</v>
      </c>
      <c r="I449" s="8">
        <f t="shared" si="64"/>
        <v>0</v>
      </c>
      <c r="J449" s="2" t="str">
        <f t="shared" si="65"/>
        <v>Y</v>
      </c>
      <c r="K449" s="2" t="str">
        <f t="shared" si="66"/>
        <v/>
      </c>
      <c r="L449" s="2" t="str">
        <f t="shared" si="67"/>
        <v/>
      </c>
    </row>
    <row r="450" spans="1:12">
      <c r="A450" s="9">
        <v>438</v>
      </c>
      <c r="B450" s="8">
        <v>701.91099999999994</v>
      </c>
      <c r="C450" s="8">
        <f t="shared" si="68"/>
        <v>0.30100000000004457</v>
      </c>
      <c r="D450" s="8">
        <f t="shared" si="61"/>
        <v>1.3215777815545913</v>
      </c>
      <c r="E450" s="8">
        <f t="shared" si="62"/>
        <v>1.0616604361005504</v>
      </c>
      <c r="F450" s="8">
        <f t="shared" si="69"/>
        <v>0</v>
      </c>
      <c r="G450" s="8">
        <f t="shared" si="70"/>
        <v>3.5254911485809703</v>
      </c>
      <c r="H450" s="8">
        <f t="shared" si="63"/>
        <v>1.0791218697829723</v>
      </c>
      <c r="I450" s="8">
        <f t="shared" si="64"/>
        <v>0</v>
      </c>
      <c r="J450" s="2" t="str">
        <f t="shared" si="65"/>
        <v>Y</v>
      </c>
      <c r="K450" s="2" t="str">
        <f t="shared" si="66"/>
        <v/>
      </c>
      <c r="L450" s="2" t="str">
        <f t="shared" si="67"/>
        <v/>
      </c>
    </row>
    <row r="451" spans="1:12">
      <c r="A451" s="9">
        <v>439</v>
      </c>
      <c r="B451" s="8">
        <v>700.68</v>
      </c>
      <c r="C451" s="8">
        <f t="shared" si="68"/>
        <v>1.2309999999999945</v>
      </c>
      <c r="D451" s="8">
        <f t="shared" si="61"/>
        <v>1.3215777815545913</v>
      </c>
      <c r="E451" s="8">
        <f t="shared" si="62"/>
        <v>1.0616604361005504</v>
      </c>
      <c r="F451" s="8">
        <f t="shared" si="69"/>
        <v>0</v>
      </c>
      <c r="G451" s="8">
        <f t="shared" si="70"/>
        <v>3.5254911485809703</v>
      </c>
      <c r="H451" s="8">
        <f t="shared" si="63"/>
        <v>1.0791218697829723</v>
      </c>
      <c r="I451" s="8">
        <f t="shared" si="64"/>
        <v>0</v>
      </c>
      <c r="J451" s="2" t="str">
        <f t="shared" si="65"/>
        <v>Y</v>
      </c>
      <c r="K451" s="2" t="str">
        <f t="shared" si="66"/>
        <v/>
      </c>
      <c r="L451" s="2" t="str">
        <f t="shared" si="67"/>
        <v/>
      </c>
    </row>
    <row r="452" spans="1:12">
      <c r="A452" s="9">
        <v>440</v>
      </c>
      <c r="B452" s="8">
        <v>701.73099999999999</v>
      </c>
      <c r="C452" s="8">
        <f t="shared" si="68"/>
        <v>1.0510000000000446</v>
      </c>
      <c r="D452" s="8">
        <f t="shared" si="61"/>
        <v>1.3215777815545913</v>
      </c>
      <c r="E452" s="8">
        <f t="shared" si="62"/>
        <v>1.0616604361005504</v>
      </c>
      <c r="F452" s="8">
        <f t="shared" si="69"/>
        <v>0</v>
      </c>
      <c r="G452" s="8">
        <f t="shared" si="70"/>
        <v>3.5254911485809703</v>
      </c>
      <c r="H452" s="8">
        <f t="shared" si="63"/>
        <v>1.0791218697829723</v>
      </c>
      <c r="I452" s="8">
        <f t="shared" si="64"/>
        <v>0</v>
      </c>
      <c r="J452" s="2" t="str">
        <f t="shared" si="65"/>
        <v>Y</v>
      </c>
      <c r="K452" s="2" t="str">
        <f t="shared" si="66"/>
        <v/>
      </c>
      <c r="L452" s="2" t="str">
        <f t="shared" si="67"/>
        <v/>
      </c>
    </row>
    <row r="453" spans="1:12">
      <c r="A453" s="9">
        <v>441</v>
      </c>
      <c r="B453" s="8">
        <v>701.98400000000004</v>
      </c>
      <c r="C453" s="8">
        <f t="shared" si="68"/>
        <v>0.25300000000004275</v>
      </c>
      <c r="D453" s="8">
        <f t="shared" si="61"/>
        <v>1.3215777815545913</v>
      </c>
      <c r="E453" s="8">
        <f t="shared" si="62"/>
        <v>1.0616604361005504</v>
      </c>
      <c r="F453" s="8">
        <f t="shared" si="69"/>
        <v>0</v>
      </c>
      <c r="G453" s="8">
        <f t="shared" si="70"/>
        <v>3.5254911485809703</v>
      </c>
      <c r="H453" s="8">
        <f t="shared" si="63"/>
        <v>1.0791218697829723</v>
      </c>
      <c r="I453" s="8">
        <f t="shared" si="64"/>
        <v>0</v>
      </c>
      <c r="J453" s="2" t="str">
        <f t="shared" si="65"/>
        <v>Y</v>
      </c>
      <c r="K453" s="2" t="str">
        <f t="shared" si="66"/>
        <v/>
      </c>
      <c r="L453" s="2" t="str">
        <f t="shared" si="67"/>
        <v/>
      </c>
    </row>
    <row r="454" spans="1:12">
      <c r="A454" s="9">
        <v>442</v>
      </c>
      <c r="B454" s="8">
        <v>700.93499999999995</v>
      </c>
      <c r="C454" s="8">
        <f t="shared" si="68"/>
        <v>1.0490000000000919</v>
      </c>
      <c r="D454" s="8">
        <f t="shared" si="61"/>
        <v>1.3215777815545913</v>
      </c>
      <c r="E454" s="8">
        <f t="shared" si="62"/>
        <v>1.0616604361005504</v>
      </c>
      <c r="F454" s="8">
        <f t="shared" si="69"/>
        <v>0</v>
      </c>
      <c r="G454" s="8">
        <f t="shared" si="70"/>
        <v>3.5254911485809703</v>
      </c>
      <c r="H454" s="8">
        <f t="shared" si="63"/>
        <v>1.0791218697829723</v>
      </c>
      <c r="I454" s="8">
        <f t="shared" si="64"/>
        <v>0</v>
      </c>
      <c r="J454" s="2" t="str">
        <f t="shared" si="65"/>
        <v>Y</v>
      </c>
      <c r="K454" s="2" t="str">
        <f t="shared" si="66"/>
        <v/>
      </c>
      <c r="L454" s="2" t="str">
        <f t="shared" si="67"/>
        <v/>
      </c>
    </row>
    <row r="455" spans="1:12">
      <c r="A455" s="9">
        <v>443</v>
      </c>
      <c r="B455" s="8">
        <v>701.55399999999997</v>
      </c>
      <c r="C455" s="8">
        <f t="shared" si="68"/>
        <v>0.61900000000002819</v>
      </c>
      <c r="D455" s="8">
        <f t="shared" si="61"/>
        <v>1.3215777815545913</v>
      </c>
      <c r="E455" s="8">
        <f t="shared" si="62"/>
        <v>1.0616604361005504</v>
      </c>
      <c r="F455" s="8">
        <f t="shared" si="69"/>
        <v>0</v>
      </c>
      <c r="G455" s="8">
        <f t="shared" si="70"/>
        <v>3.5254911485809703</v>
      </c>
      <c r="H455" s="8">
        <f t="shared" si="63"/>
        <v>1.0791218697829723</v>
      </c>
      <c r="I455" s="8">
        <f t="shared" si="64"/>
        <v>0</v>
      </c>
      <c r="J455" s="2" t="str">
        <f t="shared" si="65"/>
        <v>Y</v>
      </c>
      <c r="K455" s="2" t="str">
        <f t="shared" si="66"/>
        <v/>
      </c>
      <c r="L455" s="2" t="str">
        <f t="shared" si="67"/>
        <v/>
      </c>
    </row>
    <row r="456" spans="1:12">
      <c r="A456" s="9">
        <v>444</v>
      </c>
      <c r="B456" s="8">
        <v>701.85799999999995</v>
      </c>
      <c r="C456" s="8">
        <f t="shared" si="68"/>
        <v>0.30399999999997362</v>
      </c>
      <c r="D456" s="8">
        <f t="shared" si="61"/>
        <v>1.3215777815545913</v>
      </c>
      <c r="E456" s="8">
        <f t="shared" si="62"/>
        <v>1.0616604361005504</v>
      </c>
      <c r="F456" s="8">
        <f t="shared" si="69"/>
        <v>0</v>
      </c>
      <c r="G456" s="8">
        <f t="shared" si="70"/>
        <v>3.5254911485809703</v>
      </c>
      <c r="H456" s="8">
        <f t="shared" si="63"/>
        <v>1.0791218697829723</v>
      </c>
      <c r="I456" s="8">
        <f t="shared" si="64"/>
        <v>0</v>
      </c>
      <c r="J456" s="2" t="str">
        <f t="shared" si="65"/>
        <v>Y</v>
      </c>
      <c r="K456" s="2" t="str">
        <f t="shared" si="66"/>
        <v/>
      </c>
      <c r="L456" s="2" t="str">
        <f t="shared" si="67"/>
        <v/>
      </c>
    </row>
    <row r="457" spans="1:12">
      <c r="A457" s="9">
        <v>445</v>
      </c>
      <c r="B457" s="8">
        <v>701.85500000000002</v>
      </c>
      <c r="C457" s="8">
        <f t="shared" si="68"/>
        <v>2.9999999999290594E-3</v>
      </c>
      <c r="D457" s="8">
        <f t="shared" si="61"/>
        <v>1.3215777815545913</v>
      </c>
      <c r="E457" s="8">
        <f t="shared" si="62"/>
        <v>1.0616604361005504</v>
      </c>
      <c r="F457" s="8">
        <f t="shared" si="69"/>
        <v>0</v>
      </c>
      <c r="G457" s="8">
        <f t="shared" si="70"/>
        <v>3.5254911485809703</v>
      </c>
      <c r="H457" s="8">
        <f t="shared" si="63"/>
        <v>1.0791218697829723</v>
      </c>
      <c r="I457" s="8">
        <f t="shared" si="64"/>
        <v>0</v>
      </c>
      <c r="J457" s="2" t="str">
        <f t="shared" si="65"/>
        <v>Y</v>
      </c>
      <c r="K457" s="2" t="str">
        <f t="shared" si="66"/>
        <v/>
      </c>
      <c r="L457" s="2" t="str">
        <f t="shared" si="67"/>
        <v/>
      </c>
    </row>
    <row r="458" spans="1:12">
      <c r="A458" s="9">
        <v>446</v>
      </c>
      <c r="B458" s="8">
        <v>700.37699999999995</v>
      </c>
      <c r="C458" s="8">
        <f t="shared" si="68"/>
        <v>1.4780000000000655</v>
      </c>
      <c r="D458" s="8">
        <f t="shared" si="61"/>
        <v>1.3215777815545913</v>
      </c>
      <c r="E458" s="8">
        <f t="shared" si="62"/>
        <v>1.0616604361005504</v>
      </c>
      <c r="F458" s="8">
        <f t="shared" si="69"/>
        <v>0</v>
      </c>
      <c r="G458" s="8">
        <f t="shared" si="70"/>
        <v>3.5254911485809703</v>
      </c>
      <c r="H458" s="8">
        <f t="shared" si="63"/>
        <v>1.0791218697829723</v>
      </c>
      <c r="I458" s="8">
        <f t="shared" si="64"/>
        <v>0</v>
      </c>
      <c r="J458" s="2" t="str">
        <f t="shared" si="65"/>
        <v>Y</v>
      </c>
      <c r="K458" s="2" t="str">
        <f t="shared" si="66"/>
        <v/>
      </c>
      <c r="L458" s="2" t="str">
        <f t="shared" si="67"/>
        <v/>
      </c>
    </row>
    <row r="459" spans="1:12">
      <c r="A459" s="9">
        <v>447</v>
      </c>
      <c r="B459" s="8">
        <v>700.07399999999996</v>
      </c>
      <c r="C459" s="8">
        <f t="shared" si="68"/>
        <v>0.30299999999999727</v>
      </c>
      <c r="D459" s="8">
        <f t="shared" si="61"/>
        <v>1.3215777815545913</v>
      </c>
      <c r="E459" s="8">
        <f t="shared" si="62"/>
        <v>1.0616604361005504</v>
      </c>
      <c r="F459" s="8">
        <f t="shared" si="69"/>
        <v>0</v>
      </c>
      <c r="G459" s="8">
        <f t="shared" si="70"/>
        <v>3.5254911485809703</v>
      </c>
      <c r="H459" s="8">
        <f t="shared" si="63"/>
        <v>1.0791218697829723</v>
      </c>
      <c r="I459" s="8">
        <f t="shared" si="64"/>
        <v>0</v>
      </c>
      <c r="J459" s="2" t="str">
        <f t="shared" si="65"/>
        <v>Y</v>
      </c>
      <c r="K459" s="2" t="str">
        <f t="shared" si="66"/>
        <v/>
      </c>
      <c r="L459" s="2" t="str">
        <f t="shared" si="67"/>
        <v/>
      </c>
    </row>
    <row r="460" spans="1:12">
      <c r="A460" s="9">
        <v>448</v>
      </c>
      <c r="B460" s="8">
        <v>702.83199999999999</v>
      </c>
      <c r="C460" s="8">
        <f t="shared" si="68"/>
        <v>2.7580000000000382</v>
      </c>
      <c r="D460" s="8">
        <f t="shared" si="61"/>
        <v>1.3215777815545913</v>
      </c>
      <c r="E460" s="8">
        <f t="shared" si="62"/>
        <v>1.0616604361005504</v>
      </c>
      <c r="F460" s="8">
        <f t="shared" si="69"/>
        <v>0</v>
      </c>
      <c r="G460" s="8">
        <f t="shared" si="70"/>
        <v>3.5254911485809703</v>
      </c>
      <c r="H460" s="8">
        <f t="shared" si="63"/>
        <v>1.0791218697829723</v>
      </c>
      <c r="I460" s="8">
        <f t="shared" si="64"/>
        <v>0</v>
      </c>
      <c r="J460" s="2" t="str">
        <f t="shared" si="65"/>
        <v>Y</v>
      </c>
      <c r="K460" s="2" t="str">
        <f t="shared" si="66"/>
        <v/>
      </c>
      <c r="L460" s="2" t="str">
        <f t="shared" si="67"/>
        <v/>
      </c>
    </row>
    <row r="461" spans="1:12">
      <c r="A461" s="9">
        <v>449</v>
      </c>
      <c r="B461" s="8">
        <v>702.08799999999997</v>
      </c>
      <c r="C461" s="8">
        <f t="shared" si="68"/>
        <v>0.74400000000002819</v>
      </c>
      <c r="D461" s="8">
        <f t="shared" ref="D461:D524" si="71">$G$13</f>
        <v>1.3215777815545913</v>
      </c>
      <c r="E461" s="8">
        <f t="shared" ref="E461:E524" si="72">$G$14</f>
        <v>1.0616604361005504</v>
      </c>
      <c r="F461" s="8">
        <f t="shared" si="69"/>
        <v>0</v>
      </c>
      <c r="G461" s="8">
        <f t="shared" si="70"/>
        <v>3.5254911485809703</v>
      </c>
      <c r="H461" s="8">
        <f t="shared" ref="H461:H524" si="73">$G$17</f>
        <v>1.0791218697829723</v>
      </c>
      <c r="I461" s="8">
        <f t="shared" ref="I461:I524" si="74">$G$18</f>
        <v>0</v>
      </c>
      <c r="J461" s="2" t="str">
        <f t="shared" ref="J461:J524" si="75">IF(OR(B461&gt;D461,B461&lt;F461),"Y","")</f>
        <v>Y</v>
      </c>
      <c r="K461" s="2" t="str">
        <f t="shared" ref="K461:K524" si="76">IF(AND(C461&lt;&gt;"",C461&gt;G461),"Y","")</f>
        <v/>
      </c>
      <c r="L461" s="2" t="str">
        <f t="shared" ref="L461:L524" si="77">IF(OR(B461&lt;$B$5,B461&gt;$D$5),"Y","")</f>
        <v/>
      </c>
    </row>
    <row r="462" spans="1:12">
      <c r="A462" s="9">
        <v>450</v>
      </c>
      <c r="B462" s="8">
        <v>702.10599999999999</v>
      </c>
      <c r="C462" s="8">
        <f t="shared" ref="C462:C525" si="78">ABS(B462-B461)</f>
        <v>1.8000000000029104E-2</v>
      </c>
      <c r="D462" s="8">
        <f t="shared" si="71"/>
        <v>1.3215777815545913</v>
      </c>
      <c r="E462" s="8">
        <f t="shared" si="72"/>
        <v>1.0616604361005504</v>
      </c>
      <c r="F462" s="8">
        <f t="shared" si="69"/>
        <v>0</v>
      </c>
      <c r="G462" s="8">
        <f t="shared" si="70"/>
        <v>3.5254911485809703</v>
      </c>
      <c r="H462" s="8">
        <f t="shared" si="73"/>
        <v>1.0791218697829723</v>
      </c>
      <c r="I462" s="8">
        <f t="shared" si="74"/>
        <v>0</v>
      </c>
      <c r="J462" s="2" t="str">
        <f t="shared" si="75"/>
        <v>Y</v>
      </c>
      <c r="K462" s="2" t="str">
        <f t="shared" si="76"/>
        <v/>
      </c>
      <c r="L462" s="2" t="str">
        <f t="shared" si="77"/>
        <v/>
      </c>
    </row>
    <row r="463" spans="1:12">
      <c r="A463" s="9">
        <v>451</v>
      </c>
      <c r="B463" s="8">
        <v>702.62400000000002</v>
      </c>
      <c r="C463" s="8">
        <f t="shared" si="78"/>
        <v>0.5180000000000291</v>
      </c>
      <c r="D463" s="8">
        <f t="shared" si="71"/>
        <v>1.3215777815545913</v>
      </c>
      <c r="E463" s="8">
        <f t="shared" si="72"/>
        <v>1.0616604361005504</v>
      </c>
      <c r="F463" s="8">
        <f t="shared" si="69"/>
        <v>0</v>
      </c>
      <c r="G463" s="8">
        <f t="shared" si="70"/>
        <v>3.5254911485809703</v>
      </c>
      <c r="H463" s="8">
        <f t="shared" si="73"/>
        <v>1.0791218697829723</v>
      </c>
      <c r="I463" s="8">
        <f t="shared" si="74"/>
        <v>0</v>
      </c>
      <c r="J463" s="2" t="str">
        <f t="shared" si="75"/>
        <v>Y</v>
      </c>
      <c r="K463" s="2" t="str">
        <f t="shared" si="76"/>
        <v/>
      </c>
      <c r="L463" s="2" t="str">
        <f t="shared" si="77"/>
        <v/>
      </c>
    </row>
    <row r="464" spans="1:12">
      <c r="A464" s="9">
        <v>452</v>
      </c>
      <c r="B464" s="8">
        <v>701.745</v>
      </c>
      <c r="C464" s="8">
        <f t="shared" si="78"/>
        <v>0.8790000000000191</v>
      </c>
      <c r="D464" s="8">
        <f t="shared" si="71"/>
        <v>1.3215777815545913</v>
      </c>
      <c r="E464" s="8">
        <f t="shared" si="72"/>
        <v>1.0616604361005504</v>
      </c>
      <c r="F464" s="8">
        <f t="shared" ref="F464:F527" si="79">$G$15</f>
        <v>0</v>
      </c>
      <c r="G464" s="8">
        <f t="shared" si="70"/>
        <v>3.5254911485809703</v>
      </c>
      <c r="H464" s="8">
        <f t="shared" si="73"/>
        <v>1.0791218697829723</v>
      </c>
      <c r="I464" s="8">
        <f t="shared" si="74"/>
        <v>0</v>
      </c>
      <c r="J464" s="2" t="str">
        <f t="shared" si="75"/>
        <v>Y</v>
      </c>
      <c r="K464" s="2" t="str">
        <f t="shared" si="76"/>
        <v/>
      </c>
      <c r="L464" s="2" t="str">
        <f t="shared" si="77"/>
        <v/>
      </c>
    </row>
    <row r="465" spans="1:12">
      <c r="A465" s="9">
        <v>453</v>
      </c>
      <c r="B465" s="8">
        <v>700.73500000000001</v>
      </c>
      <c r="C465" s="8">
        <f t="shared" si="78"/>
        <v>1.0099999999999909</v>
      </c>
      <c r="D465" s="8">
        <f t="shared" si="71"/>
        <v>1.3215777815545913</v>
      </c>
      <c r="E465" s="8">
        <f t="shared" si="72"/>
        <v>1.0616604361005504</v>
      </c>
      <c r="F465" s="8">
        <f t="shared" si="79"/>
        <v>0</v>
      </c>
      <c r="G465" s="8">
        <f t="shared" si="70"/>
        <v>3.5254911485809703</v>
      </c>
      <c r="H465" s="8">
        <f t="shared" si="73"/>
        <v>1.0791218697829723</v>
      </c>
      <c r="I465" s="8">
        <f t="shared" si="74"/>
        <v>0</v>
      </c>
      <c r="J465" s="2" t="str">
        <f t="shared" si="75"/>
        <v>Y</v>
      </c>
      <c r="K465" s="2" t="str">
        <f t="shared" si="76"/>
        <v/>
      </c>
      <c r="L465" s="2" t="str">
        <f t="shared" si="77"/>
        <v/>
      </c>
    </row>
    <row r="466" spans="1:12">
      <c r="A466" s="9">
        <v>454</v>
      </c>
      <c r="B466" s="8">
        <v>700.78700000000003</v>
      </c>
      <c r="C466" s="8">
        <f t="shared" si="78"/>
        <v>5.2000000000020918E-2</v>
      </c>
      <c r="D466" s="8">
        <f t="shared" si="71"/>
        <v>1.3215777815545913</v>
      </c>
      <c r="E466" s="8">
        <f t="shared" si="72"/>
        <v>1.0616604361005504</v>
      </c>
      <c r="F466" s="8">
        <f t="shared" si="79"/>
        <v>0</v>
      </c>
      <c r="G466" s="8">
        <f t="shared" si="70"/>
        <v>3.5254911485809703</v>
      </c>
      <c r="H466" s="8">
        <f t="shared" si="73"/>
        <v>1.0791218697829723</v>
      </c>
      <c r="I466" s="8">
        <f t="shared" si="74"/>
        <v>0</v>
      </c>
      <c r="J466" s="2" t="str">
        <f t="shared" si="75"/>
        <v>Y</v>
      </c>
      <c r="K466" s="2" t="str">
        <f t="shared" si="76"/>
        <v/>
      </c>
      <c r="L466" s="2" t="str">
        <f t="shared" si="77"/>
        <v/>
      </c>
    </row>
    <row r="467" spans="1:12">
      <c r="A467" s="9">
        <v>455</v>
      </c>
      <c r="B467" s="8">
        <v>701.11500000000001</v>
      </c>
      <c r="C467" s="8">
        <f t="shared" si="78"/>
        <v>0.32799999999997453</v>
      </c>
      <c r="D467" s="8">
        <f t="shared" si="71"/>
        <v>1.3215777815545913</v>
      </c>
      <c r="E467" s="8">
        <f t="shared" si="72"/>
        <v>1.0616604361005504</v>
      </c>
      <c r="F467" s="8">
        <f t="shared" si="79"/>
        <v>0</v>
      </c>
      <c r="G467" s="8">
        <f t="shared" ref="G467:G530" si="80">$G$16</f>
        <v>3.5254911485809703</v>
      </c>
      <c r="H467" s="8">
        <f t="shared" si="73"/>
        <v>1.0791218697829723</v>
      </c>
      <c r="I467" s="8">
        <f t="shared" si="74"/>
        <v>0</v>
      </c>
      <c r="J467" s="2" t="str">
        <f t="shared" si="75"/>
        <v>Y</v>
      </c>
      <c r="K467" s="2" t="str">
        <f t="shared" si="76"/>
        <v/>
      </c>
      <c r="L467" s="2" t="str">
        <f t="shared" si="77"/>
        <v/>
      </c>
    </row>
    <row r="468" spans="1:12">
      <c r="A468" s="9">
        <v>456</v>
      </c>
      <c r="B468" s="8">
        <v>701.08</v>
      </c>
      <c r="C468" s="8">
        <f t="shared" si="78"/>
        <v>3.4999999999968168E-2</v>
      </c>
      <c r="D468" s="8">
        <f t="shared" si="71"/>
        <v>1.3215777815545913</v>
      </c>
      <c r="E468" s="8">
        <f t="shared" si="72"/>
        <v>1.0616604361005504</v>
      </c>
      <c r="F468" s="8">
        <f t="shared" si="79"/>
        <v>0</v>
      </c>
      <c r="G468" s="8">
        <f t="shared" si="80"/>
        <v>3.5254911485809703</v>
      </c>
      <c r="H468" s="8">
        <f t="shared" si="73"/>
        <v>1.0791218697829723</v>
      </c>
      <c r="I468" s="8">
        <f t="shared" si="74"/>
        <v>0</v>
      </c>
      <c r="J468" s="2" t="str">
        <f t="shared" si="75"/>
        <v>Y</v>
      </c>
      <c r="K468" s="2" t="str">
        <f t="shared" si="76"/>
        <v/>
      </c>
      <c r="L468" s="2" t="str">
        <f t="shared" si="77"/>
        <v/>
      </c>
    </row>
    <row r="469" spans="1:12">
      <c r="A469" s="9">
        <v>457</v>
      </c>
      <c r="B469" s="8">
        <v>701.524</v>
      </c>
      <c r="C469" s="8">
        <f t="shared" si="78"/>
        <v>0.44399999999995998</v>
      </c>
      <c r="D469" s="8">
        <f t="shared" si="71"/>
        <v>1.3215777815545913</v>
      </c>
      <c r="E469" s="8">
        <f t="shared" si="72"/>
        <v>1.0616604361005504</v>
      </c>
      <c r="F469" s="8">
        <f t="shared" si="79"/>
        <v>0</v>
      </c>
      <c r="G469" s="8">
        <f t="shared" si="80"/>
        <v>3.5254911485809703</v>
      </c>
      <c r="H469" s="8">
        <f t="shared" si="73"/>
        <v>1.0791218697829723</v>
      </c>
      <c r="I469" s="8">
        <f t="shared" si="74"/>
        <v>0</v>
      </c>
      <c r="J469" s="2" t="str">
        <f t="shared" si="75"/>
        <v>Y</v>
      </c>
      <c r="K469" s="2" t="str">
        <f t="shared" si="76"/>
        <v/>
      </c>
      <c r="L469" s="2" t="str">
        <f t="shared" si="77"/>
        <v/>
      </c>
    </row>
    <row r="470" spans="1:12">
      <c r="A470" s="9">
        <v>458</v>
      </c>
      <c r="B470" s="8">
        <v>700.46400000000006</v>
      </c>
      <c r="C470" s="8">
        <f t="shared" si="78"/>
        <v>1.0599999999999454</v>
      </c>
      <c r="D470" s="8">
        <f t="shared" si="71"/>
        <v>1.3215777815545913</v>
      </c>
      <c r="E470" s="8">
        <f t="shared" si="72"/>
        <v>1.0616604361005504</v>
      </c>
      <c r="F470" s="8">
        <f t="shared" si="79"/>
        <v>0</v>
      </c>
      <c r="G470" s="8">
        <f t="shared" si="80"/>
        <v>3.5254911485809703</v>
      </c>
      <c r="H470" s="8">
        <f t="shared" si="73"/>
        <v>1.0791218697829723</v>
      </c>
      <c r="I470" s="8">
        <f t="shared" si="74"/>
        <v>0</v>
      </c>
      <c r="J470" s="2" t="str">
        <f t="shared" si="75"/>
        <v>Y</v>
      </c>
      <c r="K470" s="2" t="str">
        <f t="shared" si="76"/>
        <v/>
      </c>
      <c r="L470" s="2" t="str">
        <f t="shared" si="77"/>
        <v/>
      </c>
    </row>
    <row r="471" spans="1:12">
      <c r="A471" s="9">
        <v>459</v>
      </c>
      <c r="B471" s="8">
        <v>700.80899999999997</v>
      </c>
      <c r="C471" s="8">
        <f t="shared" si="78"/>
        <v>0.3449999999999136</v>
      </c>
      <c r="D471" s="8">
        <f t="shared" si="71"/>
        <v>1.3215777815545913</v>
      </c>
      <c r="E471" s="8">
        <f t="shared" si="72"/>
        <v>1.0616604361005504</v>
      </c>
      <c r="F471" s="8">
        <f t="shared" si="79"/>
        <v>0</v>
      </c>
      <c r="G471" s="8">
        <f t="shared" si="80"/>
        <v>3.5254911485809703</v>
      </c>
      <c r="H471" s="8">
        <f t="shared" si="73"/>
        <v>1.0791218697829723</v>
      </c>
      <c r="I471" s="8">
        <f t="shared" si="74"/>
        <v>0</v>
      </c>
      <c r="J471" s="2" t="str">
        <f t="shared" si="75"/>
        <v>Y</v>
      </c>
      <c r="K471" s="2" t="str">
        <f t="shared" si="76"/>
        <v/>
      </c>
      <c r="L471" s="2" t="str">
        <f t="shared" si="77"/>
        <v/>
      </c>
    </row>
    <row r="472" spans="1:12">
      <c r="A472" s="9">
        <v>460</v>
      </c>
      <c r="B472" s="8">
        <v>700.86699999999996</v>
      </c>
      <c r="C472" s="8">
        <f t="shared" si="78"/>
        <v>5.7999999999992724E-2</v>
      </c>
      <c r="D472" s="8">
        <f t="shared" si="71"/>
        <v>1.3215777815545913</v>
      </c>
      <c r="E472" s="8">
        <f t="shared" si="72"/>
        <v>1.0616604361005504</v>
      </c>
      <c r="F472" s="8">
        <f t="shared" si="79"/>
        <v>0</v>
      </c>
      <c r="G472" s="8">
        <f t="shared" si="80"/>
        <v>3.5254911485809703</v>
      </c>
      <c r="H472" s="8">
        <f t="shared" si="73"/>
        <v>1.0791218697829723</v>
      </c>
      <c r="I472" s="8">
        <f t="shared" si="74"/>
        <v>0</v>
      </c>
      <c r="J472" s="2" t="str">
        <f t="shared" si="75"/>
        <v>Y</v>
      </c>
      <c r="K472" s="2" t="str">
        <f t="shared" si="76"/>
        <v/>
      </c>
      <c r="L472" s="2" t="str">
        <f t="shared" si="77"/>
        <v/>
      </c>
    </row>
    <row r="473" spans="1:12">
      <c r="A473" s="9">
        <v>461</v>
      </c>
      <c r="B473" s="8">
        <v>702.38599999999997</v>
      </c>
      <c r="C473" s="8">
        <f t="shared" si="78"/>
        <v>1.5190000000000055</v>
      </c>
      <c r="D473" s="8">
        <f t="shared" si="71"/>
        <v>1.3215777815545913</v>
      </c>
      <c r="E473" s="8">
        <f t="shared" si="72"/>
        <v>1.0616604361005504</v>
      </c>
      <c r="F473" s="8">
        <f t="shared" si="79"/>
        <v>0</v>
      </c>
      <c r="G473" s="8">
        <f t="shared" si="80"/>
        <v>3.5254911485809703</v>
      </c>
      <c r="H473" s="8">
        <f t="shared" si="73"/>
        <v>1.0791218697829723</v>
      </c>
      <c r="I473" s="8">
        <f t="shared" si="74"/>
        <v>0</v>
      </c>
      <c r="J473" s="2" t="str">
        <f t="shared" si="75"/>
        <v>Y</v>
      </c>
      <c r="K473" s="2" t="str">
        <f t="shared" si="76"/>
        <v/>
      </c>
      <c r="L473" s="2" t="str">
        <f t="shared" si="77"/>
        <v/>
      </c>
    </row>
    <row r="474" spans="1:12">
      <c r="A474" s="9">
        <v>462</v>
      </c>
      <c r="B474" s="8">
        <v>700.68499999999995</v>
      </c>
      <c r="C474" s="8">
        <f t="shared" si="78"/>
        <v>1.7010000000000218</v>
      </c>
      <c r="D474" s="8">
        <f t="shared" si="71"/>
        <v>1.3215777815545913</v>
      </c>
      <c r="E474" s="8">
        <f t="shared" si="72"/>
        <v>1.0616604361005504</v>
      </c>
      <c r="F474" s="8">
        <f t="shared" si="79"/>
        <v>0</v>
      </c>
      <c r="G474" s="8">
        <f t="shared" si="80"/>
        <v>3.5254911485809703</v>
      </c>
      <c r="H474" s="8">
        <f t="shared" si="73"/>
        <v>1.0791218697829723</v>
      </c>
      <c r="I474" s="8">
        <f t="shared" si="74"/>
        <v>0</v>
      </c>
      <c r="J474" s="2" t="str">
        <f t="shared" si="75"/>
        <v>Y</v>
      </c>
      <c r="K474" s="2" t="str">
        <f t="shared" si="76"/>
        <v/>
      </c>
      <c r="L474" s="2" t="str">
        <f t="shared" si="77"/>
        <v/>
      </c>
    </row>
    <row r="475" spans="1:12">
      <c r="A475" s="9">
        <v>463</v>
      </c>
      <c r="B475" s="8">
        <v>700.70699999999999</v>
      </c>
      <c r="C475" s="8">
        <f t="shared" si="78"/>
        <v>2.2000000000048203E-2</v>
      </c>
      <c r="D475" s="8">
        <f t="shared" si="71"/>
        <v>1.3215777815545913</v>
      </c>
      <c r="E475" s="8">
        <f t="shared" si="72"/>
        <v>1.0616604361005504</v>
      </c>
      <c r="F475" s="8">
        <f t="shared" si="79"/>
        <v>0</v>
      </c>
      <c r="G475" s="8">
        <f t="shared" si="80"/>
        <v>3.5254911485809703</v>
      </c>
      <c r="H475" s="8">
        <f t="shared" si="73"/>
        <v>1.0791218697829723</v>
      </c>
      <c r="I475" s="8">
        <f t="shared" si="74"/>
        <v>0</v>
      </c>
      <c r="J475" s="2" t="str">
        <f t="shared" si="75"/>
        <v>Y</v>
      </c>
      <c r="K475" s="2" t="str">
        <f t="shared" si="76"/>
        <v/>
      </c>
      <c r="L475" s="2" t="str">
        <f t="shared" si="77"/>
        <v/>
      </c>
    </row>
    <row r="476" spans="1:12">
      <c r="A476" s="9">
        <v>464</v>
      </c>
      <c r="B476" s="8">
        <v>702.14800000000002</v>
      </c>
      <c r="C476" s="8">
        <f t="shared" si="78"/>
        <v>1.4410000000000309</v>
      </c>
      <c r="D476" s="8">
        <f t="shared" si="71"/>
        <v>1.3215777815545913</v>
      </c>
      <c r="E476" s="8">
        <f t="shared" si="72"/>
        <v>1.0616604361005504</v>
      </c>
      <c r="F476" s="8">
        <f t="shared" si="79"/>
        <v>0</v>
      </c>
      <c r="G476" s="8">
        <f t="shared" si="80"/>
        <v>3.5254911485809703</v>
      </c>
      <c r="H476" s="8">
        <f t="shared" si="73"/>
        <v>1.0791218697829723</v>
      </c>
      <c r="I476" s="8">
        <f t="shared" si="74"/>
        <v>0</v>
      </c>
      <c r="J476" s="2" t="str">
        <f t="shared" si="75"/>
        <v>Y</v>
      </c>
      <c r="K476" s="2" t="str">
        <f t="shared" si="76"/>
        <v/>
      </c>
      <c r="L476" s="2" t="str">
        <f t="shared" si="77"/>
        <v/>
      </c>
    </row>
    <row r="477" spans="1:12">
      <c r="A477" s="9">
        <v>465</v>
      </c>
      <c r="B477" s="8">
        <v>699.29700000000003</v>
      </c>
      <c r="C477" s="8">
        <f t="shared" si="78"/>
        <v>2.8509999999999991</v>
      </c>
      <c r="D477" s="8">
        <f t="shared" si="71"/>
        <v>1.3215777815545913</v>
      </c>
      <c r="E477" s="8">
        <f t="shared" si="72"/>
        <v>1.0616604361005504</v>
      </c>
      <c r="F477" s="8">
        <f t="shared" si="79"/>
        <v>0</v>
      </c>
      <c r="G477" s="8">
        <f t="shared" si="80"/>
        <v>3.5254911485809703</v>
      </c>
      <c r="H477" s="8">
        <f t="shared" si="73"/>
        <v>1.0791218697829723</v>
      </c>
      <c r="I477" s="8">
        <f t="shared" si="74"/>
        <v>0</v>
      </c>
      <c r="J477" s="2" t="str">
        <f t="shared" si="75"/>
        <v>Y</v>
      </c>
      <c r="K477" s="2" t="str">
        <f t="shared" si="76"/>
        <v/>
      </c>
      <c r="L477" s="2" t="str">
        <f t="shared" si="77"/>
        <v/>
      </c>
    </row>
    <row r="478" spans="1:12">
      <c r="A478" s="9">
        <v>466</v>
      </c>
      <c r="B478" s="8">
        <v>699.89499999999998</v>
      </c>
      <c r="C478" s="8">
        <f t="shared" si="78"/>
        <v>0.59799999999995634</v>
      </c>
      <c r="D478" s="8">
        <f t="shared" si="71"/>
        <v>1.3215777815545913</v>
      </c>
      <c r="E478" s="8">
        <f t="shared" si="72"/>
        <v>1.0616604361005504</v>
      </c>
      <c r="F478" s="8">
        <f t="shared" si="79"/>
        <v>0</v>
      </c>
      <c r="G478" s="8">
        <f t="shared" si="80"/>
        <v>3.5254911485809703</v>
      </c>
      <c r="H478" s="8">
        <f t="shared" si="73"/>
        <v>1.0791218697829723</v>
      </c>
      <c r="I478" s="8">
        <f t="shared" si="74"/>
        <v>0</v>
      </c>
      <c r="J478" s="2" t="str">
        <f t="shared" si="75"/>
        <v>Y</v>
      </c>
      <c r="K478" s="2" t="str">
        <f t="shared" si="76"/>
        <v/>
      </c>
      <c r="L478" s="2" t="str">
        <f t="shared" si="77"/>
        <v/>
      </c>
    </row>
    <row r="479" spans="1:12">
      <c r="A479" s="9">
        <v>467</v>
      </c>
      <c r="B479" s="8">
        <v>700.52300000000002</v>
      </c>
      <c r="C479" s="8">
        <f t="shared" si="78"/>
        <v>0.62800000000004275</v>
      </c>
      <c r="D479" s="8">
        <f t="shared" si="71"/>
        <v>1.3215777815545913</v>
      </c>
      <c r="E479" s="8">
        <f t="shared" si="72"/>
        <v>1.0616604361005504</v>
      </c>
      <c r="F479" s="8">
        <f t="shared" si="79"/>
        <v>0</v>
      </c>
      <c r="G479" s="8">
        <f t="shared" si="80"/>
        <v>3.5254911485809703</v>
      </c>
      <c r="H479" s="8">
        <f t="shared" si="73"/>
        <v>1.0791218697829723</v>
      </c>
      <c r="I479" s="8">
        <f t="shared" si="74"/>
        <v>0</v>
      </c>
      <c r="J479" s="2" t="str">
        <f t="shared" si="75"/>
        <v>Y</v>
      </c>
      <c r="K479" s="2" t="str">
        <f t="shared" si="76"/>
        <v/>
      </c>
      <c r="L479" s="2" t="str">
        <f t="shared" si="77"/>
        <v/>
      </c>
    </row>
    <row r="480" spans="1:12">
      <c r="A480" s="9">
        <v>468</v>
      </c>
      <c r="B480" s="8">
        <v>700.20699999999999</v>
      </c>
      <c r="C480" s="8">
        <f t="shared" si="78"/>
        <v>0.31600000000003092</v>
      </c>
      <c r="D480" s="8">
        <f t="shared" si="71"/>
        <v>1.3215777815545913</v>
      </c>
      <c r="E480" s="8">
        <f t="shared" si="72"/>
        <v>1.0616604361005504</v>
      </c>
      <c r="F480" s="8">
        <f t="shared" si="79"/>
        <v>0</v>
      </c>
      <c r="G480" s="8">
        <f t="shared" si="80"/>
        <v>3.5254911485809703</v>
      </c>
      <c r="H480" s="8">
        <f t="shared" si="73"/>
        <v>1.0791218697829723</v>
      </c>
      <c r="I480" s="8">
        <f t="shared" si="74"/>
        <v>0</v>
      </c>
      <c r="J480" s="2" t="str">
        <f t="shared" si="75"/>
        <v>Y</v>
      </c>
      <c r="K480" s="2" t="str">
        <f t="shared" si="76"/>
        <v/>
      </c>
      <c r="L480" s="2" t="str">
        <f t="shared" si="77"/>
        <v/>
      </c>
    </row>
    <row r="481" spans="1:12">
      <c r="A481" s="9">
        <v>469</v>
      </c>
      <c r="B481" s="8">
        <v>700.51700000000005</v>
      </c>
      <c r="C481" s="8">
        <f t="shared" si="78"/>
        <v>0.31000000000005912</v>
      </c>
      <c r="D481" s="8">
        <f t="shared" si="71"/>
        <v>1.3215777815545913</v>
      </c>
      <c r="E481" s="8">
        <f t="shared" si="72"/>
        <v>1.0616604361005504</v>
      </c>
      <c r="F481" s="8">
        <f t="shared" si="79"/>
        <v>0</v>
      </c>
      <c r="G481" s="8">
        <f t="shared" si="80"/>
        <v>3.5254911485809703</v>
      </c>
      <c r="H481" s="8">
        <f t="shared" si="73"/>
        <v>1.0791218697829723</v>
      </c>
      <c r="I481" s="8">
        <f t="shared" si="74"/>
        <v>0</v>
      </c>
      <c r="J481" s="2" t="str">
        <f t="shared" si="75"/>
        <v>Y</v>
      </c>
      <c r="K481" s="2" t="str">
        <f t="shared" si="76"/>
        <v/>
      </c>
      <c r="L481" s="2" t="str">
        <f t="shared" si="77"/>
        <v/>
      </c>
    </row>
    <row r="482" spans="1:12">
      <c r="A482" s="9">
        <v>470</v>
      </c>
      <c r="B482" s="8">
        <v>701.1</v>
      </c>
      <c r="C482" s="8">
        <f t="shared" si="78"/>
        <v>0.58299999999996999</v>
      </c>
      <c r="D482" s="8">
        <f t="shared" si="71"/>
        <v>1.3215777815545913</v>
      </c>
      <c r="E482" s="8">
        <f t="shared" si="72"/>
        <v>1.0616604361005504</v>
      </c>
      <c r="F482" s="8">
        <f t="shared" si="79"/>
        <v>0</v>
      </c>
      <c r="G482" s="8">
        <f t="shared" si="80"/>
        <v>3.5254911485809703</v>
      </c>
      <c r="H482" s="8">
        <f t="shared" si="73"/>
        <v>1.0791218697829723</v>
      </c>
      <c r="I482" s="8">
        <f t="shared" si="74"/>
        <v>0</v>
      </c>
      <c r="J482" s="2" t="str">
        <f t="shared" si="75"/>
        <v>Y</v>
      </c>
      <c r="K482" s="2" t="str">
        <f t="shared" si="76"/>
        <v/>
      </c>
      <c r="L482" s="2" t="str">
        <f t="shared" si="77"/>
        <v/>
      </c>
    </row>
    <row r="483" spans="1:12">
      <c r="A483" s="9">
        <v>471</v>
      </c>
      <c r="B483" s="8">
        <v>701.50099999999998</v>
      </c>
      <c r="C483" s="8">
        <f t="shared" si="78"/>
        <v>0.40099999999995362</v>
      </c>
      <c r="D483" s="8">
        <f t="shared" si="71"/>
        <v>1.3215777815545913</v>
      </c>
      <c r="E483" s="8">
        <f t="shared" si="72"/>
        <v>1.0616604361005504</v>
      </c>
      <c r="F483" s="8">
        <f t="shared" si="79"/>
        <v>0</v>
      </c>
      <c r="G483" s="8">
        <f t="shared" si="80"/>
        <v>3.5254911485809703</v>
      </c>
      <c r="H483" s="8">
        <f t="shared" si="73"/>
        <v>1.0791218697829723</v>
      </c>
      <c r="I483" s="8">
        <f t="shared" si="74"/>
        <v>0</v>
      </c>
      <c r="J483" s="2" t="str">
        <f t="shared" si="75"/>
        <v>Y</v>
      </c>
      <c r="K483" s="2" t="str">
        <f t="shared" si="76"/>
        <v/>
      </c>
      <c r="L483" s="2" t="str">
        <f t="shared" si="77"/>
        <v/>
      </c>
    </row>
    <row r="484" spans="1:12">
      <c r="A484" s="9">
        <v>472</v>
      </c>
      <c r="B484" s="8">
        <v>701.399</v>
      </c>
      <c r="C484" s="8">
        <f t="shared" si="78"/>
        <v>0.10199999999997544</v>
      </c>
      <c r="D484" s="8">
        <f t="shared" si="71"/>
        <v>1.3215777815545913</v>
      </c>
      <c r="E484" s="8">
        <f t="shared" si="72"/>
        <v>1.0616604361005504</v>
      </c>
      <c r="F484" s="8">
        <f t="shared" si="79"/>
        <v>0</v>
      </c>
      <c r="G484" s="8">
        <f t="shared" si="80"/>
        <v>3.5254911485809703</v>
      </c>
      <c r="H484" s="8">
        <f t="shared" si="73"/>
        <v>1.0791218697829723</v>
      </c>
      <c r="I484" s="8">
        <f t="shared" si="74"/>
        <v>0</v>
      </c>
      <c r="J484" s="2" t="str">
        <f t="shared" si="75"/>
        <v>Y</v>
      </c>
      <c r="K484" s="2" t="str">
        <f t="shared" si="76"/>
        <v/>
      </c>
      <c r="L484" s="2" t="str">
        <f t="shared" si="77"/>
        <v/>
      </c>
    </row>
    <row r="485" spans="1:12">
      <c r="A485" s="9">
        <v>473</v>
      </c>
      <c r="B485" s="8">
        <v>701.68700000000001</v>
      </c>
      <c r="C485" s="8">
        <f t="shared" si="78"/>
        <v>0.28800000000001091</v>
      </c>
      <c r="D485" s="8">
        <f t="shared" si="71"/>
        <v>1.3215777815545913</v>
      </c>
      <c r="E485" s="8">
        <f t="shared" si="72"/>
        <v>1.0616604361005504</v>
      </c>
      <c r="F485" s="8">
        <f t="shared" si="79"/>
        <v>0</v>
      </c>
      <c r="G485" s="8">
        <f t="shared" si="80"/>
        <v>3.5254911485809703</v>
      </c>
      <c r="H485" s="8">
        <f t="shared" si="73"/>
        <v>1.0791218697829723</v>
      </c>
      <c r="I485" s="8">
        <f t="shared" si="74"/>
        <v>0</v>
      </c>
      <c r="J485" s="2" t="str">
        <f t="shared" si="75"/>
        <v>Y</v>
      </c>
      <c r="K485" s="2" t="str">
        <f t="shared" si="76"/>
        <v/>
      </c>
      <c r="L485" s="2" t="str">
        <f t="shared" si="77"/>
        <v/>
      </c>
    </row>
    <row r="486" spans="1:12">
      <c r="A486" s="9">
        <v>474</v>
      </c>
      <c r="B486" s="8">
        <v>701.56200000000001</v>
      </c>
      <c r="C486" s="8">
        <f t="shared" si="78"/>
        <v>0.125</v>
      </c>
      <c r="D486" s="8">
        <f t="shared" si="71"/>
        <v>1.3215777815545913</v>
      </c>
      <c r="E486" s="8">
        <f t="shared" si="72"/>
        <v>1.0616604361005504</v>
      </c>
      <c r="F486" s="8">
        <f t="shared" si="79"/>
        <v>0</v>
      </c>
      <c r="G486" s="8">
        <f t="shared" si="80"/>
        <v>3.5254911485809703</v>
      </c>
      <c r="H486" s="8">
        <f t="shared" si="73"/>
        <v>1.0791218697829723</v>
      </c>
      <c r="I486" s="8">
        <f t="shared" si="74"/>
        <v>0</v>
      </c>
      <c r="J486" s="2" t="str">
        <f t="shared" si="75"/>
        <v>Y</v>
      </c>
      <c r="K486" s="2" t="str">
        <f t="shared" si="76"/>
        <v/>
      </c>
      <c r="L486" s="2" t="str">
        <f t="shared" si="77"/>
        <v/>
      </c>
    </row>
    <row r="487" spans="1:12">
      <c r="A487" s="9">
        <v>475</v>
      </c>
      <c r="B487" s="8">
        <v>702.375</v>
      </c>
      <c r="C487" s="8">
        <f t="shared" si="78"/>
        <v>0.81299999999998818</v>
      </c>
      <c r="D487" s="8">
        <f t="shared" si="71"/>
        <v>1.3215777815545913</v>
      </c>
      <c r="E487" s="8">
        <f t="shared" si="72"/>
        <v>1.0616604361005504</v>
      </c>
      <c r="F487" s="8">
        <f t="shared" si="79"/>
        <v>0</v>
      </c>
      <c r="G487" s="8">
        <f t="shared" si="80"/>
        <v>3.5254911485809703</v>
      </c>
      <c r="H487" s="8">
        <f t="shared" si="73"/>
        <v>1.0791218697829723</v>
      </c>
      <c r="I487" s="8">
        <f t="shared" si="74"/>
        <v>0</v>
      </c>
      <c r="J487" s="2" t="str">
        <f t="shared" si="75"/>
        <v>Y</v>
      </c>
      <c r="K487" s="2" t="str">
        <f t="shared" si="76"/>
        <v/>
      </c>
      <c r="L487" s="2" t="str">
        <f t="shared" si="77"/>
        <v/>
      </c>
    </row>
    <row r="488" spans="1:12">
      <c r="A488" s="9">
        <v>476</v>
      </c>
      <c r="B488" s="8">
        <v>701.73099999999999</v>
      </c>
      <c r="C488" s="8">
        <f t="shared" si="78"/>
        <v>0.64400000000000546</v>
      </c>
      <c r="D488" s="8">
        <f t="shared" si="71"/>
        <v>1.3215777815545913</v>
      </c>
      <c r="E488" s="8">
        <f t="shared" si="72"/>
        <v>1.0616604361005504</v>
      </c>
      <c r="F488" s="8">
        <f t="shared" si="79"/>
        <v>0</v>
      </c>
      <c r="G488" s="8">
        <f t="shared" si="80"/>
        <v>3.5254911485809703</v>
      </c>
      <c r="H488" s="8">
        <f t="shared" si="73"/>
        <v>1.0791218697829723</v>
      </c>
      <c r="I488" s="8">
        <f t="shared" si="74"/>
        <v>0</v>
      </c>
      <c r="J488" s="2" t="str">
        <f t="shared" si="75"/>
        <v>Y</v>
      </c>
      <c r="K488" s="2" t="str">
        <f t="shared" si="76"/>
        <v/>
      </c>
      <c r="L488" s="2" t="str">
        <f t="shared" si="77"/>
        <v/>
      </c>
    </row>
    <row r="489" spans="1:12">
      <c r="A489" s="9">
        <v>477</v>
      </c>
      <c r="B489" s="8">
        <v>701.971</v>
      </c>
      <c r="C489" s="8">
        <f t="shared" si="78"/>
        <v>0.24000000000000909</v>
      </c>
      <c r="D489" s="8">
        <f t="shared" si="71"/>
        <v>1.3215777815545913</v>
      </c>
      <c r="E489" s="8">
        <f t="shared" si="72"/>
        <v>1.0616604361005504</v>
      </c>
      <c r="F489" s="8">
        <f t="shared" si="79"/>
        <v>0</v>
      </c>
      <c r="G489" s="8">
        <f t="shared" si="80"/>
        <v>3.5254911485809703</v>
      </c>
      <c r="H489" s="8">
        <f t="shared" si="73"/>
        <v>1.0791218697829723</v>
      </c>
      <c r="I489" s="8">
        <f t="shared" si="74"/>
        <v>0</v>
      </c>
      <c r="J489" s="2" t="str">
        <f t="shared" si="75"/>
        <v>Y</v>
      </c>
      <c r="K489" s="2" t="str">
        <f t="shared" si="76"/>
        <v/>
      </c>
      <c r="L489" s="2" t="str">
        <f t="shared" si="77"/>
        <v/>
      </c>
    </row>
    <row r="490" spans="1:12">
      <c r="A490" s="9">
        <v>478</v>
      </c>
      <c r="B490" s="8">
        <v>699.79300000000001</v>
      </c>
      <c r="C490" s="8">
        <f t="shared" si="78"/>
        <v>2.1779999999999973</v>
      </c>
      <c r="D490" s="8">
        <f t="shared" si="71"/>
        <v>1.3215777815545913</v>
      </c>
      <c r="E490" s="8">
        <f t="shared" si="72"/>
        <v>1.0616604361005504</v>
      </c>
      <c r="F490" s="8">
        <f t="shared" si="79"/>
        <v>0</v>
      </c>
      <c r="G490" s="8">
        <f t="shared" si="80"/>
        <v>3.5254911485809703</v>
      </c>
      <c r="H490" s="8">
        <f t="shared" si="73"/>
        <v>1.0791218697829723</v>
      </c>
      <c r="I490" s="8">
        <f t="shared" si="74"/>
        <v>0</v>
      </c>
      <c r="J490" s="2" t="str">
        <f t="shared" si="75"/>
        <v>Y</v>
      </c>
      <c r="K490" s="2" t="str">
        <f t="shared" si="76"/>
        <v/>
      </c>
      <c r="L490" s="2" t="str">
        <f t="shared" si="77"/>
        <v/>
      </c>
    </row>
    <row r="491" spans="1:12">
      <c r="A491" s="9">
        <v>479</v>
      </c>
      <c r="B491" s="8">
        <v>702.57899999999995</v>
      </c>
      <c r="C491" s="8">
        <f t="shared" si="78"/>
        <v>2.7859999999999445</v>
      </c>
      <c r="D491" s="8">
        <f t="shared" si="71"/>
        <v>1.3215777815545913</v>
      </c>
      <c r="E491" s="8">
        <f t="shared" si="72"/>
        <v>1.0616604361005504</v>
      </c>
      <c r="F491" s="8">
        <f t="shared" si="79"/>
        <v>0</v>
      </c>
      <c r="G491" s="8">
        <f t="shared" si="80"/>
        <v>3.5254911485809703</v>
      </c>
      <c r="H491" s="8">
        <f t="shared" si="73"/>
        <v>1.0791218697829723</v>
      </c>
      <c r="I491" s="8">
        <f t="shared" si="74"/>
        <v>0</v>
      </c>
      <c r="J491" s="2" t="str">
        <f t="shared" si="75"/>
        <v>Y</v>
      </c>
      <c r="K491" s="2" t="str">
        <f t="shared" si="76"/>
        <v/>
      </c>
      <c r="L491" s="2" t="str">
        <f t="shared" si="77"/>
        <v/>
      </c>
    </row>
    <row r="492" spans="1:12">
      <c r="A492" s="9">
        <v>480</v>
      </c>
      <c r="B492" s="8">
        <v>702.35299999999995</v>
      </c>
      <c r="C492" s="8">
        <f t="shared" si="78"/>
        <v>0.22599999999999909</v>
      </c>
      <c r="D492" s="8">
        <f t="shared" si="71"/>
        <v>1.3215777815545913</v>
      </c>
      <c r="E492" s="8">
        <f t="shared" si="72"/>
        <v>1.0616604361005504</v>
      </c>
      <c r="F492" s="8">
        <f t="shared" si="79"/>
        <v>0</v>
      </c>
      <c r="G492" s="8">
        <f t="shared" si="80"/>
        <v>3.5254911485809703</v>
      </c>
      <c r="H492" s="8">
        <f t="shared" si="73"/>
        <v>1.0791218697829723</v>
      </c>
      <c r="I492" s="8">
        <f t="shared" si="74"/>
        <v>0</v>
      </c>
      <c r="J492" s="2" t="str">
        <f t="shared" si="75"/>
        <v>Y</v>
      </c>
      <c r="K492" s="2" t="str">
        <f t="shared" si="76"/>
        <v/>
      </c>
      <c r="L492" s="2" t="str">
        <f t="shared" si="77"/>
        <v/>
      </c>
    </row>
    <row r="493" spans="1:12">
      <c r="A493" s="9">
        <v>481</v>
      </c>
      <c r="B493" s="8">
        <v>701.99099999999999</v>
      </c>
      <c r="C493" s="8">
        <f t="shared" si="78"/>
        <v>0.36199999999996635</v>
      </c>
      <c r="D493" s="8">
        <f t="shared" si="71"/>
        <v>1.3215777815545913</v>
      </c>
      <c r="E493" s="8">
        <f t="shared" si="72"/>
        <v>1.0616604361005504</v>
      </c>
      <c r="F493" s="8">
        <f t="shared" si="79"/>
        <v>0</v>
      </c>
      <c r="G493" s="8">
        <f t="shared" si="80"/>
        <v>3.5254911485809703</v>
      </c>
      <c r="H493" s="8">
        <f t="shared" si="73"/>
        <v>1.0791218697829723</v>
      </c>
      <c r="I493" s="8">
        <f t="shared" si="74"/>
        <v>0</v>
      </c>
      <c r="J493" s="2" t="str">
        <f t="shared" si="75"/>
        <v>Y</v>
      </c>
      <c r="K493" s="2" t="str">
        <f t="shared" si="76"/>
        <v/>
      </c>
      <c r="L493" s="2" t="str">
        <f t="shared" si="77"/>
        <v/>
      </c>
    </row>
    <row r="494" spans="1:12">
      <c r="A494" s="9">
        <v>482</v>
      </c>
      <c r="B494" s="8">
        <v>703.23299999999995</v>
      </c>
      <c r="C494" s="8">
        <f t="shared" si="78"/>
        <v>1.2419999999999618</v>
      </c>
      <c r="D494" s="8">
        <f t="shared" si="71"/>
        <v>1.3215777815545913</v>
      </c>
      <c r="E494" s="8">
        <f t="shared" si="72"/>
        <v>1.0616604361005504</v>
      </c>
      <c r="F494" s="8">
        <f t="shared" si="79"/>
        <v>0</v>
      </c>
      <c r="G494" s="8">
        <f t="shared" si="80"/>
        <v>3.5254911485809703</v>
      </c>
      <c r="H494" s="8">
        <f t="shared" si="73"/>
        <v>1.0791218697829723</v>
      </c>
      <c r="I494" s="8">
        <f t="shared" si="74"/>
        <v>0</v>
      </c>
      <c r="J494" s="2" t="str">
        <f t="shared" si="75"/>
        <v>Y</v>
      </c>
      <c r="K494" s="2" t="str">
        <f t="shared" si="76"/>
        <v/>
      </c>
      <c r="L494" s="2" t="str">
        <f t="shared" si="77"/>
        <v/>
      </c>
    </row>
    <row r="495" spans="1:12">
      <c r="A495" s="9">
        <v>483</v>
      </c>
      <c r="B495" s="8">
        <v>702.14499999999998</v>
      </c>
      <c r="C495" s="8">
        <f t="shared" si="78"/>
        <v>1.0879999999999654</v>
      </c>
      <c r="D495" s="8">
        <f t="shared" si="71"/>
        <v>1.3215777815545913</v>
      </c>
      <c r="E495" s="8">
        <f t="shared" si="72"/>
        <v>1.0616604361005504</v>
      </c>
      <c r="F495" s="8">
        <f t="shared" si="79"/>
        <v>0</v>
      </c>
      <c r="G495" s="8">
        <f t="shared" si="80"/>
        <v>3.5254911485809703</v>
      </c>
      <c r="H495" s="8">
        <f t="shared" si="73"/>
        <v>1.0791218697829723</v>
      </c>
      <c r="I495" s="8">
        <f t="shared" si="74"/>
        <v>0</v>
      </c>
      <c r="J495" s="2" t="str">
        <f t="shared" si="75"/>
        <v>Y</v>
      </c>
      <c r="K495" s="2" t="str">
        <f t="shared" si="76"/>
        <v/>
      </c>
      <c r="L495" s="2" t="str">
        <f t="shared" si="77"/>
        <v/>
      </c>
    </row>
    <row r="496" spans="1:12">
      <c r="A496" s="9">
        <v>484</v>
      </c>
      <c r="B496" s="8">
        <v>700.81700000000001</v>
      </c>
      <c r="C496" s="8">
        <f t="shared" si="78"/>
        <v>1.3279999999999745</v>
      </c>
      <c r="D496" s="8">
        <f t="shared" si="71"/>
        <v>1.3215777815545913</v>
      </c>
      <c r="E496" s="8">
        <f t="shared" si="72"/>
        <v>1.0616604361005504</v>
      </c>
      <c r="F496" s="8">
        <f t="shared" si="79"/>
        <v>0</v>
      </c>
      <c r="G496" s="8">
        <f t="shared" si="80"/>
        <v>3.5254911485809703</v>
      </c>
      <c r="H496" s="8">
        <f t="shared" si="73"/>
        <v>1.0791218697829723</v>
      </c>
      <c r="I496" s="8">
        <f t="shared" si="74"/>
        <v>0</v>
      </c>
      <c r="J496" s="2" t="str">
        <f t="shared" si="75"/>
        <v>Y</v>
      </c>
      <c r="K496" s="2" t="str">
        <f t="shared" si="76"/>
        <v/>
      </c>
      <c r="L496" s="2" t="str">
        <f t="shared" si="77"/>
        <v/>
      </c>
    </row>
    <row r="497" spans="1:12">
      <c r="A497" s="9">
        <v>485</v>
      </c>
      <c r="B497" s="8">
        <v>702.52499999999998</v>
      </c>
      <c r="C497" s="8">
        <f t="shared" si="78"/>
        <v>1.70799999999997</v>
      </c>
      <c r="D497" s="8">
        <f t="shared" si="71"/>
        <v>1.3215777815545913</v>
      </c>
      <c r="E497" s="8">
        <f t="shared" si="72"/>
        <v>1.0616604361005504</v>
      </c>
      <c r="F497" s="8">
        <f t="shared" si="79"/>
        <v>0</v>
      </c>
      <c r="G497" s="8">
        <f t="shared" si="80"/>
        <v>3.5254911485809703</v>
      </c>
      <c r="H497" s="8">
        <f t="shared" si="73"/>
        <v>1.0791218697829723</v>
      </c>
      <c r="I497" s="8">
        <f t="shared" si="74"/>
        <v>0</v>
      </c>
      <c r="J497" s="2" t="str">
        <f t="shared" si="75"/>
        <v>Y</v>
      </c>
      <c r="K497" s="2" t="str">
        <f t="shared" si="76"/>
        <v/>
      </c>
      <c r="L497" s="2" t="str">
        <f t="shared" si="77"/>
        <v/>
      </c>
    </row>
    <row r="498" spans="1:12">
      <c r="A498" s="9">
        <v>486</v>
      </c>
      <c r="B498" s="8">
        <v>700.43499999999995</v>
      </c>
      <c r="C498" s="8">
        <f t="shared" si="78"/>
        <v>2.0900000000000318</v>
      </c>
      <c r="D498" s="8">
        <f t="shared" si="71"/>
        <v>1.3215777815545913</v>
      </c>
      <c r="E498" s="8">
        <f t="shared" si="72"/>
        <v>1.0616604361005504</v>
      </c>
      <c r="F498" s="8">
        <f t="shared" si="79"/>
        <v>0</v>
      </c>
      <c r="G498" s="8">
        <f t="shared" si="80"/>
        <v>3.5254911485809703</v>
      </c>
      <c r="H498" s="8">
        <f t="shared" si="73"/>
        <v>1.0791218697829723</v>
      </c>
      <c r="I498" s="8">
        <f t="shared" si="74"/>
        <v>0</v>
      </c>
      <c r="J498" s="2" t="str">
        <f t="shared" si="75"/>
        <v>Y</v>
      </c>
      <c r="K498" s="2" t="str">
        <f t="shared" si="76"/>
        <v/>
      </c>
      <c r="L498" s="2" t="str">
        <f t="shared" si="77"/>
        <v/>
      </c>
    </row>
    <row r="499" spans="1:12">
      <c r="A499" s="9">
        <v>487</v>
      </c>
      <c r="B499" s="8">
        <v>702.22199999999998</v>
      </c>
      <c r="C499" s="8">
        <f t="shared" si="78"/>
        <v>1.7870000000000346</v>
      </c>
      <c r="D499" s="8">
        <f t="shared" si="71"/>
        <v>1.3215777815545913</v>
      </c>
      <c r="E499" s="8">
        <f t="shared" si="72"/>
        <v>1.0616604361005504</v>
      </c>
      <c r="F499" s="8">
        <f t="shared" si="79"/>
        <v>0</v>
      </c>
      <c r="G499" s="8">
        <f t="shared" si="80"/>
        <v>3.5254911485809703</v>
      </c>
      <c r="H499" s="8">
        <f t="shared" si="73"/>
        <v>1.0791218697829723</v>
      </c>
      <c r="I499" s="8">
        <f t="shared" si="74"/>
        <v>0</v>
      </c>
      <c r="J499" s="2" t="str">
        <f t="shared" si="75"/>
        <v>Y</v>
      </c>
      <c r="K499" s="2" t="str">
        <f t="shared" si="76"/>
        <v/>
      </c>
      <c r="L499" s="2" t="str">
        <f t="shared" si="77"/>
        <v/>
      </c>
    </row>
    <row r="500" spans="1:12">
      <c r="A500" s="9">
        <v>488</v>
      </c>
      <c r="B500" s="8">
        <v>700.476</v>
      </c>
      <c r="C500" s="8">
        <f t="shared" si="78"/>
        <v>1.7459999999999809</v>
      </c>
      <c r="D500" s="8">
        <f t="shared" si="71"/>
        <v>1.3215777815545913</v>
      </c>
      <c r="E500" s="8">
        <f t="shared" si="72"/>
        <v>1.0616604361005504</v>
      </c>
      <c r="F500" s="8">
        <f t="shared" si="79"/>
        <v>0</v>
      </c>
      <c r="G500" s="8">
        <f t="shared" si="80"/>
        <v>3.5254911485809703</v>
      </c>
      <c r="H500" s="8">
        <f t="shared" si="73"/>
        <v>1.0791218697829723</v>
      </c>
      <c r="I500" s="8">
        <f t="shared" si="74"/>
        <v>0</v>
      </c>
      <c r="J500" s="2" t="str">
        <f t="shared" si="75"/>
        <v>Y</v>
      </c>
      <c r="K500" s="2" t="str">
        <f t="shared" si="76"/>
        <v/>
      </c>
      <c r="L500" s="2" t="str">
        <f t="shared" si="77"/>
        <v/>
      </c>
    </row>
    <row r="501" spans="1:12">
      <c r="A501" s="9">
        <v>489</v>
      </c>
      <c r="B501" s="8">
        <v>700.923</v>
      </c>
      <c r="C501" s="8">
        <f t="shared" si="78"/>
        <v>0.44700000000000273</v>
      </c>
      <c r="D501" s="8">
        <f t="shared" si="71"/>
        <v>1.3215777815545913</v>
      </c>
      <c r="E501" s="8">
        <f t="shared" si="72"/>
        <v>1.0616604361005504</v>
      </c>
      <c r="F501" s="8">
        <f t="shared" si="79"/>
        <v>0</v>
      </c>
      <c r="G501" s="8">
        <f t="shared" si="80"/>
        <v>3.5254911485809703</v>
      </c>
      <c r="H501" s="8">
        <f t="shared" si="73"/>
        <v>1.0791218697829723</v>
      </c>
      <c r="I501" s="8">
        <f t="shared" si="74"/>
        <v>0</v>
      </c>
      <c r="J501" s="2" t="str">
        <f t="shared" si="75"/>
        <v>Y</v>
      </c>
      <c r="K501" s="2" t="str">
        <f t="shared" si="76"/>
        <v/>
      </c>
      <c r="L501" s="2" t="str">
        <f t="shared" si="77"/>
        <v/>
      </c>
    </row>
    <row r="502" spans="1:12">
      <c r="A502" s="9">
        <v>490</v>
      </c>
      <c r="B502" s="8">
        <v>699.01</v>
      </c>
      <c r="C502" s="8">
        <f t="shared" si="78"/>
        <v>1.9130000000000109</v>
      </c>
      <c r="D502" s="8">
        <f t="shared" si="71"/>
        <v>1.3215777815545913</v>
      </c>
      <c r="E502" s="8">
        <f t="shared" si="72"/>
        <v>1.0616604361005504</v>
      </c>
      <c r="F502" s="8">
        <f t="shared" si="79"/>
        <v>0</v>
      </c>
      <c r="G502" s="8">
        <f t="shared" si="80"/>
        <v>3.5254911485809703</v>
      </c>
      <c r="H502" s="8">
        <f t="shared" si="73"/>
        <v>1.0791218697829723</v>
      </c>
      <c r="I502" s="8">
        <f t="shared" si="74"/>
        <v>0</v>
      </c>
      <c r="J502" s="2" t="str">
        <f t="shared" si="75"/>
        <v>Y</v>
      </c>
      <c r="K502" s="2" t="str">
        <f t="shared" si="76"/>
        <v/>
      </c>
      <c r="L502" s="2" t="str">
        <f t="shared" si="77"/>
        <v/>
      </c>
    </row>
    <row r="503" spans="1:12">
      <c r="A503" s="9">
        <v>491</v>
      </c>
      <c r="B503" s="8">
        <v>701.51900000000001</v>
      </c>
      <c r="C503" s="8">
        <f t="shared" si="78"/>
        <v>2.5090000000000146</v>
      </c>
      <c r="D503" s="8">
        <f t="shared" si="71"/>
        <v>1.3215777815545913</v>
      </c>
      <c r="E503" s="8">
        <f t="shared" si="72"/>
        <v>1.0616604361005504</v>
      </c>
      <c r="F503" s="8">
        <f t="shared" si="79"/>
        <v>0</v>
      </c>
      <c r="G503" s="8">
        <f t="shared" si="80"/>
        <v>3.5254911485809703</v>
      </c>
      <c r="H503" s="8">
        <f t="shared" si="73"/>
        <v>1.0791218697829723</v>
      </c>
      <c r="I503" s="8">
        <f t="shared" si="74"/>
        <v>0</v>
      </c>
      <c r="J503" s="2" t="str">
        <f t="shared" si="75"/>
        <v>Y</v>
      </c>
      <c r="K503" s="2" t="str">
        <f t="shared" si="76"/>
        <v/>
      </c>
      <c r="L503" s="2" t="str">
        <f t="shared" si="77"/>
        <v/>
      </c>
    </row>
    <row r="504" spans="1:12">
      <c r="A504" s="9">
        <v>492</v>
      </c>
      <c r="B504" s="8">
        <v>700.87599999999998</v>
      </c>
      <c r="C504" s="8">
        <f t="shared" si="78"/>
        <v>0.6430000000000291</v>
      </c>
      <c r="D504" s="8">
        <f t="shared" si="71"/>
        <v>1.3215777815545913</v>
      </c>
      <c r="E504" s="8">
        <f t="shared" si="72"/>
        <v>1.0616604361005504</v>
      </c>
      <c r="F504" s="8">
        <f t="shared" si="79"/>
        <v>0</v>
      </c>
      <c r="G504" s="8">
        <f t="shared" si="80"/>
        <v>3.5254911485809703</v>
      </c>
      <c r="H504" s="8">
        <f t="shared" si="73"/>
        <v>1.0791218697829723</v>
      </c>
      <c r="I504" s="8">
        <f t="shared" si="74"/>
        <v>0</v>
      </c>
      <c r="J504" s="2" t="str">
        <f t="shared" si="75"/>
        <v>Y</v>
      </c>
      <c r="K504" s="2" t="str">
        <f t="shared" si="76"/>
        <v/>
      </c>
      <c r="L504" s="2" t="str">
        <f t="shared" si="77"/>
        <v/>
      </c>
    </row>
    <row r="505" spans="1:12">
      <c r="A505" s="9">
        <v>493</v>
      </c>
      <c r="B505" s="8">
        <v>702.601</v>
      </c>
      <c r="C505" s="8">
        <f t="shared" si="78"/>
        <v>1.7250000000000227</v>
      </c>
      <c r="D505" s="8">
        <f t="shared" si="71"/>
        <v>1.3215777815545913</v>
      </c>
      <c r="E505" s="8">
        <f t="shared" si="72"/>
        <v>1.0616604361005504</v>
      </c>
      <c r="F505" s="8">
        <f t="shared" si="79"/>
        <v>0</v>
      </c>
      <c r="G505" s="8">
        <f t="shared" si="80"/>
        <v>3.5254911485809703</v>
      </c>
      <c r="H505" s="8">
        <f t="shared" si="73"/>
        <v>1.0791218697829723</v>
      </c>
      <c r="I505" s="8">
        <f t="shared" si="74"/>
        <v>0</v>
      </c>
      <c r="J505" s="2" t="str">
        <f t="shared" si="75"/>
        <v>Y</v>
      </c>
      <c r="K505" s="2" t="str">
        <f t="shared" si="76"/>
        <v/>
      </c>
      <c r="L505" s="2" t="str">
        <f t="shared" si="77"/>
        <v/>
      </c>
    </row>
    <row r="506" spans="1:12">
      <c r="A506" s="9">
        <v>494</v>
      </c>
      <c r="B506" s="8">
        <v>701.15300000000002</v>
      </c>
      <c r="C506" s="8">
        <f t="shared" si="78"/>
        <v>1.4479999999999791</v>
      </c>
      <c r="D506" s="8">
        <f t="shared" si="71"/>
        <v>1.3215777815545913</v>
      </c>
      <c r="E506" s="8">
        <f t="shared" si="72"/>
        <v>1.0616604361005504</v>
      </c>
      <c r="F506" s="8">
        <f t="shared" si="79"/>
        <v>0</v>
      </c>
      <c r="G506" s="8">
        <f t="shared" si="80"/>
        <v>3.5254911485809703</v>
      </c>
      <c r="H506" s="8">
        <f t="shared" si="73"/>
        <v>1.0791218697829723</v>
      </c>
      <c r="I506" s="8">
        <f t="shared" si="74"/>
        <v>0</v>
      </c>
      <c r="J506" s="2" t="str">
        <f t="shared" si="75"/>
        <v>Y</v>
      </c>
      <c r="K506" s="2" t="str">
        <f t="shared" si="76"/>
        <v/>
      </c>
      <c r="L506" s="2" t="str">
        <f t="shared" si="77"/>
        <v/>
      </c>
    </row>
    <row r="507" spans="1:12">
      <c r="A507" s="9">
        <v>495</v>
      </c>
      <c r="B507" s="8">
        <v>702.49800000000005</v>
      </c>
      <c r="C507" s="8">
        <f t="shared" si="78"/>
        <v>1.3450000000000273</v>
      </c>
      <c r="D507" s="8">
        <f t="shared" si="71"/>
        <v>1.3215777815545913</v>
      </c>
      <c r="E507" s="8">
        <f t="shared" si="72"/>
        <v>1.0616604361005504</v>
      </c>
      <c r="F507" s="8">
        <f t="shared" si="79"/>
        <v>0</v>
      </c>
      <c r="G507" s="8">
        <f t="shared" si="80"/>
        <v>3.5254911485809703</v>
      </c>
      <c r="H507" s="8">
        <f t="shared" si="73"/>
        <v>1.0791218697829723</v>
      </c>
      <c r="I507" s="8">
        <f t="shared" si="74"/>
        <v>0</v>
      </c>
      <c r="J507" s="2" t="str">
        <f t="shared" si="75"/>
        <v>Y</v>
      </c>
      <c r="K507" s="2" t="str">
        <f t="shared" si="76"/>
        <v/>
      </c>
      <c r="L507" s="2" t="str">
        <f t="shared" si="77"/>
        <v/>
      </c>
    </row>
    <row r="508" spans="1:12">
      <c r="A508" s="9">
        <v>496</v>
      </c>
      <c r="B508" s="8">
        <v>700.33</v>
      </c>
      <c r="C508" s="8">
        <f t="shared" si="78"/>
        <v>2.1680000000000064</v>
      </c>
      <c r="D508" s="8">
        <f t="shared" si="71"/>
        <v>1.3215777815545913</v>
      </c>
      <c r="E508" s="8">
        <f t="shared" si="72"/>
        <v>1.0616604361005504</v>
      </c>
      <c r="F508" s="8">
        <f t="shared" si="79"/>
        <v>0</v>
      </c>
      <c r="G508" s="8">
        <f t="shared" si="80"/>
        <v>3.5254911485809703</v>
      </c>
      <c r="H508" s="8">
        <f t="shared" si="73"/>
        <v>1.0791218697829723</v>
      </c>
      <c r="I508" s="8">
        <f t="shared" si="74"/>
        <v>0</v>
      </c>
      <c r="J508" s="2" t="str">
        <f t="shared" si="75"/>
        <v>Y</v>
      </c>
      <c r="K508" s="2" t="str">
        <f t="shared" si="76"/>
        <v/>
      </c>
      <c r="L508" s="2" t="str">
        <f t="shared" si="77"/>
        <v/>
      </c>
    </row>
    <row r="509" spans="1:12">
      <c r="A509" s="9">
        <v>497</v>
      </c>
      <c r="B509" s="8">
        <v>698.65499999999997</v>
      </c>
      <c r="C509" s="8">
        <f t="shared" si="78"/>
        <v>1.6750000000000682</v>
      </c>
      <c r="D509" s="8">
        <f t="shared" si="71"/>
        <v>1.3215777815545913</v>
      </c>
      <c r="E509" s="8">
        <f t="shared" si="72"/>
        <v>1.0616604361005504</v>
      </c>
      <c r="F509" s="8">
        <f t="shared" si="79"/>
        <v>0</v>
      </c>
      <c r="G509" s="8">
        <f t="shared" si="80"/>
        <v>3.5254911485809703</v>
      </c>
      <c r="H509" s="8">
        <f t="shared" si="73"/>
        <v>1.0791218697829723</v>
      </c>
      <c r="I509" s="8">
        <f t="shared" si="74"/>
        <v>0</v>
      </c>
      <c r="J509" s="2" t="str">
        <f t="shared" si="75"/>
        <v>Y</v>
      </c>
      <c r="K509" s="2" t="str">
        <f t="shared" si="76"/>
        <v/>
      </c>
      <c r="L509" s="2" t="str">
        <f t="shared" si="77"/>
        <v/>
      </c>
    </row>
    <row r="510" spans="1:12">
      <c r="A510" s="9">
        <v>498</v>
      </c>
      <c r="B510" s="8">
        <v>701.53800000000001</v>
      </c>
      <c r="C510" s="8">
        <f t="shared" si="78"/>
        <v>2.8830000000000382</v>
      </c>
      <c r="D510" s="8">
        <f t="shared" si="71"/>
        <v>1.3215777815545913</v>
      </c>
      <c r="E510" s="8">
        <f t="shared" si="72"/>
        <v>1.0616604361005504</v>
      </c>
      <c r="F510" s="8">
        <f t="shared" si="79"/>
        <v>0</v>
      </c>
      <c r="G510" s="8">
        <f t="shared" si="80"/>
        <v>3.5254911485809703</v>
      </c>
      <c r="H510" s="8">
        <f t="shared" si="73"/>
        <v>1.0791218697829723</v>
      </c>
      <c r="I510" s="8">
        <f t="shared" si="74"/>
        <v>0</v>
      </c>
      <c r="J510" s="2" t="str">
        <f t="shared" si="75"/>
        <v>Y</v>
      </c>
      <c r="K510" s="2" t="str">
        <f t="shared" si="76"/>
        <v/>
      </c>
      <c r="L510" s="2" t="str">
        <f t="shared" si="77"/>
        <v/>
      </c>
    </row>
    <row r="511" spans="1:12">
      <c r="A511" s="9">
        <v>499</v>
      </c>
      <c r="B511" s="8">
        <v>701.36199999999997</v>
      </c>
      <c r="C511" s="8">
        <f t="shared" si="78"/>
        <v>0.17600000000004457</v>
      </c>
      <c r="D511" s="8">
        <f t="shared" si="71"/>
        <v>1.3215777815545913</v>
      </c>
      <c r="E511" s="8">
        <f t="shared" si="72"/>
        <v>1.0616604361005504</v>
      </c>
      <c r="F511" s="8">
        <f t="shared" si="79"/>
        <v>0</v>
      </c>
      <c r="G511" s="8">
        <f t="shared" si="80"/>
        <v>3.5254911485809703</v>
      </c>
      <c r="H511" s="8">
        <f t="shared" si="73"/>
        <v>1.0791218697829723</v>
      </c>
      <c r="I511" s="8">
        <f t="shared" si="74"/>
        <v>0</v>
      </c>
      <c r="J511" s="2" t="str">
        <f t="shared" si="75"/>
        <v>Y</v>
      </c>
      <c r="K511" s="2" t="str">
        <f t="shared" si="76"/>
        <v/>
      </c>
      <c r="L511" s="2" t="str">
        <f t="shared" si="77"/>
        <v/>
      </c>
    </row>
    <row r="512" spans="1:12">
      <c r="A512" s="9">
        <v>500</v>
      </c>
      <c r="B512" s="8">
        <v>700.98699999999997</v>
      </c>
      <c r="C512" s="8">
        <f t="shared" si="78"/>
        <v>0.375</v>
      </c>
      <c r="D512" s="8">
        <f t="shared" si="71"/>
        <v>1.3215777815545913</v>
      </c>
      <c r="E512" s="8">
        <f t="shared" si="72"/>
        <v>1.0616604361005504</v>
      </c>
      <c r="F512" s="8">
        <f t="shared" si="79"/>
        <v>0</v>
      </c>
      <c r="G512" s="8">
        <f t="shared" si="80"/>
        <v>3.5254911485809703</v>
      </c>
      <c r="H512" s="8">
        <f t="shared" si="73"/>
        <v>1.0791218697829723</v>
      </c>
      <c r="I512" s="8">
        <f t="shared" si="74"/>
        <v>0</v>
      </c>
      <c r="J512" s="2" t="str">
        <f t="shared" si="75"/>
        <v>Y</v>
      </c>
      <c r="K512" s="2" t="str">
        <f t="shared" si="76"/>
        <v/>
      </c>
      <c r="L512" s="2" t="str">
        <f t="shared" si="77"/>
        <v/>
      </c>
    </row>
    <row r="513" spans="1:12">
      <c r="A513" s="9">
        <v>501</v>
      </c>
      <c r="B513" s="8">
        <v>699.62099999999998</v>
      </c>
      <c r="C513" s="8">
        <f t="shared" si="78"/>
        <v>1.3659999999999854</v>
      </c>
      <c r="D513" s="8">
        <f t="shared" si="71"/>
        <v>1.3215777815545913</v>
      </c>
      <c r="E513" s="8">
        <f t="shared" si="72"/>
        <v>1.0616604361005504</v>
      </c>
      <c r="F513" s="8">
        <f t="shared" si="79"/>
        <v>0</v>
      </c>
      <c r="G513" s="8">
        <f t="shared" si="80"/>
        <v>3.5254911485809703</v>
      </c>
      <c r="H513" s="8">
        <f t="shared" si="73"/>
        <v>1.0791218697829723</v>
      </c>
      <c r="I513" s="8">
        <f t="shared" si="74"/>
        <v>0</v>
      </c>
      <c r="J513" s="2" t="str">
        <f t="shared" si="75"/>
        <v>Y</v>
      </c>
      <c r="K513" s="2" t="str">
        <f t="shared" si="76"/>
        <v/>
      </c>
      <c r="L513" s="2" t="str">
        <f t="shared" si="77"/>
        <v/>
      </c>
    </row>
    <row r="514" spans="1:12">
      <c r="A514" s="9">
        <v>502</v>
      </c>
      <c r="B514" s="8">
        <v>701.83799999999997</v>
      </c>
      <c r="C514" s="8">
        <f t="shared" si="78"/>
        <v>2.2169999999999845</v>
      </c>
      <c r="D514" s="8">
        <f t="shared" si="71"/>
        <v>1.3215777815545913</v>
      </c>
      <c r="E514" s="8">
        <f t="shared" si="72"/>
        <v>1.0616604361005504</v>
      </c>
      <c r="F514" s="8">
        <f t="shared" si="79"/>
        <v>0</v>
      </c>
      <c r="G514" s="8">
        <f t="shared" si="80"/>
        <v>3.5254911485809703</v>
      </c>
      <c r="H514" s="8">
        <f t="shared" si="73"/>
        <v>1.0791218697829723</v>
      </c>
      <c r="I514" s="8">
        <f t="shared" si="74"/>
        <v>0</v>
      </c>
      <c r="J514" s="2" t="str">
        <f t="shared" si="75"/>
        <v>Y</v>
      </c>
      <c r="K514" s="2" t="str">
        <f t="shared" si="76"/>
        <v/>
      </c>
      <c r="L514" s="2" t="str">
        <f t="shared" si="77"/>
        <v/>
      </c>
    </row>
    <row r="515" spans="1:12">
      <c r="A515" s="9">
        <v>503</v>
      </c>
      <c r="B515" s="8">
        <v>702.56299999999999</v>
      </c>
      <c r="C515" s="8">
        <f t="shared" si="78"/>
        <v>0.72500000000002274</v>
      </c>
      <c r="D515" s="8">
        <f t="shared" si="71"/>
        <v>1.3215777815545913</v>
      </c>
      <c r="E515" s="8">
        <f t="shared" si="72"/>
        <v>1.0616604361005504</v>
      </c>
      <c r="F515" s="8">
        <f t="shared" si="79"/>
        <v>0</v>
      </c>
      <c r="G515" s="8">
        <f t="shared" si="80"/>
        <v>3.5254911485809703</v>
      </c>
      <c r="H515" s="8">
        <f t="shared" si="73"/>
        <v>1.0791218697829723</v>
      </c>
      <c r="I515" s="8">
        <f t="shared" si="74"/>
        <v>0</v>
      </c>
      <c r="J515" s="2" t="str">
        <f t="shared" si="75"/>
        <v>Y</v>
      </c>
      <c r="K515" s="2" t="str">
        <f t="shared" si="76"/>
        <v/>
      </c>
      <c r="L515" s="2" t="str">
        <f t="shared" si="77"/>
        <v/>
      </c>
    </row>
    <row r="516" spans="1:12">
      <c r="A516" s="9">
        <v>504</v>
      </c>
      <c r="B516" s="8">
        <v>700.97</v>
      </c>
      <c r="C516" s="8">
        <f t="shared" si="78"/>
        <v>1.5929999999999609</v>
      </c>
      <c r="D516" s="8">
        <f t="shared" si="71"/>
        <v>1.3215777815545913</v>
      </c>
      <c r="E516" s="8">
        <f t="shared" si="72"/>
        <v>1.0616604361005504</v>
      </c>
      <c r="F516" s="8">
        <f t="shared" si="79"/>
        <v>0</v>
      </c>
      <c r="G516" s="8">
        <f t="shared" si="80"/>
        <v>3.5254911485809703</v>
      </c>
      <c r="H516" s="8">
        <f t="shared" si="73"/>
        <v>1.0791218697829723</v>
      </c>
      <c r="I516" s="8">
        <f t="shared" si="74"/>
        <v>0</v>
      </c>
      <c r="J516" s="2" t="str">
        <f t="shared" si="75"/>
        <v>Y</v>
      </c>
      <c r="K516" s="2" t="str">
        <f t="shared" si="76"/>
        <v/>
      </c>
      <c r="L516" s="2" t="str">
        <f t="shared" si="77"/>
        <v/>
      </c>
    </row>
    <row r="517" spans="1:12">
      <c r="A517" s="9">
        <v>505</v>
      </c>
      <c r="B517" s="8">
        <v>702.93399999999997</v>
      </c>
      <c r="C517" s="8">
        <f t="shared" si="78"/>
        <v>1.9639999999999418</v>
      </c>
      <c r="D517" s="8">
        <f t="shared" si="71"/>
        <v>1.3215777815545913</v>
      </c>
      <c r="E517" s="8">
        <f t="shared" si="72"/>
        <v>1.0616604361005504</v>
      </c>
      <c r="F517" s="8">
        <f t="shared" si="79"/>
        <v>0</v>
      </c>
      <c r="G517" s="8">
        <f t="shared" si="80"/>
        <v>3.5254911485809703</v>
      </c>
      <c r="H517" s="8">
        <f t="shared" si="73"/>
        <v>1.0791218697829723</v>
      </c>
      <c r="I517" s="8">
        <f t="shared" si="74"/>
        <v>0</v>
      </c>
      <c r="J517" s="2" t="str">
        <f t="shared" si="75"/>
        <v>Y</v>
      </c>
      <c r="K517" s="2" t="str">
        <f t="shared" si="76"/>
        <v/>
      </c>
      <c r="L517" s="2" t="str">
        <f t="shared" si="77"/>
        <v/>
      </c>
    </row>
    <row r="518" spans="1:12">
      <c r="A518" s="9">
        <v>506</v>
      </c>
      <c r="B518" s="8">
        <v>702.82399999999996</v>
      </c>
      <c r="C518" s="8">
        <f t="shared" si="78"/>
        <v>0.11000000000001364</v>
      </c>
      <c r="D518" s="8">
        <f t="shared" si="71"/>
        <v>1.3215777815545913</v>
      </c>
      <c r="E518" s="8">
        <f t="shared" si="72"/>
        <v>1.0616604361005504</v>
      </c>
      <c r="F518" s="8">
        <f t="shared" si="79"/>
        <v>0</v>
      </c>
      <c r="G518" s="8">
        <f t="shared" si="80"/>
        <v>3.5254911485809703</v>
      </c>
      <c r="H518" s="8">
        <f t="shared" si="73"/>
        <v>1.0791218697829723</v>
      </c>
      <c r="I518" s="8">
        <f t="shared" si="74"/>
        <v>0</v>
      </c>
      <c r="J518" s="2" t="str">
        <f t="shared" si="75"/>
        <v>Y</v>
      </c>
      <c r="K518" s="2" t="str">
        <f t="shared" si="76"/>
        <v/>
      </c>
      <c r="L518" s="2" t="str">
        <f t="shared" si="77"/>
        <v/>
      </c>
    </row>
    <row r="519" spans="1:12">
      <c r="A519" s="9">
        <v>507</v>
      </c>
      <c r="B519" s="8">
        <v>702.59400000000005</v>
      </c>
      <c r="C519" s="8">
        <f t="shared" si="78"/>
        <v>0.2299999999999045</v>
      </c>
      <c r="D519" s="8">
        <f t="shared" si="71"/>
        <v>1.3215777815545913</v>
      </c>
      <c r="E519" s="8">
        <f t="shared" si="72"/>
        <v>1.0616604361005504</v>
      </c>
      <c r="F519" s="8">
        <f t="shared" si="79"/>
        <v>0</v>
      </c>
      <c r="G519" s="8">
        <f t="shared" si="80"/>
        <v>3.5254911485809703</v>
      </c>
      <c r="H519" s="8">
        <f t="shared" si="73"/>
        <v>1.0791218697829723</v>
      </c>
      <c r="I519" s="8">
        <f t="shared" si="74"/>
        <v>0</v>
      </c>
      <c r="J519" s="2" t="str">
        <f t="shared" si="75"/>
        <v>Y</v>
      </c>
      <c r="K519" s="2" t="str">
        <f t="shared" si="76"/>
        <v/>
      </c>
      <c r="L519" s="2" t="str">
        <f t="shared" si="77"/>
        <v/>
      </c>
    </row>
    <row r="520" spans="1:12">
      <c r="A520" s="9">
        <v>508</v>
      </c>
      <c r="B520" s="8">
        <v>703.20299999999997</v>
      </c>
      <c r="C520" s="8">
        <f t="shared" si="78"/>
        <v>0.6089999999999236</v>
      </c>
      <c r="D520" s="8">
        <f t="shared" si="71"/>
        <v>1.3215777815545913</v>
      </c>
      <c r="E520" s="8">
        <f t="shared" si="72"/>
        <v>1.0616604361005504</v>
      </c>
      <c r="F520" s="8">
        <f t="shared" si="79"/>
        <v>0</v>
      </c>
      <c r="G520" s="8">
        <f t="shared" si="80"/>
        <v>3.5254911485809703</v>
      </c>
      <c r="H520" s="8">
        <f t="shared" si="73"/>
        <v>1.0791218697829723</v>
      </c>
      <c r="I520" s="8">
        <f t="shared" si="74"/>
        <v>0</v>
      </c>
      <c r="J520" s="2" t="str">
        <f t="shared" si="75"/>
        <v>Y</v>
      </c>
      <c r="K520" s="2" t="str">
        <f t="shared" si="76"/>
        <v/>
      </c>
      <c r="L520" s="2" t="str">
        <f t="shared" si="77"/>
        <v/>
      </c>
    </row>
    <row r="521" spans="1:12">
      <c r="A521" s="9">
        <v>509</v>
      </c>
      <c r="B521" s="8">
        <v>702.90099999999995</v>
      </c>
      <c r="C521" s="8">
        <f t="shared" si="78"/>
        <v>0.30200000000002092</v>
      </c>
      <c r="D521" s="8">
        <f t="shared" si="71"/>
        <v>1.3215777815545913</v>
      </c>
      <c r="E521" s="8">
        <f t="shared" si="72"/>
        <v>1.0616604361005504</v>
      </c>
      <c r="F521" s="8">
        <f t="shared" si="79"/>
        <v>0</v>
      </c>
      <c r="G521" s="8">
        <f t="shared" si="80"/>
        <v>3.5254911485809703</v>
      </c>
      <c r="H521" s="8">
        <f t="shared" si="73"/>
        <v>1.0791218697829723</v>
      </c>
      <c r="I521" s="8">
        <f t="shared" si="74"/>
        <v>0</v>
      </c>
      <c r="J521" s="2" t="str">
        <f t="shared" si="75"/>
        <v>Y</v>
      </c>
      <c r="K521" s="2" t="str">
        <f t="shared" si="76"/>
        <v/>
      </c>
      <c r="L521" s="2" t="str">
        <f t="shared" si="77"/>
        <v/>
      </c>
    </row>
    <row r="522" spans="1:12">
      <c r="A522" s="9">
        <v>510</v>
      </c>
      <c r="B522" s="8">
        <v>702.45699999999999</v>
      </c>
      <c r="C522" s="8">
        <f t="shared" si="78"/>
        <v>0.44399999999995998</v>
      </c>
      <c r="D522" s="8">
        <f t="shared" si="71"/>
        <v>1.3215777815545913</v>
      </c>
      <c r="E522" s="8">
        <f t="shared" si="72"/>
        <v>1.0616604361005504</v>
      </c>
      <c r="F522" s="8">
        <f t="shared" si="79"/>
        <v>0</v>
      </c>
      <c r="G522" s="8">
        <f t="shared" si="80"/>
        <v>3.5254911485809703</v>
      </c>
      <c r="H522" s="8">
        <f t="shared" si="73"/>
        <v>1.0791218697829723</v>
      </c>
      <c r="I522" s="8">
        <f t="shared" si="74"/>
        <v>0</v>
      </c>
      <c r="J522" s="2" t="str">
        <f t="shared" si="75"/>
        <v>Y</v>
      </c>
      <c r="K522" s="2" t="str">
        <f t="shared" si="76"/>
        <v/>
      </c>
      <c r="L522" s="2" t="str">
        <f t="shared" si="77"/>
        <v/>
      </c>
    </row>
    <row r="523" spans="1:12">
      <c r="A523" s="9">
        <v>511</v>
      </c>
      <c r="B523" s="8">
        <v>702.90700000000004</v>
      </c>
      <c r="C523" s="8">
        <f t="shared" si="78"/>
        <v>0.45000000000004547</v>
      </c>
      <c r="D523" s="8">
        <f t="shared" si="71"/>
        <v>1.3215777815545913</v>
      </c>
      <c r="E523" s="8">
        <f t="shared" si="72"/>
        <v>1.0616604361005504</v>
      </c>
      <c r="F523" s="8">
        <f t="shared" si="79"/>
        <v>0</v>
      </c>
      <c r="G523" s="8">
        <f t="shared" si="80"/>
        <v>3.5254911485809703</v>
      </c>
      <c r="H523" s="8">
        <f t="shared" si="73"/>
        <v>1.0791218697829723</v>
      </c>
      <c r="I523" s="8">
        <f t="shared" si="74"/>
        <v>0</v>
      </c>
      <c r="J523" s="2" t="str">
        <f t="shared" si="75"/>
        <v>Y</v>
      </c>
      <c r="K523" s="2" t="str">
        <f t="shared" si="76"/>
        <v/>
      </c>
      <c r="L523" s="2" t="str">
        <f t="shared" si="77"/>
        <v/>
      </c>
    </row>
    <row r="524" spans="1:12">
      <c r="A524" s="9">
        <v>512</v>
      </c>
      <c r="B524" s="8">
        <v>702.73</v>
      </c>
      <c r="C524" s="8">
        <f t="shared" si="78"/>
        <v>0.17700000000002092</v>
      </c>
      <c r="D524" s="8">
        <f t="shared" si="71"/>
        <v>1.3215777815545913</v>
      </c>
      <c r="E524" s="8">
        <f t="shared" si="72"/>
        <v>1.0616604361005504</v>
      </c>
      <c r="F524" s="8">
        <f t="shared" si="79"/>
        <v>0</v>
      </c>
      <c r="G524" s="8">
        <f t="shared" si="80"/>
        <v>3.5254911485809703</v>
      </c>
      <c r="H524" s="8">
        <f t="shared" si="73"/>
        <v>1.0791218697829723</v>
      </c>
      <c r="I524" s="8">
        <f t="shared" si="74"/>
        <v>0</v>
      </c>
      <c r="J524" s="2" t="str">
        <f t="shared" si="75"/>
        <v>Y</v>
      </c>
      <c r="K524" s="2" t="str">
        <f t="shared" si="76"/>
        <v/>
      </c>
      <c r="L524" s="2" t="str">
        <f t="shared" si="77"/>
        <v/>
      </c>
    </row>
    <row r="525" spans="1:12">
      <c r="A525" s="9">
        <v>513</v>
      </c>
      <c r="B525" s="8">
        <v>702.71900000000005</v>
      </c>
      <c r="C525" s="8">
        <f t="shared" si="78"/>
        <v>1.0999999999967258E-2</v>
      </c>
      <c r="D525" s="8">
        <f t="shared" ref="D525:D588" si="81">$G$13</f>
        <v>1.3215777815545913</v>
      </c>
      <c r="E525" s="8">
        <f t="shared" ref="E525:E588" si="82">$G$14</f>
        <v>1.0616604361005504</v>
      </c>
      <c r="F525" s="8">
        <f t="shared" si="79"/>
        <v>0</v>
      </c>
      <c r="G525" s="8">
        <f t="shared" si="80"/>
        <v>3.5254911485809703</v>
      </c>
      <c r="H525" s="8">
        <f t="shared" ref="H525:H588" si="83">$G$17</f>
        <v>1.0791218697829723</v>
      </c>
      <c r="I525" s="8">
        <f t="shared" ref="I525:I588" si="84">$G$18</f>
        <v>0</v>
      </c>
      <c r="J525" s="2" t="str">
        <f t="shared" ref="J525:J588" si="85">IF(OR(B525&gt;D525,B525&lt;F525),"Y","")</f>
        <v>Y</v>
      </c>
      <c r="K525" s="2" t="str">
        <f t="shared" ref="K525:K588" si="86">IF(AND(C525&lt;&gt;"",C525&gt;G525),"Y","")</f>
        <v/>
      </c>
      <c r="L525" s="2" t="str">
        <f t="shared" ref="L525:L588" si="87">IF(OR(B525&lt;$B$5,B525&gt;$D$5),"Y","")</f>
        <v/>
      </c>
    </row>
    <row r="526" spans="1:12">
      <c r="A526" s="9">
        <v>514</v>
      </c>
      <c r="B526" s="8">
        <v>703.07299999999998</v>
      </c>
      <c r="C526" s="8">
        <f t="shared" ref="C526:C589" si="88">ABS(B526-B525)</f>
        <v>0.35399999999992815</v>
      </c>
      <c r="D526" s="8">
        <f t="shared" si="81"/>
        <v>1.3215777815545913</v>
      </c>
      <c r="E526" s="8">
        <f t="shared" si="82"/>
        <v>1.0616604361005504</v>
      </c>
      <c r="F526" s="8">
        <f t="shared" si="79"/>
        <v>0</v>
      </c>
      <c r="G526" s="8">
        <f t="shared" si="80"/>
        <v>3.5254911485809703</v>
      </c>
      <c r="H526" s="8">
        <f t="shared" si="83"/>
        <v>1.0791218697829723</v>
      </c>
      <c r="I526" s="8">
        <f t="shared" si="84"/>
        <v>0</v>
      </c>
      <c r="J526" s="2" t="str">
        <f t="shared" si="85"/>
        <v>Y</v>
      </c>
      <c r="K526" s="2" t="str">
        <f t="shared" si="86"/>
        <v/>
      </c>
      <c r="L526" s="2" t="str">
        <f t="shared" si="87"/>
        <v/>
      </c>
    </row>
    <row r="527" spans="1:12">
      <c r="A527" s="9">
        <v>515</v>
      </c>
      <c r="B527" s="8">
        <v>702.221</v>
      </c>
      <c r="C527" s="8">
        <f t="shared" si="88"/>
        <v>0.85199999999997544</v>
      </c>
      <c r="D527" s="8">
        <f t="shared" si="81"/>
        <v>1.3215777815545913</v>
      </c>
      <c r="E527" s="8">
        <f t="shared" si="82"/>
        <v>1.0616604361005504</v>
      </c>
      <c r="F527" s="8">
        <f t="shared" si="79"/>
        <v>0</v>
      </c>
      <c r="G527" s="8">
        <f t="shared" si="80"/>
        <v>3.5254911485809703</v>
      </c>
      <c r="H527" s="8">
        <f t="shared" si="83"/>
        <v>1.0791218697829723</v>
      </c>
      <c r="I527" s="8">
        <f t="shared" si="84"/>
        <v>0</v>
      </c>
      <c r="J527" s="2" t="str">
        <f t="shared" si="85"/>
        <v>Y</v>
      </c>
      <c r="K527" s="2" t="str">
        <f t="shared" si="86"/>
        <v/>
      </c>
      <c r="L527" s="2" t="str">
        <f t="shared" si="87"/>
        <v/>
      </c>
    </row>
    <row r="528" spans="1:12">
      <c r="A528" s="9">
        <v>516</v>
      </c>
      <c r="B528" s="8">
        <v>701.04700000000003</v>
      </c>
      <c r="C528" s="8">
        <f t="shared" si="88"/>
        <v>1.1739999999999782</v>
      </c>
      <c r="D528" s="8">
        <f t="shared" si="81"/>
        <v>1.3215777815545913</v>
      </c>
      <c r="E528" s="8">
        <f t="shared" si="82"/>
        <v>1.0616604361005504</v>
      </c>
      <c r="F528" s="8">
        <f t="shared" ref="F528:F591" si="89">$G$15</f>
        <v>0</v>
      </c>
      <c r="G528" s="8">
        <f t="shared" si="80"/>
        <v>3.5254911485809703</v>
      </c>
      <c r="H528" s="8">
        <f t="shared" si="83"/>
        <v>1.0791218697829723</v>
      </c>
      <c r="I528" s="8">
        <f t="shared" si="84"/>
        <v>0</v>
      </c>
      <c r="J528" s="2" t="str">
        <f t="shared" si="85"/>
        <v>Y</v>
      </c>
      <c r="K528" s="2" t="str">
        <f t="shared" si="86"/>
        <v/>
      </c>
      <c r="L528" s="2" t="str">
        <f t="shared" si="87"/>
        <v/>
      </c>
    </row>
    <row r="529" spans="1:12">
      <c r="A529" s="9">
        <v>517</v>
      </c>
      <c r="B529" s="8">
        <v>700.16099999999994</v>
      </c>
      <c r="C529" s="8">
        <f t="shared" si="88"/>
        <v>0.88600000000008095</v>
      </c>
      <c r="D529" s="8">
        <f t="shared" si="81"/>
        <v>1.3215777815545913</v>
      </c>
      <c r="E529" s="8">
        <f t="shared" si="82"/>
        <v>1.0616604361005504</v>
      </c>
      <c r="F529" s="8">
        <f t="shared" si="89"/>
        <v>0</v>
      </c>
      <c r="G529" s="8">
        <f t="shared" si="80"/>
        <v>3.5254911485809703</v>
      </c>
      <c r="H529" s="8">
        <f t="shared" si="83"/>
        <v>1.0791218697829723</v>
      </c>
      <c r="I529" s="8">
        <f t="shared" si="84"/>
        <v>0</v>
      </c>
      <c r="J529" s="2" t="str">
        <f t="shared" si="85"/>
        <v>Y</v>
      </c>
      <c r="K529" s="2" t="str">
        <f t="shared" si="86"/>
        <v/>
      </c>
      <c r="L529" s="2" t="str">
        <f t="shared" si="87"/>
        <v/>
      </c>
    </row>
    <row r="530" spans="1:12">
      <c r="A530" s="9">
        <v>518</v>
      </c>
      <c r="B530" s="8">
        <v>700.20699999999999</v>
      </c>
      <c r="C530" s="8">
        <f t="shared" si="88"/>
        <v>4.6000000000049113E-2</v>
      </c>
      <c r="D530" s="8">
        <f t="shared" si="81"/>
        <v>1.3215777815545913</v>
      </c>
      <c r="E530" s="8">
        <f t="shared" si="82"/>
        <v>1.0616604361005504</v>
      </c>
      <c r="F530" s="8">
        <f t="shared" si="89"/>
        <v>0</v>
      </c>
      <c r="G530" s="8">
        <f t="shared" si="80"/>
        <v>3.5254911485809703</v>
      </c>
      <c r="H530" s="8">
        <f t="shared" si="83"/>
        <v>1.0791218697829723</v>
      </c>
      <c r="I530" s="8">
        <f t="shared" si="84"/>
        <v>0</v>
      </c>
      <c r="J530" s="2" t="str">
        <f t="shared" si="85"/>
        <v>Y</v>
      </c>
      <c r="K530" s="2" t="str">
        <f t="shared" si="86"/>
        <v/>
      </c>
      <c r="L530" s="2" t="str">
        <f t="shared" si="87"/>
        <v/>
      </c>
    </row>
    <row r="531" spans="1:12">
      <c r="A531" s="9">
        <v>519</v>
      </c>
      <c r="B531" s="8">
        <v>702.26599999999996</v>
      </c>
      <c r="C531" s="8">
        <f t="shared" si="88"/>
        <v>2.0589999999999691</v>
      </c>
      <c r="D531" s="8">
        <f t="shared" si="81"/>
        <v>1.3215777815545913</v>
      </c>
      <c r="E531" s="8">
        <f t="shared" si="82"/>
        <v>1.0616604361005504</v>
      </c>
      <c r="F531" s="8">
        <f t="shared" si="89"/>
        <v>0</v>
      </c>
      <c r="G531" s="8">
        <f t="shared" ref="G531:G594" si="90">$G$16</f>
        <v>3.5254911485809703</v>
      </c>
      <c r="H531" s="8">
        <f t="shared" si="83"/>
        <v>1.0791218697829723</v>
      </c>
      <c r="I531" s="8">
        <f t="shared" si="84"/>
        <v>0</v>
      </c>
      <c r="J531" s="2" t="str">
        <f t="shared" si="85"/>
        <v>Y</v>
      </c>
      <c r="K531" s="2" t="str">
        <f t="shared" si="86"/>
        <v/>
      </c>
      <c r="L531" s="2" t="str">
        <f t="shared" si="87"/>
        <v/>
      </c>
    </row>
    <row r="532" spans="1:12">
      <c r="A532" s="9">
        <v>520</v>
      </c>
      <c r="B532" s="8">
        <v>702.23299999999995</v>
      </c>
      <c r="C532" s="8">
        <f t="shared" si="88"/>
        <v>3.3000000000015461E-2</v>
      </c>
      <c r="D532" s="8">
        <f t="shared" si="81"/>
        <v>1.3215777815545913</v>
      </c>
      <c r="E532" s="8">
        <f t="shared" si="82"/>
        <v>1.0616604361005504</v>
      </c>
      <c r="F532" s="8">
        <f t="shared" si="89"/>
        <v>0</v>
      </c>
      <c r="G532" s="8">
        <f t="shared" si="90"/>
        <v>3.5254911485809703</v>
      </c>
      <c r="H532" s="8">
        <f t="shared" si="83"/>
        <v>1.0791218697829723</v>
      </c>
      <c r="I532" s="8">
        <f t="shared" si="84"/>
        <v>0</v>
      </c>
      <c r="J532" s="2" t="str">
        <f t="shared" si="85"/>
        <v>Y</v>
      </c>
      <c r="K532" s="2" t="str">
        <f t="shared" si="86"/>
        <v/>
      </c>
      <c r="L532" s="2" t="str">
        <f t="shared" si="87"/>
        <v/>
      </c>
    </row>
    <row r="533" spans="1:12">
      <c r="A533" s="9">
        <v>521</v>
      </c>
      <c r="B533" s="8">
        <v>700.14200000000005</v>
      </c>
      <c r="C533" s="8">
        <f t="shared" si="88"/>
        <v>2.0909999999998945</v>
      </c>
      <c r="D533" s="8">
        <f t="shared" si="81"/>
        <v>1.3215777815545913</v>
      </c>
      <c r="E533" s="8">
        <f t="shared" si="82"/>
        <v>1.0616604361005504</v>
      </c>
      <c r="F533" s="8">
        <f t="shared" si="89"/>
        <v>0</v>
      </c>
      <c r="G533" s="8">
        <f t="shared" si="90"/>
        <v>3.5254911485809703</v>
      </c>
      <c r="H533" s="8">
        <f t="shared" si="83"/>
        <v>1.0791218697829723</v>
      </c>
      <c r="I533" s="8">
        <f t="shared" si="84"/>
        <v>0</v>
      </c>
      <c r="J533" s="2" t="str">
        <f t="shared" si="85"/>
        <v>Y</v>
      </c>
      <c r="K533" s="2" t="str">
        <f t="shared" si="86"/>
        <v/>
      </c>
      <c r="L533" s="2" t="str">
        <f t="shared" si="87"/>
        <v/>
      </c>
    </row>
    <row r="534" spans="1:12">
      <c r="A534" s="9">
        <v>522</v>
      </c>
      <c r="B534" s="8">
        <v>700.32500000000005</v>
      </c>
      <c r="C534" s="8">
        <f t="shared" si="88"/>
        <v>0.18299999999999272</v>
      </c>
      <c r="D534" s="8">
        <f t="shared" si="81"/>
        <v>1.3215777815545913</v>
      </c>
      <c r="E534" s="8">
        <f t="shared" si="82"/>
        <v>1.0616604361005504</v>
      </c>
      <c r="F534" s="8">
        <f t="shared" si="89"/>
        <v>0</v>
      </c>
      <c r="G534" s="8">
        <f t="shared" si="90"/>
        <v>3.5254911485809703</v>
      </c>
      <c r="H534" s="8">
        <f t="shared" si="83"/>
        <v>1.0791218697829723</v>
      </c>
      <c r="I534" s="8">
        <f t="shared" si="84"/>
        <v>0</v>
      </c>
      <c r="J534" s="2" t="str">
        <f t="shared" si="85"/>
        <v>Y</v>
      </c>
      <c r="K534" s="2" t="str">
        <f t="shared" si="86"/>
        <v/>
      </c>
      <c r="L534" s="2" t="str">
        <f t="shared" si="87"/>
        <v/>
      </c>
    </row>
    <row r="535" spans="1:12">
      <c r="A535" s="9">
        <v>523</v>
      </c>
      <c r="B535" s="8">
        <v>700.36900000000003</v>
      </c>
      <c r="C535" s="8">
        <f t="shared" si="88"/>
        <v>4.399999999998272E-2</v>
      </c>
      <c r="D535" s="8">
        <f t="shared" si="81"/>
        <v>1.3215777815545913</v>
      </c>
      <c r="E535" s="8">
        <f t="shared" si="82"/>
        <v>1.0616604361005504</v>
      </c>
      <c r="F535" s="8">
        <f t="shared" si="89"/>
        <v>0</v>
      </c>
      <c r="G535" s="8">
        <f t="shared" si="90"/>
        <v>3.5254911485809703</v>
      </c>
      <c r="H535" s="8">
        <f t="shared" si="83"/>
        <v>1.0791218697829723</v>
      </c>
      <c r="I535" s="8">
        <f t="shared" si="84"/>
        <v>0</v>
      </c>
      <c r="J535" s="2" t="str">
        <f t="shared" si="85"/>
        <v>Y</v>
      </c>
      <c r="K535" s="2" t="str">
        <f t="shared" si="86"/>
        <v/>
      </c>
      <c r="L535" s="2" t="str">
        <f t="shared" si="87"/>
        <v/>
      </c>
    </row>
    <row r="536" spans="1:12">
      <c r="A536" s="9">
        <v>524</v>
      </c>
      <c r="B536" s="8">
        <v>701.39800000000002</v>
      </c>
      <c r="C536" s="8">
        <f t="shared" si="88"/>
        <v>1.0289999999999964</v>
      </c>
      <c r="D536" s="8">
        <f t="shared" si="81"/>
        <v>1.3215777815545913</v>
      </c>
      <c r="E536" s="8">
        <f t="shared" si="82"/>
        <v>1.0616604361005504</v>
      </c>
      <c r="F536" s="8">
        <f t="shared" si="89"/>
        <v>0</v>
      </c>
      <c r="G536" s="8">
        <f t="shared" si="90"/>
        <v>3.5254911485809703</v>
      </c>
      <c r="H536" s="8">
        <f t="shared" si="83"/>
        <v>1.0791218697829723</v>
      </c>
      <c r="I536" s="8">
        <f t="shared" si="84"/>
        <v>0</v>
      </c>
      <c r="J536" s="2" t="str">
        <f t="shared" si="85"/>
        <v>Y</v>
      </c>
      <c r="K536" s="2" t="str">
        <f t="shared" si="86"/>
        <v/>
      </c>
      <c r="L536" s="2" t="str">
        <f t="shared" si="87"/>
        <v/>
      </c>
    </row>
    <row r="537" spans="1:12">
      <c r="A537" s="9">
        <v>525</v>
      </c>
      <c r="B537" s="8">
        <v>700.81799999999998</v>
      </c>
      <c r="C537" s="8">
        <f t="shared" si="88"/>
        <v>0.58000000000004093</v>
      </c>
      <c r="D537" s="8">
        <f t="shared" si="81"/>
        <v>1.3215777815545913</v>
      </c>
      <c r="E537" s="8">
        <f t="shared" si="82"/>
        <v>1.0616604361005504</v>
      </c>
      <c r="F537" s="8">
        <f t="shared" si="89"/>
        <v>0</v>
      </c>
      <c r="G537" s="8">
        <f t="shared" si="90"/>
        <v>3.5254911485809703</v>
      </c>
      <c r="H537" s="8">
        <f t="shared" si="83"/>
        <v>1.0791218697829723</v>
      </c>
      <c r="I537" s="8">
        <f t="shared" si="84"/>
        <v>0</v>
      </c>
      <c r="J537" s="2" t="str">
        <f t="shared" si="85"/>
        <v>Y</v>
      </c>
      <c r="K537" s="2" t="str">
        <f t="shared" si="86"/>
        <v/>
      </c>
      <c r="L537" s="2" t="str">
        <f t="shared" si="87"/>
        <v/>
      </c>
    </row>
    <row r="538" spans="1:12">
      <c r="A538" s="9">
        <v>526</v>
      </c>
      <c r="B538" s="8">
        <v>700.92499999999995</v>
      </c>
      <c r="C538" s="8">
        <f t="shared" si="88"/>
        <v>0.1069999999999709</v>
      </c>
      <c r="D538" s="8">
        <f t="shared" si="81"/>
        <v>1.3215777815545913</v>
      </c>
      <c r="E538" s="8">
        <f t="shared" si="82"/>
        <v>1.0616604361005504</v>
      </c>
      <c r="F538" s="8">
        <f t="shared" si="89"/>
        <v>0</v>
      </c>
      <c r="G538" s="8">
        <f t="shared" si="90"/>
        <v>3.5254911485809703</v>
      </c>
      <c r="H538" s="8">
        <f t="shared" si="83"/>
        <v>1.0791218697829723</v>
      </c>
      <c r="I538" s="8">
        <f t="shared" si="84"/>
        <v>0</v>
      </c>
      <c r="J538" s="2" t="str">
        <f t="shared" si="85"/>
        <v>Y</v>
      </c>
      <c r="K538" s="2" t="str">
        <f t="shared" si="86"/>
        <v/>
      </c>
      <c r="L538" s="2" t="str">
        <f t="shared" si="87"/>
        <v/>
      </c>
    </row>
    <row r="539" spans="1:12">
      <c r="A539" s="9">
        <v>527</v>
      </c>
      <c r="B539" s="8">
        <v>699.86199999999997</v>
      </c>
      <c r="C539" s="8">
        <f t="shared" si="88"/>
        <v>1.0629999999999882</v>
      </c>
      <c r="D539" s="8">
        <f t="shared" si="81"/>
        <v>1.3215777815545913</v>
      </c>
      <c r="E539" s="8">
        <f t="shared" si="82"/>
        <v>1.0616604361005504</v>
      </c>
      <c r="F539" s="8">
        <f t="shared" si="89"/>
        <v>0</v>
      </c>
      <c r="G539" s="8">
        <f t="shared" si="90"/>
        <v>3.5254911485809703</v>
      </c>
      <c r="H539" s="8">
        <f t="shared" si="83"/>
        <v>1.0791218697829723</v>
      </c>
      <c r="I539" s="8">
        <f t="shared" si="84"/>
        <v>0</v>
      </c>
      <c r="J539" s="2" t="str">
        <f t="shared" si="85"/>
        <v>Y</v>
      </c>
      <c r="K539" s="2" t="str">
        <f t="shared" si="86"/>
        <v/>
      </c>
      <c r="L539" s="2" t="str">
        <f t="shared" si="87"/>
        <v/>
      </c>
    </row>
    <row r="540" spans="1:12">
      <c r="A540" s="9">
        <v>528</v>
      </c>
      <c r="B540" s="8">
        <v>700.70899999999995</v>
      </c>
      <c r="C540" s="8">
        <f t="shared" si="88"/>
        <v>0.84699999999997999</v>
      </c>
      <c r="D540" s="8">
        <f t="shared" si="81"/>
        <v>1.3215777815545913</v>
      </c>
      <c r="E540" s="8">
        <f t="shared" si="82"/>
        <v>1.0616604361005504</v>
      </c>
      <c r="F540" s="8">
        <f t="shared" si="89"/>
        <v>0</v>
      </c>
      <c r="G540" s="8">
        <f t="shared" si="90"/>
        <v>3.5254911485809703</v>
      </c>
      <c r="H540" s="8">
        <f t="shared" si="83"/>
        <v>1.0791218697829723</v>
      </c>
      <c r="I540" s="8">
        <f t="shared" si="84"/>
        <v>0</v>
      </c>
      <c r="J540" s="2" t="str">
        <f t="shared" si="85"/>
        <v>Y</v>
      </c>
      <c r="K540" s="2" t="str">
        <f t="shared" si="86"/>
        <v/>
      </c>
      <c r="L540" s="2" t="str">
        <f t="shared" si="87"/>
        <v/>
      </c>
    </row>
    <row r="541" spans="1:12">
      <c r="A541" s="9">
        <v>529</v>
      </c>
      <c r="B541" s="8">
        <v>699.70799999999997</v>
      </c>
      <c r="C541" s="8">
        <f t="shared" si="88"/>
        <v>1.0009999999999764</v>
      </c>
      <c r="D541" s="8">
        <f t="shared" si="81"/>
        <v>1.3215777815545913</v>
      </c>
      <c r="E541" s="8">
        <f t="shared" si="82"/>
        <v>1.0616604361005504</v>
      </c>
      <c r="F541" s="8">
        <f t="shared" si="89"/>
        <v>0</v>
      </c>
      <c r="G541" s="8">
        <f t="shared" si="90"/>
        <v>3.5254911485809703</v>
      </c>
      <c r="H541" s="8">
        <f t="shared" si="83"/>
        <v>1.0791218697829723</v>
      </c>
      <c r="I541" s="8">
        <f t="shared" si="84"/>
        <v>0</v>
      </c>
      <c r="J541" s="2" t="str">
        <f t="shared" si="85"/>
        <v>Y</v>
      </c>
      <c r="K541" s="2" t="str">
        <f t="shared" si="86"/>
        <v/>
      </c>
      <c r="L541" s="2" t="str">
        <f t="shared" si="87"/>
        <v/>
      </c>
    </row>
    <row r="542" spans="1:12">
      <c r="A542" s="9">
        <v>530</v>
      </c>
      <c r="B542" s="8">
        <v>699.17499999999995</v>
      </c>
      <c r="C542" s="8">
        <f t="shared" si="88"/>
        <v>0.53300000000001546</v>
      </c>
      <c r="D542" s="8">
        <f t="shared" si="81"/>
        <v>1.3215777815545913</v>
      </c>
      <c r="E542" s="8">
        <f t="shared" si="82"/>
        <v>1.0616604361005504</v>
      </c>
      <c r="F542" s="8">
        <f t="shared" si="89"/>
        <v>0</v>
      </c>
      <c r="G542" s="8">
        <f t="shared" si="90"/>
        <v>3.5254911485809703</v>
      </c>
      <c r="H542" s="8">
        <f t="shared" si="83"/>
        <v>1.0791218697829723</v>
      </c>
      <c r="I542" s="8">
        <f t="shared" si="84"/>
        <v>0</v>
      </c>
      <c r="J542" s="2" t="str">
        <f t="shared" si="85"/>
        <v>Y</v>
      </c>
      <c r="K542" s="2" t="str">
        <f t="shared" si="86"/>
        <v/>
      </c>
      <c r="L542" s="2" t="str">
        <f t="shared" si="87"/>
        <v/>
      </c>
    </row>
    <row r="543" spans="1:12">
      <c r="A543" s="9">
        <v>531</v>
      </c>
      <c r="B543" s="8">
        <v>699.69399999999996</v>
      </c>
      <c r="C543" s="8">
        <f t="shared" si="88"/>
        <v>0.51900000000000546</v>
      </c>
      <c r="D543" s="8">
        <f t="shared" si="81"/>
        <v>1.3215777815545913</v>
      </c>
      <c r="E543" s="8">
        <f t="shared" si="82"/>
        <v>1.0616604361005504</v>
      </c>
      <c r="F543" s="8">
        <f t="shared" si="89"/>
        <v>0</v>
      </c>
      <c r="G543" s="8">
        <f t="shared" si="90"/>
        <v>3.5254911485809703</v>
      </c>
      <c r="H543" s="8">
        <f t="shared" si="83"/>
        <v>1.0791218697829723</v>
      </c>
      <c r="I543" s="8">
        <f t="shared" si="84"/>
        <v>0</v>
      </c>
      <c r="J543" s="2" t="str">
        <f t="shared" si="85"/>
        <v>Y</v>
      </c>
      <c r="K543" s="2" t="str">
        <f t="shared" si="86"/>
        <v/>
      </c>
      <c r="L543" s="2" t="str">
        <f t="shared" si="87"/>
        <v/>
      </c>
    </row>
    <row r="544" spans="1:12">
      <c r="A544" s="9">
        <v>532</v>
      </c>
      <c r="B544" s="8">
        <v>700.67</v>
      </c>
      <c r="C544" s="8">
        <f t="shared" si="88"/>
        <v>0.97599999999999909</v>
      </c>
      <c r="D544" s="8">
        <f t="shared" si="81"/>
        <v>1.3215777815545913</v>
      </c>
      <c r="E544" s="8">
        <f t="shared" si="82"/>
        <v>1.0616604361005504</v>
      </c>
      <c r="F544" s="8">
        <f t="shared" si="89"/>
        <v>0</v>
      </c>
      <c r="G544" s="8">
        <f t="shared" si="90"/>
        <v>3.5254911485809703</v>
      </c>
      <c r="H544" s="8">
        <f t="shared" si="83"/>
        <v>1.0791218697829723</v>
      </c>
      <c r="I544" s="8">
        <f t="shared" si="84"/>
        <v>0</v>
      </c>
      <c r="J544" s="2" t="str">
        <f t="shared" si="85"/>
        <v>Y</v>
      </c>
      <c r="K544" s="2" t="str">
        <f t="shared" si="86"/>
        <v/>
      </c>
      <c r="L544" s="2" t="str">
        <f t="shared" si="87"/>
        <v/>
      </c>
    </row>
    <row r="545" spans="1:12">
      <c r="A545" s="9">
        <v>533</v>
      </c>
      <c r="B545" s="8">
        <v>700.65899999999999</v>
      </c>
      <c r="C545" s="8">
        <f t="shared" si="88"/>
        <v>1.0999999999967258E-2</v>
      </c>
      <c r="D545" s="8">
        <f t="shared" si="81"/>
        <v>1.3215777815545913</v>
      </c>
      <c r="E545" s="8">
        <f t="shared" si="82"/>
        <v>1.0616604361005504</v>
      </c>
      <c r="F545" s="8">
        <f t="shared" si="89"/>
        <v>0</v>
      </c>
      <c r="G545" s="8">
        <f t="shared" si="90"/>
        <v>3.5254911485809703</v>
      </c>
      <c r="H545" s="8">
        <f t="shared" si="83"/>
        <v>1.0791218697829723</v>
      </c>
      <c r="I545" s="8">
        <f t="shared" si="84"/>
        <v>0</v>
      </c>
      <c r="J545" s="2" t="str">
        <f t="shared" si="85"/>
        <v>Y</v>
      </c>
      <c r="K545" s="2" t="str">
        <f t="shared" si="86"/>
        <v/>
      </c>
      <c r="L545" s="2" t="str">
        <f t="shared" si="87"/>
        <v/>
      </c>
    </row>
    <row r="546" spans="1:12">
      <c r="A546" s="9">
        <v>534</v>
      </c>
      <c r="B546" s="8">
        <v>700.65800000000002</v>
      </c>
      <c r="C546" s="8">
        <f t="shared" si="88"/>
        <v>9.9999999997635314E-4</v>
      </c>
      <c r="D546" s="8">
        <f t="shared" si="81"/>
        <v>1.3215777815545913</v>
      </c>
      <c r="E546" s="8">
        <f t="shared" si="82"/>
        <v>1.0616604361005504</v>
      </c>
      <c r="F546" s="8">
        <f t="shared" si="89"/>
        <v>0</v>
      </c>
      <c r="G546" s="8">
        <f t="shared" si="90"/>
        <v>3.5254911485809703</v>
      </c>
      <c r="H546" s="8">
        <f t="shared" si="83"/>
        <v>1.0791218697829723</v>
      </c>
      <c r="I546" s="8">
        <f t="shared" si="84"/>
        <v>0</v>
      </c>
      <c r="J546" s="2" t="str">
        <f t="shared" si="85"/>
        <v>Y</v>
      </c>
      <c r="K546" s="2" t="str">
        <f t="shared" si="86"/>
        <v/>
      </c>
      <c r="L546" s="2" t="str">
        <f t="shared" si="87"/>
        <v/>
      </c>
    </row>
    <row r="547" spans="1:12">
      <c r="A547" s="9">
        <v>535</v>
      </c>
      <c r="B547" s="8">
        <v>700.46600000000001</v>
      </c>
      <c r="C547" s="8">
        <f t="shared" si="88"/>
        <v>0.19200000000000728</v>
      </c>
      <c r="D547" s="8">
        <f t="shared" si="81"/>
        <v>1.3215777815545913</v>
      </c>
      <c r="E547" s="8">
        <f t="shared" si="82"/>
        <v>1.0616604361005504</v>
      </c>
      <c r="F547" s="8">
        <f t="shared" si="89"/>
        <v>0</v>
      </c>
      <c r="G547" s="8">
        <f t="shared" si="90"/>
        <v>3.5254911485809703</v>
      </c>
      <c r="H547" s="8">
        <f t="shared" si="83"/>
        <v>1.0791218697829723</v>
      </c>
      <c r="I547" s="8">
        <f t="shared" si="84"/>
        <v>0</v>
      </c>
      <c r="J547" s="2" t="str">
        <f t="shared" si="85"/>
        <v>Y</v>
      </c>
      <c r="K547" s="2" t="str">
        <f t="shared" si="86"/>
        <v/>
      </c>
      <c r="L547" s="2" t="str">
        <f t="shared" si="87"/>
        <v/>
      </c>
    </row>
    <row r="548" spans="1:12">
      <c r="A548" s="9">
        <v>536</v>
      </c>
      <c r="B548" s="8">
        <v>700.65200000000004</v>
      </c>
      <c r="C548" s="8">
        <f t="shared" si="88"/>
        <v>0.18600000000003547</v>
      </c>
      <c r="D548" s="8">
        <f t="shared" si="81"/>
        <v>1.3215777815545913</v>
      </c>
      <c r="E548" s="8">
        <f t="shared" si="82"/>
        <v>1.0616604361005504</v>
      </c>
      <c r="F548" s="8">
        <f t="shared" si="89"/>
        <v>0</v>
      </c>
      <c r="G548" s="8">
        <f t="shared" si="90"/>
        <v>3.5254911485809703</v>
      </c>
      <c r="H548" s="8">
        <f t="shared" si="83"/>
        <v>1.0791218697829723</v>
      </c>
      <c r="I548" s="8">
        <f t="shared" si="84"/>
        <v>0</v>
      </c>
      <c r="J548" s="2" t="str">
        <f t="shared" si="85"/>
        <v>Y</v>
      </c>
      <c r="K548" s="2" t="str">
        <f t="shared" si="86"/>
        <v/>
      </c>
      <c r="L548" s="2" t="str">
        <f t="shared" si="87"/>
        <v/>
      </c>
    </row>
    <row r="549" spans="1:12">
      <c r="A549" s="9">
        <v>537</v>
      </c>
      <c r="B549" s="8">
        <v>702.52700000000004</v>
      </c>
      <c r="C549" s="8">
        <f t="shared" si="88"/>
        <v>1.875</v>
      </c>
      <c r="D549" s="8">
        <f t="shared" si="81"/>
        <v>1.3215777815545913</v>
      </c>
      <c r="E549" s="8">
        <f t="shared" si="82"/>
        <v>1.0616604361005504</v>
      </c>
      <c r="F549" s="8">
        <f t="shared" si="89"/>
        <v>0</v>
      </c>
      <c r="G549" s="8">
        <f t="shared" si="90"/>
        <v>3.5254911485809703</v>
      </c>
      <c r="H549" s="8">
        <f t="shared" si="83"/>
        <v>1.0791218697829723</v>
      </c>
      <c r="I549" s="8">
        <f t="shared" si="84"/>
        <v>0</v>
      </c>
      <c r="J549" s="2" t="str">
        <f t="shared" si="85"/>
        <v>Y</v>
      </c>
      <c r="K549" s="2" t="str">
        <f t="shared" si="86"/>
        <v/>
      </c>
      <c r="L549" s="2" t="str">
        <f t="shared" si="87"/>
        <v/>
      </c>
    </row>
    <row r="550" spans="1:12">
      <c r="A550" s="9">
        <v>538</v>
      </c>
      <c r="B550" s="8">
        <v>700.49699999999996</v>
      </c>
      <c r="C550" s="8">
        <f t="shared" si="88"/>
        <v>2.0300000000000864</v>
      </c>
      <c r="D550" s="8">
        <f t="shared" si="81"/>
        <v>1.3215777815545913</v>
      </c>
      <c r="E550" s="8">
        <f t="shared" si="82"/>
        <v>1.0616604361005504</v>
      </c>
      <c r="F550" s="8">
        <f t="shared" si="89"/>
        <v>0</v>
      </c>
      <c r="G550" s="8">
        <f t="shared" si="90"/>
        <v>3.5254911485809703</v>
      </c>
      <c r="H550" s="8">
        <f t="shared" si="83"/>
        <v>1.0791218697829723</v>
      </c>
      <c r="I550" s="8">
        <f t="shared" si="84"/>
        <v>0</v>
      </c>
      <c r="J550" s="2" t="str">
        <f t="shared" si="85"/>
        <v>Y</v>
      </c>
      <c r="K550" s="2" t="str">
        <f t="shared" si="86"/>
        <v/>
      </c>
      <c r="L550" s="2" t="str">
        <f t="shared" si="87"/>
        <v/>
      </c>
    </row>
    <row r="551" spans="1:12">
      <c r="A551" s="9">
        <v>539</v>
      </c>
      <c r="B551" s="8">
        <v>701.40200000000004</v>
      </c>
      <c r="C551" s="8">
        <f t="shared" si="88"/>
        <v>0.9050000000000864</v>
      </c>
      <c r="D551" s="8">
        <f t="shared" si="81"/>
        <v>1.3215777815545913</v>
      </c>
      <c r="E551" s="8">
        <f t="shared" si="82"/>
        <v>1.0616604361005504</v>
      </c>
      <c r="F551" s="8">
        <f t="shared" si="89"/>
        <v>0</v>
      </c>
      <c r="G551" s="8">
        <f t="shared" si="90"/>
        <v>3.5254911485809703</v>
      </c>
      <c r="H551" s="8">
        <f t="shared" si="83"/>
        <v>1.0791218697829723</v>
      </c>
      <c r="I551" s="8">
        <f t="shared" si="84"/>
        <v>0</v>
      </c>
      <c r="J551" s="2" t="str">
        <f t="shared" si="85"/>
        <v>Y</v>
      </c>
      <c r="K551" s="2" t="str">
        <f t="shared" si="86"/>
        <v/>
      </c>
      <c r="L551" s="2" t="str">
        <f t="shared" si="87"/>
        <v/>
      </c>
    </row>
    <row r="552" spans="1:12">
      <c r="A552" s="9">
        <v>540</v>
      </c>
      <c r="B552" s="8">
        <v>702.22900000000004</v>
      </c>
      <c r="C552" s="8">
        <f t="shared" si="88"/>
        <v>0.82699999999999818</v>
      </c>
      <c r="D552" s="8">
        <f t="shared" si="81"/>
        <v>1.3215777815545913</v>
      </c>
      <c r="E552" s="8">
        <f t="shared" si="82"/>
        <v>1.0616604361005504</v>
      </c>
      <c r="F552" s="8">
        <f t="shared" si="89"/>
        <v>0</v>
      </c>
      <c r="G552" s="8">
        <f t="shared" si="90"/>
        <v>3.5254911485809703</v>
      </c>
      <c r="H552" s="8">
        <f t="shared" si="83"/>
        <v>1.0791218697829723</v>
      </c>
      <c r="I552" s="8">
        <f t="shared" si="84"/>
        <v>0</v>
      </c>
      <c r="J552" s="2" t="str">
        <f t="shared" si="85"/>
        <v>Y</v>
      </c>
      <c r="K552" s="2" t="str">
        <f t="shared" si="86"/>
        <v/>
      </c>
      <c r="L552" s="2" t="str">
        <f t="shared" si="87"/>
        <v/>
      </c>
    </row>
    <row r="553" spans="1:12">
      <c r="A553" s="9">
        <v>541</v>
      </c>
      <c r="B553" s="8">
        <v>700.71699999999998</v>
      </c>
      <c r="C553" s="8">
        <f t="shared" si="88"/>
        <v>1.5120000000000573</v>
      </c>
      <c r="D553" s="8">
        <f t="shared" si="81"/>
        <v>1.3215777815545913</v>
      </c>
      <c r="E553" s="8">
        <f t="shared" si="82"/>
        <v>1.0616604361005504</v>
      </c>
      <c r="F553" s="8">
        <f t="shared" si="89"/>
        <v>0</v>
      </c>
      <c r="G553" s="8">
        <f t="shared" si="90"/>
        <v>3.5254911485809703</v>
      </c>
      <c r="H553" s="8">
        <f t="shared" si="83"/>
        <v>1.0791218697829723</v>
      </c>
      <c r="I553" s="8">
        <f t="shared" si="84"/>
        <v>0</v>
      </c>
      <c r="J553" s="2" t="str">
        <f t="shared" si="85"/>
        <v>Y</v>
      </c>
      <c r="K553" s="2" t="str">
        <f t="shared" si="86"/>
        <v/>
      </c>
      <c r="L553" s="2" t="str">
        <f t="shared" si="87"/>
        <v/>
      </c>
    </row>
    <row r="554" spans="1:12">
      <c r="A554" s="9">
        <v>542</v>
      </c>
      <c r="B554" s="8">
        <v>702.32799999999997</v>
      </c>
      <c r="C554" s="8">
        <f t="shared" si="88"/>
        <v>1.61099999999999</v>
      </c>
      <c r="D554" s="8">
        <f t="shared" si="81"/>
        <v>1.3215777815545913</v>
      </c>
      <c r="E554" s="8">
        <f t="shared" si="82"/>
        <v>1.0616604361005504</v>
      </c>
      <c r="F554" s="8">
        <f t="shared" si="89"/>
        <v>0</v>
      </c>
      <c r="G554" s="8">
        <f t="shared" si="90"/>
        <v>3.5254911485809703</v>
      </c>
      <c r="H554" s="8">
        <f t="shared" si="83"/>
        <v>1.0791218697829723</v>
      </c>
      <c r="I554" s="8">
        <f t="shared" si="84"/>
        <v>0</v>
      </c>
      <c r="J554" s="2" t="str">
        <f t="shared" si="85"/>
        <v>Y</v>
      </c>
      <c r="K554" s="2" t="str">
        <f t="shared" si="86"/>
        <v/>
      </c>
      <c r="L554" s="2" t="str">
        <f t="shared" si="87"/>
        <v/>
      </c>
    </row>
    <row r="555" spans="1:12">
      <c r="A555" s="9">
        <v>543</v>
      </c>
      <c r="B555" s="8">
        <v>700.91</v>
      </c>
      <c r="C555" s="8">
        <f t="shared" si="88"/>
        <v>1.4180000000000064</v>
      </c>
      <c r="D555" s="8">
        <f t="shared" si="81"/>
        <v>1.3215777815545913</v>
      </c>
      <c r="E555" s="8">
        <f t="shared" si="82"/>
        <v>1.0616604361005504</v>
      </c>
      <c r="F555" s="8">
        <f t="shared" si="89"/>
        <v>0</v>
      </c>
      <c r="G555" s="8">
        <f t="shared" si="90"/>
        <v>3.5254911485809703</v>
      </c>
      <c r="H555" s="8">
        <f t="shared" si="83"/>
        <v>1.0791218697829723</v>
      </c>
      <c r="I555" s="8">
        <f t="shared" si="84"/>
        <v>0</v>
      </c>
      <c r="J555" s="2" t="str">
        <f t="shared" si="85"/>
        <v>Y</v>
      </c>
      <c r="K555" s="2" t="str">
        <f t="shared" si="86"/>
        <v/>
      </c>
      <c r="L555" s="2" t="str">
        <f t="shared" si="87"/>
        <v/>
      </c>
    </row>
    <row r="556" spans="1:12">
      <c r="A556" s="9">
        <v>544</v>
      </c>
      <c r="B556" s="8">
        <v>702.452</v>
      </c>
      <c r="C556" s="8">
        <f t="shared" si="88"/>
        <v>1.54200000000003</v>
      </c>
      <c r="D556" s="8">
        <f t="shared" si="81"/>
        <v>1.3215777815545913</v>
      </c>
      <c r="E556" s="8">
        <f t="shared" si="82"/>
        <v>1.0616604361005504</v>
      </c>
      <c r="F556" s="8">
        <f t="shared" si="89"/>
        <v>0</v>
      </c>
      <c r="G556" s="8">
        <f t="shared" si="90"/>
        <v>3.5254911485809703</v>
      </c>
      <c r="H556" s="8">
        <f t="shared" si="83"/>
        <v>1.0791218697829723</v>
      </c>
      <c r="I556" s="8">
        <f t="shared" si="84"/>
        <v>0</v>
      </c>
      <c r="J556" s="2" t="str">
        <f t="shared" si="85"/>
        <v>Y</v>
      </c>
      <c r="K556" s="2" t="str">
        <f t="shared" si="86"/>
        <v/>
      </c>
      <c r="L556" s="2" t="str">
        <f t="shared" si="87"/>
        <v/>
      </c>
    </row>
    <row r="557" spans="1:12">
      <c r="A557" s="9">
        <v>545</v>
      </c>
      <c r="B557" s="8">
        <v>700.25800000000004</v>
      </c>
      <c r="C557" s="8">
        <f t="shared" si="88"/>
        <v>2.19399999999996</v>
      </c>
      <c r="D557" s="8">
        <f t="shared" si="81"/>
        <v>1.3215777815545913</v>
      </c>
      <c r="E557" s="8">
        <f t="shared" si="82"/>
        <v>1.0616604361005504</v>
      </c>
      <c r="F557" s="8">
        <f t="shared" si="89"/>
        <v>0</v>
      </c>
      <c r="G557" s="8">
        <f t="shared" si="90"/>
        <v>3.5254911485809703</v>
      </c>
      <c r="H557" s="8">
        <f t="shared" si="83"/>
        <v>1.0791218697829723</v>
      </c>
      <c r="I557" s="8">
        <f t="shared" si="84"/>
        <v>0</v>
      </c>
      <c r="J557" s="2" t="str">
        <f t="shared" si="85"/>
        <v>Y</v>
      </c>
      <c r="K557" s="2" t="str">
        <f t="shared" si="86"/>
        <v/>
      </c>
      <c r="L557" s="2" t="str">
        <f t="shared" si="87"/>
        <v/>
      </c>
    </row>
    <row r="558" spans="1:12">
      <c r="A558" s="9">
        <v>546</v>
      </c>
      <c r="B558" s="8">
        <v>701.90700000000004</v>
      </c>
      <c r="C558" s="8">
        <f t="shared" si="88"/>
        <v>1.6490000000000009</v>
      </c>
      <c r="D558" s="8">
        <f t="shared" si="81"/>
        <v>1.3215777815545913</v>
      </c>
      <c r="E558" s="8">
        <f t="shared" si="82"/>
        <v>1.0616604361005504</v>
      </c>
      <c r="F558" s="8">
        <f t="shared" si="89"/>
        <v>0</v>
      </c>
      <c r="G558" s="8">
        <f t="shared" si="90"/>
        <v>3.5254911485809703</v>
      </c>
      <c r="H558" s="8">
        <f t="shared" si="83"/>
        <v>1.0791218697829723</v>
      </c>
      <c r="I558" s="8">
        <f t="shared" si="84"/>
        <v>0</v>
      </c>
      <c r="J558" s="2" t="str">
        <f t="shared" si="85"/>
        <v>Y</v>
      </c>
      <c r="K558" s="2" t="str">
        <f t="shared" si="86"/>
        <v/>
      </c>
      <c r="L558" s="2" t="str">
        <f t="shared" si="87"/>
        <v/>
      </c>
    </row>
    <row r="559" spans="1:12">
      <c r="A559" s="9">
        <v>547</v>
      </c>
      <c r="B559" s="8">
        <v>700.88400000000001</v>
      </c>
      <c r="C559" s="8">
        <f t="shared" si="88"/>
        <v>1.0230000000000246</v>
      </c>
      <c r="D559" s="8">
        <f t="shared" si="81"/>
        <v>1.3215777815545913</v>
      </c>
      <c r="E559" s="8">
        <f t="shared" si="82"/>
        <v>1.0616604361005504</v>
      </c>
      <c r="F559" s="8">
        <f t="shared" si="89"/>
        <v>0</v>
      </c>
      <c r="G559" s="8">
        <f t="shared" si="90"/>
        <v>3.5254911485809703</v>
      </c>
      <c r="H559" s="8">
        <f t="shared" si="83"/>
        <v>1.0791218697829723</v>
      </c>
      <c r="I559" s="8">
        <f t="shared" si="84"/>
        <v>0</v>
      </c>
      <c r="J559" s="2" t="str">
        <f t="shared" si="85"/>
        <v>Y</v>
      </c>
      <c r="K559" s="2" t="str">
        <f t="shared" si="86"/>
        <v/>
      </c>
      <c r="L559" s="2" t="str">
        <f t="shared" si="87"/>
        <v/>
      </c>
    </row>
    <row r="560" spans="1:12">
      <c r="A560" s="9">
        <v>548</v>
      </c>
      <c r="B560" s="8">
        <v>701.68399999999997</v>
      </c>
      <c r="C560" s="8">
        <f t="shared" si="88"/>
        <v>0.79999999999995453</v>
      </c>
      <c r="D560" s="8">
        <f t="shared" si="81"/>
        <v>1.3215777815545913</v>
      </c>
      <c r="E560" s="8">
        <f t="shared" si="82"/>
        <v>1.0616604361005504</v>
      </c>
      <c r="F560" s="8">
        <f t="shared" si="89"/>
        <v>0</v>
      </c>
      <c r="G560" s="8">
        <f t="shared" si="90"/>
        <v>3.5254911485809703</v>
      </c>
      <c r="H560" s="8">
        <f t="shared" si="83"/>
        <v>1.0791218697829723</v>
      </c>
      <c r="I560" s="8">
        <f t="shared" si="84"/>
        <v>0</v>
      </c>
      <c r="J560" s="2" t="str">
        <f t="shared" si="85"/>
        <v>Y</v>
      </c>
      <c r="K560" s="2" t="str">
        <f t="shared" si="86"/>
        <v/>
      </c>
      <c r="L560" s="2" t="str">
        <f t="shared" si="87"/>
        <v/>
      </c>
    </row>
    <row r="561" spans="1:12">
      <c r="A561" s="9">
        <v>549</v>
      </c>
      <c r="B561" s="8">
        <v>701.649</v>
      </c>
      <c r="C561" s="8">
        <f t="shared" si="88"/>
        <v>3.4999999999968168E-2</v>
      </c>
      <c r="D561" s="8">
        <f t="shared" si="81"/>
        <v>1.3215777815545913</v>
      </c>
      <c r="E561" s="8">
        <f t="shared" si="82"/>
        <v>1.0616604361005504</v>
      </c>
      <c r="F561" s="8">
        <f t="shared" si="89"/>
        <v>0</v>
      </c>
      <c r="G561" s="8">
        <f t="shared" si="90"/>
        <v>3.5254911485809703</v>
      </c>
      <c r="H561" s="8">
        <f t="shared" si="83"/>
        <v>1.0791218697829723</v>
      </c>
      <c r="I561" s="8">
        <f t="shared" si="84"/>
        <v>0</v>
      </c>
      <c r="J561" s="2" t="str">
        <f t="shared" si="85"/>
        <v>Y</v>
      </c>
      <c r="K561" s="2" t="str">
        <f t="shared" si="86"/>
        <v/>
      </c>
      <c r="L561" s="2" t="str">
        <f t="shared" si="87"/>
        <v/>
      </c>
    </row>
    <row r="562" spans="1:12">
      <c r="A562" s="9">
        <v>550</v>
      </c>
      <c r="B562" s="8">
        <v>702.02499999999998</v>
      </c>
      <c r="C562" s="8">
        <f t="shared" si="88"/>
        <v>0.37599999999997635</v>
      </c>
      <c r="D562" s="8">
        <f t="shared" si="81"/>
        <v>1.3215777815545913</v>
      </c>
      <c r="E562" s="8">
        <f t="shared" si="82"/>
        <v>1.0616604361005504</v>
      </c>
      <c r="F562" s="8">
        <f t="shared" si="89"/>
        <v>0</v>
      </c>
      <c r="G562" s="8">
        <f t="shared" si="90"/>
        <v>3.5254911485809703</v>
      </c>
      <c r="H562" s="8">
        <f t="shared" si="83"/>
        <v>1.0791218697829723</v>
      </c>
      <c r="I562" s="8">
        <f t="shared" si="84"/>
        <v>0</v>
      </c>
      <c r="J562" s="2" t="str">
        <f t="shared" si="85"/>
        <v>Y</v>
      </c>
      <c r="K562" s="2" t="str">
        <f t="shared" si="86"/>
        <v/>
      </c>
      <c r="L562" s="2" t="str">
        <f t="shared" si="87"/>
        <v/>
      </c>
    </row>
    <row r="563" spans="1:12">
      <c r="A563" s="9">
        <v>551</v>
      </c>
      <c r="B563" s="8">
        <v>701.80799999999999</v>
      </c>
      <c r="C563" s="8">
        <f t="shared" si="88"/>
        <v>0.21699999999998454</v>
      </c>
      <c r="D563" s="8">
        <f t="shared" si="81"/>
        <v>1.3215777815545913</v>
      </c>
      <c r="E563" s="8">
        <f t="shared" si="82"/>
        <v>1.0616604361005504</v>
      </c>
      <c r="F563" s="8">
        <f t="shared" si="89"/>
        <v>0</v>
      </c>
      <c r="G563" s="8">
        <f t="shared" si="90"/>
        <v>3.5254911485809703</v>
      </c>
      <c r="H563" s="8">
        <f t="shared" si="83"/>
        <v>1.0791218697829723</v>
      </c>
      <c r="I563" s="8">
        <f t="shared" si="84"/>
        <v>0</v>
      </c>
      <c r="J563" s="2" t="str">
        <f t="shared" si="85"/>
        <v>Y</v>
      </c>
      <c r="K563" s="2" t="str">
        <f t="shared" si="86"/>
        <v/>
      </c>
      <c r="L563" s="2" t="str">
        <f t="shared" si="87"/>
        <v/>
      </c>
    </row>
    <row r="564" spans="1:12">
      <c r="A564" s="9">
        <v>552</v>
      </c>
      <c r="B564" s="8">
        <v>702.81399999999996</v>
      </c>
      <c r="C564" s="8">
        <f t="shared" si="88"/>
        <v>1.0059999999999718</v>
      </c>
      <c r="D564" s="8">
        <f t="shared" si="81"/>
        <v>1.3215777815545913</v>
      </c>
      <c r="E564" s="8">
        <f t="shared" si="82"/>
        <v>1.0616604361005504</v>
      </c>
      <c r="F564" s="8">
        <f t="shared" si="89"/>
        <v>0</v>
      </c>
      <c r="G564" s="8">
        <f t="shared" si="90"/>
        <v>3.5254911485809703</v>
      </c>
      <c r="H564" s="8">
        <f t="shared" si="83"/>
        <v>1.0791218697829723</v>
      </c>
      <c r="I564" s="8">
        <f t="shared" si="84"/>
        <v>0</v>
      </c>
      <c r="J564" s="2" t="str">
        <f t="shared" si="85"/>
        <v>Y</v>
      </c>
      <c r="K564" s="2" t="str">
        <f t="shared" si="86"/>
        <v/>
      </c>
      <c r="L564" s="2" t="str">
        <f t="shared" si="87"/>
        <v/>
      </c>
    </row>
    <row r="565" spans="1:12">
      <c r="A565" s="9">
        <v>553</v>
      </c>
      <c r="B565" s="8">
        <v>701.95500000000004</v>
      </c>
      <c r="C565" s="8">
        <f t="shared" si="88"/>
        <v>0.8589999999999236</v>
      </c>
      <c r="D565" s="8">
        <f t="shared" si="81"/>
        <v>1.3215777815545913</v>
      </c>
      <c r="E565" s="8">
        <f t="shared" si="82"/>
        <v>1.0616604361005504</v>
      </c>
      <c r="F565" s="8">
        <f t="shared" si="89"/>
        <v>0</v>
      </c>
      <c r="G565" s="8">
        <f t="shared" si="90"/>
        <v>3.5254911485809703</v>
      </c>
      <c r="H565" s="8">
        <f t="shared" si="83"/>
        <v>1.0791218697829723</v>
      </c>
      <c r="I565" s="8">
        <f t="shared" si="84"/>
        <v>0</v>
      </c>
      <c r="J565" s="2" t="str">
        <f t="shared" si="85"/>
        <v>Y</v>
      </c>
      <c r="K565" s="2" t="str">
        <f t="shared" si="86"/>
        <v/>
      </c>
      <c r="L565" s="2" t="str">
        <f t="shared" si="87"/>
        <v/>
      </c>
    </row>
    <row r="566" spans="1:12">
      <c r="A566" s="9">
        <v>554</v>
      </c>
      <c r="B566" s="8">
        <v>702.16</v>
      </c>
      <c r="C566" s="8">
        <f t="shared" si="88"/>
        <v>0.20499999999992724</v>
      </c>
      <c r="D566" s="8">
        <f t="shared" si="81"/>
        <v>1.3215777815545913</v>
      </c>
      <c r="E566" s="8">
        <f t="shared" si="82"/>
        <v>1.0616604361005504</v>
      </c>
      <c r="F566" s="8">
        <f t="shared" si="89"/>
        <v>0</v>
      </c>
      <c r="G566" s="8">
        <f t="shared" si="90"/>
        <v>3.5254911485809703</v>
      </c>
      <c r="H566" s="8">
        <f t="shared" si="83"/>
        <v>1.0791218697829723</v>
      </c>
      <c r="I566" s="8">
        <f t="shared" si="84"/>
        <v>0</v>
      </c>
      <c r="J566" s="2" t="str">
        <f t="shared" si="85"/>
        <v>Y</v>
      </c>
      <c r="K566" s="2" t="str">
        <f t="shared" si="86"/>
        <v/>
      </c>
      <c r="L566" s="2" t="str">
        <f t="shared" si="87"/>
        <v/>
      </c>
    </row>
    <row r="567" spans="1:12">
      <c r="A567" s="9">
        <v>555</v>
      </c>
      <c r="B567" s="8">
        <v>700.99800000000005</v>
      </c>
      <c r="C567" s="8">
        <f t="shared" si="88"/>
        <v>1.1619999999999209</v>
      </c>
      <c r="D567" s="8">
        <f t="shared" si="81"/>
        <v>1.3215777815545913</v>
      </c>
      <c r="E567" s="8">
        <f t="shared" si="82"/>
        <v>1.0616604361005504</v>
      </c>
      <c r="F567" s="8">
        <f t="shared" si="89"/>
        <v>0</v>
      </c>
      <c r="G567" s="8">
        <f t="shared" si="90"/>
        <v>3.5254911485809703</v>
      </c>
      <c r="H567" s="8">
        <f t="shared" si="83"/>
        <v>1.0791218697829723</v>
      </c>
      <c r="I567" s="8">
        <f t="shared" si="84"/>
        <v>0</v>
      </c>
      <c r="J567" s="2" t="str">
        <f t="shared" si="85"/>
        <v>Y</v>
      </c>
      <c r="K567" s="2" t="str">
        <f t="shared" si="86"/>
        <v/>
      </c>
      <c r="L567" s="2" t="str">
        <f t="shared" si="87"/>
        <v/>
      </c>
    </row>
    <row r="568" spans="1:12">
      <c r="A568" s="9">
        <v>556</v>
      </c>
      <c r="B568" s="8">
        <v>700.7</v>
      </c>
      <c r="C568" s="8">
        <f t="shared" si="88"/>
        <v>0.29800000000000182</v>
      </c>
      <c r="D568" s="8">
        <f t="shared" si="81"/>
        <v>1.3215777815545913</v>
      </c>
      <c r="E568" s="8">
        <f t="shared" si="82"/>
        <v>1.0616604361005504</v>
      </c>
      <c r="F568" s="8">
        <f t="shared" si="89"/>
        <v>0</v>
      </c>
      <c r="G568" s="8">
        <f t="shared" si="90"/>
        <v>3.5254911485809703</v>
      </c>
      <c r="H568" s="8">
        <f t="shared" si="83"/>
        <v>1.0791218697829723</v>
      </c>
      <c r="I568" s="8">
        <f t="shared" si="84"/>
        <v>0</v>
      </c>
      <c r="J568" s="2" t="str">
        <f t="shared" si="85"/>
        <v>Y</v>
      </c>
      <c r="K568" s="2" t="str">
        <f t="shared" si="86"/>
        <v/>
      </c>
      <c r="L568" s="2" t="str">
        <f t="shared" si="87"/>
        <v/>
      </c>
    </row>
    <row r="569" spans="1:12">
      <c r="A569" s="9">
        <v>557</v>
      </c>
      <c r="B569" s="8">
        <v>700.52099999999996</v>
      </c>
      <c r="C569" s="8">
        <f t="shared" si="88"/>
        <v>0.17900000000008731</v>
      </c>
      <c r="D569" s="8">
        <f t="shared" si="81"/>
        <v>1.3215777815545913</v>
      </c>
      <c r="E569" s="8">
        <f t="shared" si="82"/>
        <v>1.0616604361005504</v>
      </c>
      <c r="F569" s="8">
        <f t="shared" si="89"/>
        <v>0</v>
      </c>
      <c r="G569" s="8">
        <f t="shared" si="90"/>
        <v>3.5254911485809703</v>
      </c>
      <c r="H569" s="8">
        <f t="shared" si="83"/>
        <v>1.0791218697829723</v>
      </c>
      <c r="I569" s="8">
        <f t="shared" si="84"/>
        <v>0</v>
      </c>
      <c r="J569" s="2" t="str">
        <f t="shared" si="85"/>
        <v>Y</v>
      </c>
      <c r="K569" s="2" t="str">
        <f t="shared" si="86"/>
        <v/>
      </c>
      <c r="L569" s="2" t="str">
        <f t="shared" si="87"/>
        <v/>
      </c>
    </row>
    <row r="570" spans="1:12">
      <c r="A570" s="9">
        <v>558</v>
      </c>
      <c r="B570" s="8">
        <v>701.28499999999997</v>
      </c>
      <c r="C570" s="8">
        <f t="shared" si="88"/>
        <v>0.76400000000001</v>
      </c>
      <c r="D570" s="8">
        <f t="shared" si="81"/>
        <v>1.3215777815545913</v>
      </c>
      <c r="E570" s="8">
        <f t="shared" si="82"/>
        <v>1.0616604361005504</v>
      </c>
      <c r="F570" s="8">
        <f t="shared" si="89"/>
        <v>0</v>
      </c>
      <c r="G570" s="8">
        <f t="shared" si="90"/>
        <v>3.5254911485809703</v>
      </c>
      <c r="H570" s="8">
        <f t="shared" si="83"/>
        <v>1.0791218697829723</v>
      </c>
      <c r="I570" s="8">
        <f t="shared" si="84"/>
        <v>0</v>
      </c>
      <c r="J570" s="2" t="str">
        <f t="shared" si="85"/>
        <v>Y</v>
      </c>
      <c r="K570" s="2" t="str">
        <f t="shared" si="86"/>
        <v/>
      </c>
      <c r="L570" s="2" t="str">
        <f t="shared" si="87"/>
        <v/>
      </c>
    </row>
    <row r="571" spans="1:12">
      <c r="A571" s="9">
        <v>559</v>
      </c>
      <c r="B571" s="8">
        <v>700.74199999999996</v>
      </c>
      <c r="C571" s="8">
        <f t="shared" si="88"/>
        <v>0.54300000000000637</v>
      </c>
      <c r="D571" s="8">
        <f t="shared" si="81"/>
        <v>1.3215777815545913</v>
      </c>
      <c r="E571" s="8">
        <f t="shared" si="82"/>
        <v>1.0616604361005504</v>
      </c>
      <c r="F571" s="8">
        <f t="shared" si="89"/>
        <v>0</v>
      </c>
      <c r="G571" s="8">
        <f t="shared" si="90"/>
        <v>3.5254911485809703</v>
      </c>
      <c r="H571" s="8">
        <f t="shared" si="83"/>
        <v>1.0791218697829723</v>
      </c>
      <c r="I571" s="8">
        <f t="shared" si="84"/>
        <v>0</v>
      </c>
      <c r="J571" s="2" t="str">
        <f t="shared" si="85"/>
        <v>Y</v>
      </c>
      <c r="K571" s="2" t="str">
        <f t="shared" si="86"/>
        <v/>
      </c>
      <c r="L571" s="2" t="str">
        <f t="shared" si="87"/>
        <v/>
      </c>
    </row>
    <row r="572" spans="1:12">
      <c r="A572" s="9">
        <v>560</v>
      </c>
      <c r="B572" s="8">
        <v>700.58299999999997</v>
      </c>
      <c r="C572" s="8">
        <f t="shared" si="88"/>
        <v>0.15899999999999181</v>
      </c>
      <c r="D572" s="8">
        <f t="shared" si="81"/>
        <v>1.3215777815545913</v>
      </c>
      <c r="E572" s="8">
        <f t="shared" si="82"/>
        <v>1.0616604361005504</v>
      </c>
      <c r="F572" s="8">
        <f t="shared" si="89"/>
        <v>0</v>
      </c>
      <c r="G572" s="8">
        <f t="shared" si="90"/>
        <v>3.5254911485809703</v>
      </c>
      <c r="H572" s="8">
        <f t="shared" si="83"/>
        <v>1.0791218697829723</v>
      </c>
      <c r="I572" s="8">
        <f t="shared" si="84"/>
        <v>0</v>
      </c>
      <c r="J572" s="2" t="str">
        <f t="shared" si="85"/>
        <v>Y</v>
      </c>
      <c r="K572" s="2" t="str">
        <f t="shared" si="86"/>
        <v/>
      </c>
      <c r="L572" s="2" t="str">
        <f t="shared" si="87"/>
        <v/>
      </c>
    </row>
    <row r="573" spans="1:12">
      <c r="A573" s="9">
        <v>561</v>
      </c>
      <c r="B573" s="8">
        <v>700.84799999999996</v>
      </c>
      <c r="C573" s="8">
        <f t="shared" si="88"/>
        <v>0.26499999999998636</v>
      </c>
      <c r="D573" s="8">
        <f t="shared" si="81"/>
        <v>1.3215777815545913</v>
      </c>
      <c r="E573" s="8">
        <f t="shared" si="82"/>
        <v>1.0616604361005504</v>
      </c>
      <c r="F573" s="8">
        <f t="shared" si="89"/>
        <v>0</v>
      </c>
      <c r="G573" s="8">
        <f t="shared" si="90"/>
        <v>3.5254911485809703</v>
      </c>
      <c r="H573" s="8">
        <f t="shared" si="83"/>
        <v>1.0791218697829723</v>
      </c>
      <c r="I573" s="8">
        <f t="shared" si="84"/>
        <v>0</v>
      </c>
      <c r="J573" s="2" t="str">
        <f t="shared" si="85"/>
        <v>Y</v>
      </c>
      <c r="K573" s="2" t="str">
        <f t="shared" si="86"/>
        <v/>
      </c>
      <c r="L573" s="2" t="str">
        <f t="shared" si="87"/>
        <v/>
      </c>
    </row>
    <row r="574" spans="1:12">
      <c r="A574" s="9">
        <v>562</v>
      </c>
      <c r="B574" s="8">
        <v>703.01199999999994</v>
      </c>
      <c r="C574" s="8">
        <f t="shared" si="88"/>
        <v>2.1639999999999873</v>
      </c>
      <c r="D574" s="8">
        <f t="shared" si="81"/>
        <v>1.3215777815545913</v>
      </c>
      <c r="E574" s="8">
        <f t="shared" si="82"/>
        <v>1.0616604361005504</v>
      </c>
      <c r="F574" s="8">
        <f t="shared" si="89"/>
        <v>0</v>
      </c>
      <c r="G574" s="8">
        <f t="shared" si="90"/>
        <v>3.5254911485809703</v>
      </c>
      <c r="H574" s="8">
        <f t="shared" si="83"/>
        <v>1.0791218697829723</v>
      </c>
      <c r="I574" s="8">
        <f t="shared" si="84"/>
        <v>0</v>
      </c>
      <c r="J574" s="2" t="str">
        <f t="shared" si="85"/>
        <v>Y</v>
      </c>
      <c r="K574" s="2" t="str">
        <f t="shared" si="86"/>
        <v/>
      </c>
      <c r="L574" s="2" t="str">
        <f t="shared" si="87"/>
        <v/>
      </c>
    </row>
    <row r="575" spans="1:12">
      <c r="A575" s="9">
        <v>563</v>
      </c>
      <c r="B575" s="8">
        <v>701.46</v>
      </c>
      <c r="C575" s="8">
        <f t="shared" si="88"/>
        <v>1.5519999999999072</v>
      </c>
      <c r="D575" s="8">
        <f t="shared" si="81"/>
        <v>1.3215777815545913</v>
      </c>
      <c r="E575" s="8">
        <f t="shared" si="82"/>
        <v>1.0616604361005504</v>
      </c>
      <c r="F575" s="8">
        <f t="shared" si="89"/>
        <v>0</v>
      </c>
      <c r="G575" s="8">
        <f t="shared" si="90"/>
        <v>3.5254911485809703</v>
      </c>
      <c r="H575" s="8">
        <f t="shared" si="83"/>
        <v>1.0791218697829723</v>
      </c>
      <c r="I575" s="8">
        <f t="shared" si="84"/>
        <v>0</v>
      </c>
      <c r="J575" s="2" t="str">
        <f t="shared" si="85"/>
        <v>Y</v>
      </c>
      <c r="K575" s="2" t="str">
        <f t="shared" si="86"/>
        <v/>
      </c>
      <c r="L575" s="2" t="str">
        <f t="shared" si="87"/>
        <v/>
      </c>
    </row>
    <row r="576" spans="1:12">
      <c r="A576" s="9">
        <v>564</v>
      </c>
      <c r="B576" s="8">
        <v>701.16200000000003</v>
      </c>
      <c r="C576" s="8">
        <f t="shared" si="88"/>
        <v>0.29800000000000182</v>
      </c>
      <c r="D576" s="8">
        <f t="shared" si="81"/>
        <v>1.3215777815545913</v>
      </c>
      <c r="E576" s="8">
        <f t="shared" si="82"/>
        <v>1.0616604361005504</v>
      </c>
      <c r="F576" s="8">
        <f t="shared" si="89"/>
        <v>0</v>
      </c>
      <c r="G576" s="8">
        <f t="shared" si="90"/>
        <v>3.5254911485809703</v>
      </c>
      <c r="H576" s="8">
        <f t="shared" si="83"/>
        <v>1.0791218697829723</v>
      </c>
      <c r="I576" s="8">
        <f t="shared" si="84"/>
        <v>0</v>
      </c>
      <c r="J576" s="2" t="str">
        <f t="shared" si="85"/>
        <v>Y</v>
      </c>
      <c r="K576" s="2" t="str">
        <f t="shared" si="86"/>
        <v/>
      </c>
      <c r="L576" s="2" t="str">
        <f t="shared" si="87"/>
        <v/>
      </c>
    </row>
    <row r="577" spans="1:12">
      <c r="A577" s="9">
        <v>565</v>
      </c>
      <c r="B577" s="8">
        <v>700.94500000000005</v>
      </c>
      <c r="C577" s="8">
        <f t="shared" si="88"/>
        <v>0.21699999999998454</v>
      </c>
      <c r="D577" s="8">
        <f t="shared" si="81"/>
        <v>1.3215777815545913</v>
      </c>
      <c r="E577" s="8">
        <f t="shared" si="82"/>
        <v>1.0616604361005504</v>
      </c>
      <c r="F577" s="8">
        <f t="shared" si="89"/>
        <v>0</v>
      </c>
      <c r="G577" s="8">
        <f t="shared" si="90"/>
        <v>3.5254911485809703</v>
      </c>
      <c r="H577" s="8">
        <f t="shared" si="83"/>
        <v>1.0791218697829723</v>
      </c>
      <c r="I577" s="8">
        <f t="shared" si="84"/>
        <v>0</v>
      </c>
      <c r="J577" s="2" t="str">
        <f t="shared" si="85"/>
        <v>Y</v>
      </c>
      <c r="K577" s="2" t="str">
        <f t="shared" si="86"/>
        <v/>
      </c>
      <c r="L577" s="2" t="str">
        <f t="shared" si="87"/>
        <v/>
      </c>
    </row>
    <row r="578" spans="1:12">
      <c r="A578" s="9">
        <v>566</v>
      </c>
      <c r="B578" s="8">
        <v>700.745</v>
      </c>
      <c r="C578" s="8">
        <f t="shared" si="88"/>
        <v>0.20000000000004547</v>
      </c>
      <c r="D578" s="8">
        <f t="shared" si="81"/>
        <v>1.3215777815545913</v>
      </c>
      <c r="E578" s="8">
        <f t="shared" si="82"/>
        <v>1.0616604361005504</v>
      </c>
      <c r="F578" s="8">
        <f t="shared" si="89"/>
        <v>0</v>
      </c>
      <c r="G578" s="8">
        <f t="shared" si="90"/>
        <v>3.5254911485809703</v>
      </c>
      <c r="H578" s="8">
        <f t="shared" si="83"/>
        <v>1.0791218697829723</v>
      </c>
      <c r="I578" s="8">
        <f t="shared" si="84"/>
        <v>0</v>
      </c>
      <c r="J578" s="2" t="str">
        <f t="shared" si="85"/>
        <v>Y</v>
      </c>
      <c r="K578" s="2" t="str">
        <f t="shared" si="86"/>
        <v/>
      </c>
      <c r="L578" s="2" t="str">
        <f t="shared" si="87"/>
        <v/>
      </c>
    </row>
    <row r="579" spans="1:12">
      <c r="A579" s="9">
        <v>567</v>
      </c>
      <c r="B579" s="8">
        <v>702.37599999999998</v>
      </c>
      <c r="C579" s="8">
        <f t="shared" si="88"/>
        <v>1.6309999999999718</v>
      </c>
      <c r="D579" s="8">
        <f t="shared" si="81"/>
        <v>1.3215777815545913</v>
      </c>
      <c r="E579" s="8">
        <f t="shared" si="82"/>
        <v>1.0616604361005504</v>
      </c>
      <c r="F579" s="8">
        <f t="shared" si="89"/>
        <v>0</v>
      </c>
      <c r="G579" s="8">
        <f t="shared" si="90"/>
        <v>3.5254911485809703</v>
      </c>
      <c r="H579" s="8">
        <f t="shared" si="83"/>
        <v>1.0791218697829723</v>
      </c>
      <c r="I579" s="8">
        <f t="shared" si="84"/>
        <v>0</v>
      </c>
      <c r="J579" s="2" t="str">
        <f t="shared" si="85"/>
        <v>Y</v>
      </c>
      <c r="K579" s="2" t="str">
        <f t="shared" si="86"/>
        <v/>
      </c>
      <c r="L579" s="2" t="str">
        <f t="shared" si="87"/>
        <v/>
      </c>
    </row>
    <row r="580" spans="1:12">
      <c r="A580" s="9">
        <v>568</v>
      </c>
      <c r="B580" s="8">
        <v>701.02599999999995</v>
      </c>
      <c r="C580" s="8">
        <f t="shared" si="88"/>
        <v>1.3500000000000227</v>
      </c>
      <c r="D580" s="8">
        <f t="shared" si="81"/>
        <v>1.3215777815545913</v>
      </c>
      <c r="E580" s="8">
        <f t="shared" si="82"/>
        <v>1.0616604361005504</v>
      </c>
      <c r="F580" s="8">
        <f t="shared" si="89"/>
        <v>0</v>
      </c>
      <c r="G580" s="8">
        <f t="shared" si="90"/>
        <v>3.5254911485809703</v>
      </c>
      <c r="H580" s="8">
        <f t="shared" si="83"/>
        <v>1.0791218697829723</v>
      </c>
      <c r="I580" s="8">
        <f t="shared" si="84"/>
        <v>0</v>
      </c>
      <c r="J580" s="2" t="str">
        <f t="shared" si="85"/>
        <v>Y</v>
      </c>
      <c r="K580" s="2" t="str">
        <f t="shared" si="86"/>
        <v/>
      </c>
      <c r="L580" s="2" t="str">
        <f t="shared" si="87"/>
        <v/>
      </c>
    </row>
    <row r="581" spans="1:12">
      <c r="A581" s="9">
        <v>569</v>
      </c>
      <c r="B581" s="8">
        <v>701.56</v>
      </c>
      <c r="C581" s="8">
        <f t="shared" si="88"/>
        <v>0.53399999999999181</v>
      </c>
      <c r="D581" s="8">
        <f t="shared" si="81"/>
        <v>1.3215777815545913</v>
      </c>
      <c r="E581" s="8">
        <f t="shared" si="82"/>
        <v>1.0616604361005504</v>
      </c>
      <c r="F581" s="8">
        <f t="shared" si="89"/>
        <v>0</v>
      </c>
      <c r="G581" s="8">
        <f t="shared" si="90"/>
        <v>3.5254911485809703</v>
      </c>
      <c r="H581" s="8">
        <f t="shared" si="83"/>
        <v>1.0791218697829723</v>
      </c>
      <c r="I581" s="8">
        <f t="shared" si="84"/>
        <v>0</v>
      </c>
      <c r="J581" s="2" t="str">
        <f t="shared" si="85"/>
        <v>Y</v>
      </c>
      <c r="K581" s="2" t="str">
        <f t="shared" si="86"/>
        <v/>
      </c>
      <c r="L581" s="2" t="str">
        <f t="shared" si="87"/>
        <v/>
      </c>
    </row>
    <row r="582" spans="1:12">
      <c r="A582" s="9">
        <v>570</v>
      </c>
      <c r="B582" s="8">
        <v>701.17899999999997</v>
      </c>
      <c r="C582" s="8">
        <f t="shared" si="88"/>
        <v>0.38099999999997181</v>
      </c>
      <c r="D582" s="8">
        <f t="shared" si="81"/>
        <v>1.3215777815545913</v>
      </c>
      <c r="E582" s="8">
        <f t="shared" si="82"/>
        <v>1.0616604361005504</v>
      </c>
      <c r="F582" s="8">
        <f t="shared" si="89"/>
        <v>0</v>
      </c>
      <c r="G582" s="8">
        <f t="shared" si="90"/>
        <v>3.5254911485809703</v>
      </c>
      <c r="H582" s="8">
        <f t="shared" si="83"/>
        <v>1.0791218697829723</v>
      </c>
      <c r="I582" s="8">
        <f t="shared" si="84"/>
        <v>0</v>
      </c>
      <c r="J582" s="2" t="str">
        <f t="shared" si="85"/>
        <v>Y</v>
      </c>
      <c r="K582" s="2" t="str">
        <f t="shared" si="86"/>
        <v/>
      </c>
      <c r="L582" s="2" t="str">
        <f t="shared" si="87"/>
        <v/>
      </c>
    </row>
    <row r="583" spans="1:12">
      <c r="A583" s="9">
        <v>571</v>
      </c>
      <c r="B583" s="8">
        <v>699.73599999999999</v>
      </c>
      <c r="C583" s="8">
        <f t="shared" si="88"/>
        <v>1.4429999999999836</v>
      </c>
      <c r="D583" s="8">
        <f t="shared" si="81"/>
        <v>1.3215777815545913</v>
      </c>
      <c r="E583" s="8">
        <f t="shared" si="82"/>
        <v>1.0616604361005504</v>
      </c>
      <c r="F583" s="8">
        <f t="shared" si="89"/>
        <v>0</v>
      </c>
      <c r="G583" s="8">
        <f t="shared" si="90"/>
        <v>3.5254911485809703</v>
      </c>
      <c r="H583" s="8">
        <f t="shared" si="83"/>
        <v>1.0791218697829723</v>
      </c>
      <c r="I583" s="8">
        <f t="shared" si="84"/>
        <v>0</v>
      </c>
      <c r="J583" s="2" t="str">
        <f t="shared" si="85"/>
        <v>Y</v>
      </c>
      <c r="K583" s="2" t="str">
        <f t="shared" si="86"/>
        <v/>
      </c>
      <c r="L583" s="2" t="str">
        <f t="shared" si="87"/>
        <v/>
      </c>
    </row>
    <row r="584" spans="1:12">
      <c r="A584" s="9">
        <v>572</v>
      </c>
      <c r="B584" s="8">
        <v>698.90800000000002</v>
      </c>
      <c r="C584" s="8">
        <f t="shared" si="88"/>
        <v>0.82799999999997453</v>
      </c>
      <c r="D584" s="8">
        <f t="shared" si="81"/>
        <v>1.3215777815545913</v>
      </c>
      <c r="E584" s="8">
        <f t="shared" si="82"/>
        <v>1.0616604361005504</v>
      </c>
      <c r="F584" s="8">
        <f t="shared" si="89"/>
        <v>0</v>
      </c>
      <c r="G584" s="8">
        <f t="shared" si="90"/>
        <v>3.5254911485809703</v>
      </c>
      <c r="H584" s="8">
        <f t="shared" si="83"/>
        <v>1.0791218697829723</v>
      </c>
      <c r="I584" s="8">
        <f t="shared" si="84"/>
        <v>0</v>
      </c>
      <c r="J584" s="2" t="str">
        <f t="shared" si="85"/>
        <v>Y</v>
      </c>
      <c r="K584" s="2" t="str">
        <f t="shared" si="86"/>
        <v/>
      </c>
      <c r="L584" s="2" t="str">
        <f t="shared" si="87"/>
        <v/>
      </c>
    </row>
    <row r="585" spans="1:12">
      <c r="A585" s="9">
        <v>573</v>
      </c>
      <c r="B585" s="8">
        <v>699.31100000000004</v>
      </c>
      <c r="C585" s="8">
        <f t="shared" si="88"/>
        <v>0.40300000000002001</v>
      </c>
      <c r="D585" s="8">
        <f t="shared" si="81"/>
        <v>1.3215777815545913</v>
      </c>
      <c r="E585" s="8">
        <f t="shared" si="82"/>
        <v>1.0616604361005504</v>
      </c>
      <c r="F585" s="8">
        <f t="shared" si="89"/>
        <v>0</v>
      </c>
      <c r="G585" s="8">
        <f t="shared" si="90"/>
        <v>3.5254911485809703</v>
      </c>
      <c r="H585" s="8">
        <f t="shared" si="83"/>
        <v>1.0791218697829723</v>
      </c>
      <c r="I585" s="8">
        <f t="shared" si="84"/>
        <v>0</v>
      </c>
      <c r="J585" s="2" t="str">
        <f t="shared" si="85"/>
        <v>Y</v>
      </c>
      <c r="K585" s="2" t="str">
        <f t="shared" si="86"/>
        <v/>
      </c>
      <c r="L585" s="2" t="str">
        <f t="shared" si="87"/>
        <v/>
      </c>
    </row>
    <row r="586" spans="1:12">
      <c r="A586" s="9">
        <v>574</v>
      </c>
      <c r="B586" s="8">
        <v>699.03499999999997</v>
      </c>
      <c r="C586" s="8">
        <f t="shared" si="88"/>
        <v>0.2760000000000673</v>
      </c>
      <c r="D586" s="8">
        <f t="shared" si="81"/>
        <v>1.3215777815545913</v>
      </c>
      <c r="E586" s="8">
        <f t="shared" si="82"/>
        <v>1.0616604361005504</v>
      </c>
      <c r="F586" s="8">
        <f t="shared" si="89"/>
        <v>0</v>
      </c>
      <c r="G586" s="8">
        <f t="shared" si="90"/>
        <v>3.5254911485809703</v>
      </c>
      <c r="H586" s="8">
        <f t="shared" si="83"/>
        <v>1.0791218697829723</v>
      </c>
      <c r="I586" s="8">
        <f t="shared" si="84"/>
        <v>0</v>
      </c>
      <c r="J586" s="2" t="str">
        <f t="shared" si="85"/>
        <v>Y</v>
      </c>
      <c r="K586" s="2" t="str">
        <f t="shared" si="86"/>
        <v/>
      </c>
      <c r="L586" s="2" t="str">
        <f t="shared" si="87"/>
        <v/>
      </c>
    </row>
    <row r="587" spans="1:12">
      <c r="A587" s="9">
        <v>575</v>
      </c>
      <c r="B587" s="8">
        <v>699.75199999999995</v>
      </c>
      <c r="C587" s="8">
        <f t="shared" si="88"/>
        <v>0.71699999999998454</v>
      </c>
      <c r="D587" s="8">
        <f t="shared" si="81"/>
        <v>1.3215777815545913</v>
      </c>
      <c r="E587" s="8">
        <f t="shared" si="82"/>
        <v>1.0616604361005504</v>
      </c>
      <c r="F587" s="8">
        <f t="shared" si="89"/>
        <v>0</v>
      </c>
      <c r="G587" s="8">
        <f t="shared" si="90"/>
        <v>3.5254911485809703</v>
      </c>
      <c r="H587" s="8">
        <f t="shared" si="83"/>
        <v>1.0791218697829723</v>
      </c>
      <c r="I587" s="8">
        <f t="shared" si="84"/>
        <v>0</v>
      </c>
      <c r="J587" s="2" t="str">
        <f t="shared" si="85"/>
        <v>Y</v>
      </c>
      <c r="K587" s="2" t="str">
        <f t="shared" si="86"/>
        <v/>
      </c>
      <c r="L587" s="2" t="str">
        <f t="shared" si="87"/>
        <v/>
      </c>
    </row>
    <row r="588" spans="1:12">
      <c r="A588" s="9">
        <v>576</v>
      </c>
      <c r="B588" s="8">
        <v>701.08900000000006</v>
      </c>
      <c r="C588" s="8">
        <f t="shared" si="88"/>
        <v>1.3370000000001028</v>
      </c>
      <c r="D588" s="8">
        <f t="shared" si="81"/>
        <v>1.3215777815545913</v>
      </c>
      <c r="E588" s="8">
        <f t="shared" si="82"/>
        <v>1.0616604361005504</v>
      </c>
      <c r="F588" s="8">
        <f t="shared" si="89"/>
        <v>0</v>
      </c>
      <c r="G588" s="8">
        <f t="shared" si="90"/>
        <v>3.5254911485809703</v>
      </c>
      <c r="H588" s="8">
        <f t="shared" si="83"/>
        <v>1.0791218697829723</v>
      </c>
      <c r="I588" s="8">
        <f t="shared" si="84"/>
        <v>0</v>
      </c>
      <c r="J588" s="2" t="str">
        <f t="shared" si="85"/>
        <v>Y</v>
      </c>
      <c r="K588" s="2" t="str">
        <f t="shared" si="86"/>
        <v/>
      </c>
      <c r="L588" s="2" t="str">
        <f t="shared" si="87"/>
        <v/>
      </c>
    </row>
    <row r="589" spans="1:12">
      <c r="A589" s="9">
        <v>577</v>
      </c>
      <c r="B589" s="8">
        <v>700.74199999999996</v>
      </c>
      <c r="C589" s="8">
        <f t="shared" si="88"/>
        <v>0.34700000000009368</v>
      </c>
      <c r="D589" s="8">
        <f t="shared" ref="D589:D612" si="91">$G$13</f>
        <v>1.3215777815545913</v>
      </c>
      <c r="E589" s="8">
        <f t="shared" ref="E589:E612" si="92">$G$14</f>
        <v>1.0616604361005504</v>
      </c>
      <c r="F589" s="8">
        <f t="shared" si="89"/>
        <v>0</v>
      </c>
      <c r="G589" s="8">
        <f t="shared" si="90"/>
        <v>3.5254911485809703</v>
      </c>
      <c r="H589" s="8">
        <f t="shared" ref="H589:H612" si="93">$G$17</f>
        <v>1.0791218697829723</v>
      </c>
      <c r="I589" s="8">
        <f t="shared" ref="I589:I612" si="94">$G$18</f>
        <v>0</v>
      </c>
      <c r="J589" s="2" t="str">
        <f t="shared" ref="J589:J612" si="95">IF(OR(B589&gt;D589,B589&lt;F589),"Y","")</f>
        <v>Y</v>
      </c>
      <c r="K589" s="2" t="str">
        <f t="shared" ref="K589:K612" si="96">IF(AND(C589&lt;&gt;"",C589&gt;G589),"Y","")</f>
        <v/>
      </c>
      <c r="L589" s="2" t="str">
        <f t="shared" ref="L589:L612" si="97">IF(OR(B589&lt;$B$5,B589&gt;$D$5),"Y","")</f>
        <v/>
      </c>
    </row>
    <row r="590" spans="1:12">
      <c r="A590" s="9">
        <v>578</v>
      </c>
      <c r="B590" s="8">
        <v>700.89400000000001</v>
      </c>
      <c r="C590" s="8">
        <f t="shared" ref="C590:C612" si="98">ABS(B590-B589)</f>
        <v>0.15200000000004366</v>
      </c>
      <c r="D590" s="8">
        <f t="shared" si="91"/>
        <v>1.3215777815545913</v>
      </c>
      <c r="E590" s="8">
        <f t="shared" si="92"/>
        <v>1.0616604361005504</v>
      </c>
      <c r="F590" s="8">
        <f t="shared" si="89"/>
        <v>0</v>
      </c>
      <c r="G590" s="8">
        <f t="shared" si="90"/>
        <v>3.5254911485809703</v>
      </c>
      <c r="H590" s="8">
        <f t="shared" si="93"/>
        <v>1.0791218697829723</v>
      </c>
      <c r="I590" s="8">
        <f t="shared" si="94"/>
        <v>0</v>
      </c>
      <c r="J590" s="2" t="str">
        <f t="shared" si="95"/>
        <v>Y</v>
      </c>
      <c r="K590" s="2" t="str">
        <f t="shared" si="96"/>
        <v/>
      </c>
      <c r="L590" s="2" t="str">
        <f t="shared" si="97"/>
        <v/>
      </c>
    </row>
    <row r="591" spans="1:12">
      <c r="A591" s="9">
        <v>579</v>
      </c>
      <c r="B591" s="8">
        <v>699.07100000000003</v>
      </c>
      <c r="C591" s="8">
        <f t="shared" si="98"/>
        <v>1.8229999999999791</v>
      </c>
      <c r="D591" s="8">
        <f t="shared" si="91"/>
        <v>1.3215777815545913</v>
      </c>
      <c r="E591" s="8">
        <f t="shared" si="92"/>
        <v>1.0616604361005504</v>
      </c>
      <c r="F591" s="8">
        <f t="shared" si="89"/>
        <v>0</v>
      </c>
      <c r="G591" s="8">
        <f t="shared" si="90"/>
        <v>3.5254911485809703</v>
      </c>
      <c r="H591" s="8">
        <f t="shared" si="93"/>
        <v>1.0791218697829723</v>
      </c>
      <c r="I591" s="8">
        <f t="shared" si="94"/>
        <v>0</v>
      </c>
      <c r="J591" s="2" t="str">
        <f t="shared" si="95"/>
        <v>Y</v>
      </c>
      <c r="K591" s="2" t="str">
        <f t="shared" si="96"/>
        <v/>
      </c>
      <c r="L591" s="2" t="str">
        <f t="shared" si="97"/>
        <v/>
      </c>
    </row>
    <row r="592" spans="1:12">
      <c r="A592" s="9">
        <v>580</v>
      </c>
      <c r="B592" s="8">
        <v>702.22500000000002</v>
      </c>
      <c r="C592" s="8">
        <f t="shared" si="98"/>
        <v>3.1539999999999964</v>
      </c>
      <c r="D592" s="8">
        <f t="shared" si="91"/>
        <v>1.3215777815545913</v>
      </c>
      <c r="E592" s="8">
        <f t="shared" si="92"/>
        <v>1.0616604361005504</v>
      </c>
      <c r="F592" s="8">
        <f t="shared" ref="F592:F612" si="99">$G$15</f>
        <v>0</v>
      </c>
      <c r="G592" s="8">
        <f t="shared" si="90"/>
        <v>3.5254911485809703</v>
      </c>
      <c r="H592" s="8">
        <f t="shared" si="93"/>
        <v>1.0791218697829723</v>
      </c>
      <c r="I592" s="8">
        <f t="shared" si="94"/>
        <v>0</v>
      </c>
      <c r="J592" s="2" t="str">
        <f t="shared" si="95"/>
        <v>Y</v>
      </c>
      <c r="K592" s="2" t="str">
        <f t="shared" si="96"/>
        <v/>
      </c>
      <c r="L592" s="2" t="str">
        <f t="shared" si="97"/>
        <v/>
      </c>
    </row>
    <row r="593" spans="1:12">
      <c r="A593" s="9">
        <v>581</v>
      </c>
      <c r="B593" s="8">
        <v>701.71199999999999</v>
      </c>
      <c r="C593" s="8">
        <f t="shared" si="98"/>
        <v>0.51300000000003365</v>
      </c>
      <c r="D593" s="8">
        <f t="shared" si="91"/>
        <v>1.3215777815545913</v>
      </c>
      <c r="E593" s="8">
        <f t="shared" si="92"/>
        <v>1.0616604361005504</v>
      </c>
      <c r="F593" s="8">
        <f t="shared" si="99"/>
        <v>0</v>
      </c>
      <c r="G593" s="8">
        <f t="shared" si="90"/>
        <v>3.5254911485809703</v>
      </c>
      <c r="H593" s="8">
        <f t="shared" si="93"/>
        <v>1.0791218697829723</v>
      </c>
      <c r="I593" s="8">
        <f t="shared" si="94"/>
        <v>0</v>
      </c>
      <c r="J593" s="2" t="str">
        <f t="shared" si="95"/>
        <v>Y</v>
      </c>
      <c r="K593" s="2" t="str">
        <f t="shared" si="96"/>
        <v/>
      </c>
      <c r="L593" s="2" t="str">
        <f t="shared" si="97"/>
        <v/>
      </c>
    </row>
    <row r="594" spans="1:12">
      <c r="A594" s="9">
        <v>582</v>
      </c>
      <c r="B594" s="8">
        <v>702.41200000000003</v>
      </c>
      <c r="C594" s="8">
        <f t="shared" si="98"/>
        <v>0.70000000000004547</v>
      </c>
      <c r="D594" s="8">
        <f t="shared" si="91"/>
        <v>1.3215777815545913</v>
      </c>
      <c r="E594" s="8">
        <f t="shared" si="92"/>
        <v>1.0616604361005504</v>
      </c>
      <c r="F594" s="8">
        <f t="shared" si="99"/>
        <v>0</v>
      </c>
      <c r="G594" s="8">
        <f t="shared" si="90"/>
        <v>3.5254911485809703</v>
      </c>
      <c r="H594" s="8">
        <f t="shared" si="93"/>
        <v>1.0791218697829723</v>
      </c>
      <c r="I594" s="8">
        <f t="shared" si="94"/>
        <v>0</v>
      </c>
      <c r="J594" s="2" t="str">
        <f t="shared" si="95"/>
        <v>Y</v>
      </c>
      <c r="K594" s="2" t="str">
        <f t="shared" si="96"/>
        <v/>
      </c>
      <c r="L594" s="2" t="str">
        <f t="shared" si="97"/>
        <v/>
      </c>
    </row>
    <row r="595" spans="1:12">
      <c r="A595" s="9">
        <v>583</v>
      </c>
      <c r="B595" s="8">
        <v>699.49199999999996</v>
      </c>
      <c r="C595" s="8">
        <f t="shared" si="98"/>
        <v>2.9200000000000728</v>
      </c>
      <c r="D595" s="8">
        <f t="shared" si="91"/>
        <v>1.3215777815545913</v>
      </c>
      <c r="E595" s="8">
        <f t="shared" si="92"/>
        <v>1.0616604361005504</v>
      </c>
      <c r="F595" s="8">
        <f t="shared" si="99"/>
        <v>0</v>
      </c>
      <c r="G595" s="8">
        <f t="shared" ref="G595:G612" si="100">$G$16</f>
        <v>3.5254911485809703</v>
      </c>
      <c r="H595" s="8">
        <f t="shared" si="93"/>
        <v>1.0791218697829723</v>
      </c>
      <c r="I595" s="8">
        <f t="shared" si="94"/>
        <v>0</v>
      </c>
      <c r="J595" s="2" t="str">
        <f t="shared" si="95"/>
        <v>Y</v>
      </c>
      <c r="K595" s="2" t="str">
        <f t="shared" si="96"/>
        <v/>
      </c>
      <c r="L595" s="2" t="str">
        <f t="shared" si="97"/>
        <v/>
      </c>
    </row>
    <row r="596" spans="1:12">
      <c r="A596" s="9">
        <v>584</v>
      </c>
      <c r="B596" s="8">
        <v>701.16700000000003</v>
      </c>
      <c r="C596" s="8">
        <f t="shared" si="98"/>
        <v>1.6750000000000682</v>
      </c>
      <c r="D596" s="8">
        <f t="shared" si="91"/>
        <v>1.3215777815545913</v>
      </c>
      <c r="E596" s="8">
        <f t="shared" si="92"/>
        <v>1.0616604361005504</v>
      </c>
      <c r="F596" s="8">
        <f t="shared" si="99"/>
        <v>0</v>
      </c>
      <c r="G596" s="8">
        <f t="shared" si="100"/>
        <v>3.5254911485809703</v>
      </c>
      <c r="H596" s="8">
        <f t="shared" si="93"/>
        <v>1.0791218697829723</v>
      </c>
      <c r="I596" s="8">
        <f t="shared" si="94"/>
        <v>0</v>
      </c>
      <c r="J596" s="2" t="str">
        <f t="shared" si="95"/>
        <v>Y</v>
      </c>
      <c r="K596" s="2" t="str">
        <f t="shared" si="96"/>
        <v/>
      </c>
      <c r="L596" s="2" t="str">
        <f t="shared" si="97"/>
        <v/>
      </c>
    </row>
    <row r="597" spans="1:12">
      <c r="A597" s="9">
        <v>585</v>
      </c>
      <c r="B597" s="8">
        <v>701.31600000000003</v>
      </c>
      <c r="C597" s="8">
        <f t="shared" si="98"/>
        <v>0.14900000000000091</v>
      </c>
      <c r="D597" s="8">
        <f t="shared" si="91"/>
        <v>1.3215777815545913</v>
      </c>
      <c r="E597" s="8">
        <f t="shared" si="92"/>
        <v>1.0616604361005504</v>
      </c>
      <c r="F597" s="8">
        <f t="shared" si="99"/>
        <v>0</v>
      </c>
      <c r="G597" s="8">
        <f t="shared" si="100"/>
        <v>3.5254911485809703</v>
      </c>
      <c r="H597" s="8">
        <f t="shared" si="93"/>
        <v>1.0791218697829723</v>
      </c>
      <c r="I597" s="8">
        <f t="shared" si="94"/>
        <v>0</v>
      </c>
      <c r="J597" s="2" t="str">
        <f t="shared" si="95"/>
        <v>Y</v>
      </c>
      <c r="K597" s="2" t="str">
        <f t="shared" si="96"/>
        <v/>
      </c>
      <c r="L597" s="2" t="str">
        <f t="shared" si="97"/>
        <v/>
      </c>
    </row>
    <row r="598" spans="1:12">
      <c r="A598" s="9">
        <v>586</v>
      </c>
      <c r="B598" s="8">
        <v>700.65099999999995</v>
      </c>
      <c r="C598" s="8">
        <f t="shared" si="98"/>
        <v>0.66500000000007731</v>
      </c>
      <c r="D598" s="8">
        <f t="shared" si="91"/>
        <v>1.3215777815545913</v>
      </c>
      <c r="E598" s="8">
        <f t="shared" si="92"/>
        <v>1.0616604361005504</v>
      </c>
      <c r="F598" s="8">
        <f t="shared" si="99"/>
        <v>0</v>
      </c>
      <c r="G598" s="8">
        <f t="shared" si="100"/>
        <v>3.5254911485809703</v>
      </c>
      <c r="H598" s="8">
        <f t="shared" si="93"/>
        <v>1.0791218697829723</v>
      </c>
      <c r="I598" s="8">
        <f t="shared" si="94"/>
        <v>0</v>
      </c>
      <c r="J598" s="2" t="str">
        <f t="shared" si="95"/>
        <v>Y</v>
      </c>
      <c r="K598" s="2" t="str">
        <f t="shared" si="96"/>
        <v/>
      </c>
      <c r="L598" s="2" t="str">
        <f t="shared" si="97"/>
        <v/>
      </c>
    </row>
    <row r="599" spans="1:12">
      <c r="A599" s="9">
        <v>587</v>
      </c>
      <c r="B599" s="8">
        <v>703.48099999999999</v>
      </c>
      <c r="C599" s="8">
        <f t="shared" si="98"/>
        <v>2.8300000000000409</v>
      </c>
      <c r="D599" s="8">
        <f t="shared" si="91"/>
        <v>1.3215777815545913</v>
      </c>
      <c r="E599" s="8">
        <f t="shared" si="92"/>
        <v>1.0616604361005504</v>
      </c>
      <c r="F599" s="8">
        <f t="shared" si="99"/>
        <v>0</v>
      </c>
      <c r="G599" s="8">
        <f t="shared" si="100"/>
        <v>3.5254911485809703</v>
      </c>
      <c r="H599" s="8">
        <f t="shared" si="93"/>
        <v>1.0791218697829723</v>
      </c>
      <c r="I599" s="8">
        <f t="shared" si="94"/>
        <v>0</v>
      </c>
      <c r="J599" s="2" t="str">
        <f t="shared" si="95"/>
        <v>Y</v>
      </c>
      <c r="K599" s="2" t="str">
        <f t="shared" si="96"/>
        <v/>
      </c>
      <c r="L599" s="2" t="str">
        <f t="shared" si="97"/>
        <v/>
      </c>
    </row>
    <row r="600" spans="1:12">
      <c r="A600" s="9">
        <v>588</v>
      </c>
      <c r="B600" s="8">
        <v>702.93</v>
      </c>
      <c r="C600" s="8">
        <f t="shared" si="98"/>
        <v>0.55100000000004457</v>
      </c>
      <c r="D600" s="8">
        <f t="shared" si="91"/>
        <v>1.3215777815545913</v>
      </c>
      <c r="E600" s="8">
        <f t="shared" si="92"/>
        <v>1.0616604361005504</v>
      </c>
      <c r="F600" s="8">
        <f t="shared" si="99"/>
        <v>0</v>
      </c>
      <c r="G600" s="8">
        <f t="shared" si="100"/>
        <v>3.5254911485809703</v>
      </c>
      <c r="H600" s="8">
        <f t="shared" si="93"/>
        <v>1.0791218697829723</v>
      </c>
      <c r="I600" s="8">
        <f t="shared" si="94"/>
        <v>0</v>
      </c>
      <c r="J600" s="2" t="str">
        <f t="shared" si="95"/>
        <v>Y</v>
      </c>
      <c r="K600" s="2" t="str">
        <f t="shared" si="96"/>
        <v/>
      </c>
      <c r="L600" s="2" t="str">
        <f t="shared" si="97"/>
        <v/>
      </c>
    </row>
    <row r="601" spans="1:12">
      <c r="A601" s="9">
        <v>589</v>
      </c>
      <c r="B601" s="8">
        <v>700.78899999999999</v>
      </c>
      <c r="C601" s="8">
        <f t="shared" si="98"/>
        <v>2.1409999999999627</v>
      </c>
      <c r="D601" s="8">
        <f t="shared" si="91"/>
        <v>1.3215777815545913</v>
      </c>
      <c r="E601" s="8">
        <f t="shared" si="92"/>
        <v>1.0616604361005504</v>
      </c>
      <c r="F601" s="8">
        <f t="shared" si="99"/>
        <v>0</v>
      </c>
      <c r="G601" s="8">
        <f t="shared" si="100"/>
        <v>3.5254911485809703</v>
      </c>
      <c r="H601" s="8">
        <f t="shared" si="93"/>
        <v>1.0791218697829723</v>
      </c>
      <c r="I601" s="8">
        <f t="shared" si="94"/>
        <v>0</v>
      </c>
      <c r="J601" s="2" t="str">
        <f t="shared" si="95"/>
        <v>Y</v>
      </c>
      <c r="K601" s="2" t="str">
        <f t="shared" si="96"/>
        <v/>
      </c>
      <c r="L601" s="2" t="str">
        <f t="shared" si="97"/>
        <v/>
      </c>
    </row>
    <row r="602" spans="1:12">
      <c r="A602" s="9">
        <v>590</v>
      </c>
      <c r="B602" s="8">
        <v>700.99699999999996</v>
      </c>
      <c r="C602" s="8">
        <f t="shared" si="98"/>
        <v>0.20799999999996999</v>
      </c>
      <c r="D602" s="8">
        <f t="shared" si="91"/>
        <v>1.3215777815545913</v>
      </c>
      <c r="E602" s="8">
        <f t="shared" si="92"/>
        <v>1.0616604361005504</v>
      </c>
      <c r="F602" s="8">
        <f t="shared" si="99"/>
        <v>0</v>
      </c>
      <c r="G602" s="8">
        <f t="shared" si="100"/>
        <v>3.5254911485809703</v>
      </c>
      <c r="H602" s="8">
        <f t="shared" si="93"/>
        <v>1.0791218697829723</v>
      </c>
      <c r="I602" s="8">
        <f t="shared" si="94"/>
        <v>0</v>
      </c>
      <c r="J602" s="2" t="str">
        <f t="shared" si="95"/>
        <v>Y</v>
      </c>
      <c r="K602" s="2" t="str">
        <f t="shared" si="96"/>
        <v/>
      </c>
      <c r="L602" s="2" t="str">
        <f t="shared" si="97"/>
        <v/>
      </c>
    </row>
    <row r="603" spans="1:12">
      <c r="A603" s="9">
        <v>591</v>
      </c>
      <c r="B603" s="8">
        <v>701.21900000000005</v>
      </c>
      <c r="C603" s="8">
        <f t="shared" si="98"/>
        <v>0.22200000000009368</v>
      </c>
      <c r="D603" s="8">
        <f t="shared" si="91"/>
        <v>1.3215777815545913</v>
      </c>
      <c r="E603" s="8">
        <f t="shared" si="92"/>
        <v>1.0616604361005504</v>
      </c>
      <c r="F603" s="8">
        <f t="shared" si="99"/>
        <v>0</v>
      </c>
      <c r="G603" s="8">
        <f t="shared" si="100"/>
        <v>3.5254911485809703</v>
      </c>
      <c r="H603" s="8">
        <f t="shared" si="93"/>
        <v>1.0791218697829723</v>
      </c>
      <c r="I603" s="8">
        <f t="shared" si="94"/>
        <v>0</v>
      </c>
      <c r="J603" s="2" t="str">
        <f t="shared" si="95"/>
        <v>Y</v>
      </c>
      <c r="K603" s="2" t="str">
        <f t="shared" si="96"/>
        <v/>
      </c>
      <c r="L603" s="2" t="str">
        <f t="shared" si="97"/>
        <v/>
      </c>
    </row>
    <row r="604" spans="1:12">
      <c r="A604" s="9">
        <v>592</v>
      </c>
      <c r="B604" s="8">
        <v>701.00900000000001</v>
      </c>
      <c r="C604" s="8">
        <f t="shared" si="98"/>
        <v>0.21000000000003638</v>
      </c>
      <c r="D604" s="8">
        <f t="shared" si="91"/>
        <v>1.3215777815545913</v>
      </c>
      <c r="E604" s="8">
        <f t="shared" si="92"/>
        <v>1.0616604361005504</v>
      </c>
      <c r="F604" s="8">
        <f t="shared" si="99"/>
        <v>0</v>
      </c>
      <c r="G604" s="8">
        <f t="shared" si="100"/>
        <v>3.5254911485809703</v>
      </c>
      <c r="H604" s="8">
        <f t="shared" si="93"/>
        <v>1.0791218697829723</v>
      </c>
      <c r="I604" s="8">
        <f t="shared" si="94"/>
        <v>0</v>
      </c>
      <c r="J604" s="2" t="str">
        <f t="shared" si="95"/>
        <v>Y</v>
      </c>
      <c r="K604" s="2" t="str">
        <f t="shared" si="96"/>
        <v/>
      </c>
      <c r="L604" s="2" t="str">
        <f t="shared" si="97"/>
        <v/>
      </c>
    </row>
    <row r="605" spans="1:12">
      <c r="A605" s="9">
        <v>593</v>
      </c>
      <c r="B605" s="8">
        <v>701.31</v>
      </c>
      <c r="C605" s="8">
        <f t="shared" si="98"/>
        <v>0.30099999999993088</v>
      </c>
      <c r="D605" s="8">
        <f t="shared" si="91"/>
        <v>1.3215777815545913</v>
      </c>
      <c r="E605" s="8">
        <f t="shared" si="92"/>
        <v>1.0616604361005504</v>
      </c>
      <c r="F605" s="8">
        <f t="shared" si="99"/>
        <v>0</v>
      </c>
      <c r="G605" s="8">
        <f t="shared" si="100"/>
        <v>3.5254911485809703</v>
      </c>
      <c r="H605" s="8">
        <f t="shared" si="93"/>
        <v>1.0791218697829723</v>
      </c>
      <c r="I605" s="8">
        <f t="shared" si="94"/>
        <v>0</v>
      </c>
      <c r="J605" s="2" t="str">
        <f t="shared" si="95"/>
        <v>Y</v>
      </c>
      <c r="K605" s="2" t="str">
        <f t="shared" si="96"/>
        <v/>
      </c>
      <c r="L605" s="2" t="str">
        <f t="shared" si="97"/>
        <v/>
      </c>
    </row>
    <row r="606" spans="1:12">
      <c r="A606" s="9">
        <v>594</v>
      </c>
      <c r="B606" s="8">
        <v>700.755</v>
      </c>
      <c r="C606" s="8">
        <f t="shared" si="98"/>
        <v>0.55499999999994998</v>
      </c>
      <c r="D606" s="8">
        <f t="shared" si="91"/>
        <v>1.3215777815545913</v>
      </c>
      <c r="E606" s="8">
        <f t="shared" si="92"/>
        <v>1.0616604361005504</v>
      </c>
      <c r="F606" s="8">
        <f t="shared" si="99"/>
        <v>0</v>
      </c>
      <c r="G606" s="8">
        <f t="shared" si="100"/>
        <v>3.5254911485809703</v>
      </c>
      <c r="H606" s="8">
        <f t="shared" si="93"/>
        <v>1.0791218697829723</v>
      </c>
      <c r="I606" s="8">
        <f t="shared" si="94"/>
        <v>0</v>
      </c>
      <c r="J606" s="2" t="str">
        <f t="shared" si="95"/>
        <v>Y</v>
      </c>
      <c r="K606" s="2" t="str">
        <f t="shared" si="96"/>
        <v/>
      </c>
      <c r="L606" s="2" t="str">
        <f t="shared" si="97"/>
        <v/>
      </c>
    </row>
    <row r="607" spans="1:12">
      <c r="A607" s="9">
        <v>595</v>
      </c>
      <c r="B607" s="8">
        <v>702.03899999999999</v>
      </c>
      <c r="C607" s="8">
        <f t="shared" si="98"/>
        <v>1.2839999999999918</v>
      </c>
      <c r="D607" s="8">
        <f t="shared" si="91"/>
        <v>1.3215777815545913</v>
      </c>
      <c r="E607" s="8">
        <f t="shared" si="92"/>
        <v>1.0616604361005504</v>
      </c>
      <c r="F607" s="8">
        <f t="shared" si="99"/>
        <v>0</v>
      </c>
      <c r="G607" s="8">
        <f t="shared" si="100"/>
        <v>3.5254911485809703</v>
      </c>
      <c r="H607" s="8">
        <f t="shared" si="93"/>
        <v>1.0791218697829723</v>
      </c>
      <c r="I607" s="8">
        <f t="shared" si="94"/>
        <v>0</v>
      </c>
      <c r="J607" s="2" t="str">
        <f t="shared" si="95"/>
        <v>Y</v>
      </c>
      <c r="K607" s="2" t="str">
        <f t="shared" si="96"/>
        <v/>
      </c>
      <c r="L607" s="2" t="str">
        <f t="shared" si="97"/>
        <v/>
      </c>
    </row>
    <row r="608" spans="1:12">
      <c r="A608" s="9">
        <v>596</v>
      </c>
      <c r="B608" s="8">
        <v>700.298</v>
      </c>
      <c r="C608" s="8">
        <f t="shared" si="98"/>
        <v>1.7409999999999854</v>
      </c>
      <c r="D608" s="8">
        <f t="shared" si="91"/>
        <v>1.3215777815545913</v>
      </c>
      <c r="E608" s="8">
        <f t="shared" si="92"/>
        <v>1.0616604361005504</v>
      </c>
      <c r="F608" s="8">
        <f t="shared" si="99"/>
        <v>0</v>
      </c>
      <c r="G608" s="8">
        <f t="shared" si="100"/>
        <v>3.5254911485809703</v>
      </c>
      <c r="H608" s="8">
        <f t="shared" si="93"/>
        <v>1.0791218697829723</v>
      </c>
      <c r="I608" s="8">
        <f t="shared" si="94"/>
        <v>0</v>
      </c>
      <c r="J608" s="2" t="str">
        <f t="shared" si="95"/>
        <v>Y</v>
      </c>
      <c r="K608" s="2" t="str">
        <f t="shared" si="96"/>
        <v/>
      </c>
      <c r="L608" s="2" t="str">
        <f t="shared" si="97"/>
        <v/>
      </c>
    </row>
    <row r="609" spans="1:12">
      <c r="A609" s="9">
        <v>597</v>
      </c>
      <c r="B609" s="8">
        <v>701.04300000000001</v>
      </c>
      <c r="C609" s="8">
        <f t="shared" si="98"/>
        <v>0.74500000000000455</v>
      </c>
      <c r="D609" s="8">
        <f t="shared" si="91"/>
        <v>1.3215777815545913</v>
      </c>
      <c r="E609" s="8">
        <f t="shared" si="92"/>
        <v>1.0616604361005504</v>
      </c>
      <c r="F609" s="8">
        <f t="shared" si="99"/>
        <v>0</v>
      </c>
      <c r="G609" s="8">
        <f t="shared" si="100"/>
        <v>3.5254911485809703</v>
      </c>
      <c r="H609" s="8">
        <f t="shared" si="93"/>
        <v>1.0791218697829723</v>
      </c>
      <c r="I609" s="8">
        <f t="shared" si="94"/>
        <v>0</v>
      </c>
      <c r="J609" s="2" t="str">
        <f t="shared" si="95"/>
        <v>Y</v>
      </c>
      <c r="K609" s="2" t="str">
        <f t="shared" si="96"/>
        <v/>
      </c>
      <c r="L609" s="2" t="str">
        <f t="shared" si="97"/>
        <v/>
      </c>
    </row>
    <row r="610" spans="1:12">
      <c r="A610" s="9">
        <v>598</v>
      </c>
      <c r="B610" s="8">
        <v>700.08199999999999</v>
      </c>
      <c r="C610" s="8">
        <f t="shared" si="98"/>
        <v>0.96100000000001273</v>
      </c>
      <c r="D610" s="8">
        <f t="shared" si="91"/>
        <v>1.3215777815545913</v>
      </c>
      <c r="E610" s="8">
        <f t="shared" si="92"/>
        <v>1.0616604361005504</v>
      </c>
      <c r="F610" s="8">
        <f t="shared" si="99"/>
        <v>0</v>
      </c>
      <c r="G610" s="8">
        <f t="shared" si="100"/>
        <v>3.5254911485809703</v>
      </c>
      <c r="H610" s="8">
        <f t="shared" si="93"/>
        <v>1.0791218697829723</v>
      </c>
      <c r="I610" s="8">
        <f t="shared" si="94"/>
        <v>0</v>
      </c>
      <c r="J610" s="2" t="str">
        <f t="shared" si="95"/>
        <v>Y</v>
      </c>
      <c r="K610" s="2" t="str">
        <f t="shared" si="96"/>
        <v/>
      </c>
      <c r="L610" s="2" t="str">
        <f t="shared" si="97"/>
        <v/>
      </c>
    </row>
    <row r="611" spans="1:12">
      <c r="A611" s="9">
        <v>599</v>
      </c>
      <c r="B611" s="8">
        <v>701.78599999999994</v>
      </c>
      <c r="C611" s="8">
        <f t="shared" si="98"/>
        <v>1.7039999999999509</v>
      </c>
      <c r="D611" s="8">
        <f t="shared" si="91"/>
        <v>1.3215777815545913</v>
      </c>
      <c r="E611" s="8">
        <f t="shared" si="92"/>
        <v>1.0616604361005504</v>
      </c>
      <c r="F611" s="8">
        <f t="shared" si="99"/>
        <v>0</v>
      </c>
      <c r="G611" s="8">
        <f t="shared" si="100"/>
        <v>3.5254911485809703</v>
      </c>
      <c r="H611" s="8">
        <f t="shared" si="93"/>
        <v>1.0791218697829723</v>
      </c>
      <c r="I611" s="8">
        <f t="shared" si="94"/>
        <v>0</v>
      </c>
      <c r="J611" s="2" t="str">
        <f t="shared" si="95"/>
        <v>Y</v>
      </c>
      <c r="K611" s="2" t="str">
        <f t="shared" si="96"/>
        <v/>
      </c>
      <c r="L611" s="2" t="str">
        <f t="shared" si="97"/>
        <v/>
      </c>
    </row>
    <row r="612" spans="1:12">
      <c r="A612" s="9">
        <v>600</v>
      </c>
      <c r="B612" s="8">
        <v>701.55</v>
      </c>
      <c r="C612" s="8">
        <f t="shared" si="98"/>
        <v>0.23599999999999</v>
      </c>
      <c r="D612" s="8">
        <f t="shared" si="91"/>
        <v>1.3215777815545913</v>
      </c>
      <c r="E612" s="8">
        <f t="shared" si="92"/>
        <v>1.0616604361005504</v>
      </c>
      <c r="F612" s="8">
        <f t="shared" si="99"/>
        <v>0</v>
      </c>
      <c r="G612" s="8">
        <f t="shared" si="100"/>
        <v>3.5254911485809703</v>
      </c>
      <c r="H612" s="8">
        <f t="shared" si="93"/>
        <v>1.0791218697829723</v>
      </c>
      <c r="I612" s="8">
        <f t="shared" si="94"/>
        <v>0</v>
      </c>
      <c r="J612" s="2" t="str">
        <f t="shared" si="95"/>
        <v>Y</v>
      </c>
      <c r="K612" s="2" t="str">
        <f t="shared" si="96"/>
        <v/>
      </c>
      <c r="L612" s="2" t="str">
        <f t="shared" si="97"/>
        <v/>
      </c>
    </row>
  </sheetData>
  <mergeCells count="2">
    <mergeCell ref="A2:L4"/>
    <mergeCell ref="A1:L1"/>
  </mergeCells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2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5.75"/>
  <cols>
    <col min="1" max="13" width="18" customWidth="1"/>
  </cols>
  <sheetData>
    <row r="1" spans="1:12" ht="21">
      <c r="A1" s="17" t="s">
        <v>676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20" t="s">
        <v>656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>
      <c r="A5" s="7" t="s">
        <v>4</v>
      </c>
      <c r="B5" s="9">
        <f>Settings!B6</f>
        <v>0</v>
      </c>
      <c r="C5" s="7" t="s">
        <v>5</v>
      </c>
      <c r="D5" s="9">
        <v>2</v>
      </c>
      <c r="F5" s="21" t="s">
        <v>657</v>
      </c>
      <c r="G5" s="22"/>
      <c r="I5" s="21" t="s">
        <v>658</v>
      </c>
      <c r="J5" s="22"/>
    </row>
    <row r="6" spans="1:12">
      <c r="F6" s="12" t="s">
        <v>3</v>
      </c>
      <c r="G6" s="13">
        <f>COUNT(B13:B100000)</f>
        <v>600</v>
      </c>
      <c r="I6" s="12" t="s">
        <v>659</v>
      </c>
      <c r="J6" s="14">
        <f t="shared" ref="J6:J11" si="0">G13</f>
        <v>1.5554284590900538</v>
      </c>
    </row>
    <row r="7" spans="1:12">
      <c r="F7" s="7" t="s">
        <v>660</v>
      </c>
      <c r="G7" s="8">
        <f>AVERAGE(B13:B100000)</f>
        <v>0.36946333333333364</v>
      </c>
      <c r="I7" s="7" t="s">
        <v>661</v>
      </c>
      <c r="J7" s="8">
        <f t="shared" si="0"/>
        <v>0.57467378325694207</v>
      </c>
    </row>
    <row r="8" spans="1:12">
      <c r="F8" s="7" t="s">
        <v>662</v>
      </c>
      <c r="G8" s="8">
        <f>AVERAGE(C14:C100000)</f>
        <v>0.17035726210350607</v>
      </c>
      <c r="I8" s="7" t="s">
        <v>663</v>
      </c>
      <c r="J8" s="8">
        <f t="shared" si="0"/>
        <v>0</v>
      </c>
    </row>
    <row r="9" spans="1:12">
      <c r="F9" s="7" t="s">
        <v>7</v>
      </c>
      <c r="G9" s="8">
        <f>G8/1.128</f>
        <v>0.15102594158112242</v>
      </c>
      <c r="I9" s="7" t="s">
        <v>664</v>
      </c>
      <c r="J9" s="8">
        <f t="shared" si="0"/>
        <v>0.55655717529215432</v>
      </c>
    </row>
    <row r="10" spans="1:12">
      <c r="F10" s="7" t="s">
        <v>8</v>
      </c>
      <c r="G10" s="8">
        <f>_xlfn.STDEV.S(B13:B100000)</f>
        <v>0.21430322390290951</v>
      </c>
      <c r="I10" s="7" t="s">
        <v>665</v>
      </c>
      <c r="J10" s="8">
        <f t="shared" si="0"/>
        <v>0.17035726210350607</v>
      </c>
    </row>
    <row r="11" spans="1:12">
      <c r="F11" s="7" t="s">
        <v>666</v>
      </c>
      <c r="G11" s="8">
        <f>($D$5-$B$5)/(6*G9)</f>
        <v>2.2071263376582619</v>
      </c>
      <c r="I11" s="7" t="s">
        <v>667</v>
      </c>
      <c r="J11" s="8">
        <f t="shared" si="0"/>
        <v>0</v>
      </c>
    </row>
    <row r="12" spans="1:12">
      <c r="A12" s="1" t="s">
        <v>644</v>
      </c>
      <c r="B12" s="1" t="s">
        <v>29</v>
      </c>
      <c r="C12" s="1" t="s">
        <v>668</v>
      </c>
      <c r="D12" s="1" t="s">
        <v>659</v>
      </c>
      <c r="E12" s="1" t="s">
        <v>661</v>
      </c>
      <c r="F12" s="1" t="s">
        <v>669</v>
      </c>
      <c r="G12" s="5">
        <f>MIN(($D$5-G7)/(3*G9),(G7-$B$5)/(3*G9))</f>
        <v>0.81545225379901431</v>
      </c>
      <c r="H12" s="1" t="s">
        <v>665</v>
      </c>
      <c r="I12" s="1" t="s">
        <v>667</v>
      </c>
      <c r="J12" s="1" t="s">
        <v>670</v>
      </c>
      <c r="K12" s="1" t="s">
        <v>671</v>
      </c>
      <c r="L12" s="1" t="s">
        <v>672</v>
      </c>
    </row>
    <row r="13" spans="1:12">
      <c r="A13" s="2">
        <v>1</v>
      </c>
      <c r="B13" s="4">
        <v>0.72199999999999998</v>
      </c>
      <c r="C13" s="4"/>
      <c r="D13" s="4">
        <f t="shared" ref="D13:D76" si="1">$G$13</f>
        <v>1.5554284590900538</v>
      </c>
      <c r="E13" s="4">
        <f t="shared" ref="E13:E76" si="2">$G$14</f>
        <v>0.57467378325694207</v>
      </c>
      <c r="F13" s="16" t="s">
        <v>673</v>
      </c>
      <c r="G13" s="8">
        <f>($D$5-$B$5)/(6*G10)</f>
        <v>1.5554284590900538</v>
      </c>
      <c r="H13" s="4">
        <f t="shared" ref="H13:H76" si="3">$G$17</f>
        <v>0.17035726210350607</v>
      </c>
      <c r="I13" s="4">
        <f t="shared" ref="I13:I76" si="4">$G$18</f>
        <v>0</v>
      </c>
      <c r="J13" s="2" t="str">
        <f t="shared" ref="J13:J76" si="5">IF(OR(B13&gt;D13,B13&lt;F13),"Y","")</f>
        <v>Y</v>
      </c>
      <c r="K13" s="2" t="str">
        <f t="shared" ref="K13:K76" si="6">IF(AND(C13&lt;&gt;"",C13&gt;G13),"Y","")</f>
        <v/>
      </c>
      <c r="L13" s="2" t="str">
        <f t="shared" ref="L13:L76" si="7">IF(OR(B13&lt;$B$5,B13&gt;$D$5),"Y","")</f>
        <v/>
      </c>
    </row>
    <row r="14" spans="1:12">
      <c r="A14" s="2">
        <v>2</v>
      </c>
      <c r="B14" s="4">
        <v>0.159</v>
      </c>
      <c r="C14" s="4">
        <f t="shared" ref="C14:C77" si="8">ABS(B14-B13)</f>
        <v>0.56299999999999994</v>
      </c>
      <c r="D14" s="4">
        <f t="shared" si="1"/>
        <v>1.5554284590900538</v>
      </c>
      <c r="E14" s="4">
        <f t="shared" si="2"/>
        <v>0.57467378325694207</v>
      </c>
      <c r="F14" s="16" t="s">
        <v>674</v>
      </c>
      <c r="G14" s="8">
        <f>MIN(($D$5-G7)/(3*G10),(G7-$B$5)/(3*G10))</f>
        <v>0.57467378325694207</v>
      </c>
      <c r="H14" s="4">
        <f t="shared" si="3"/>
        <v>0.17035726210350607</v>
      </c>
      <c r="I14" s="4">
        <f t="shared" si="4"/>
        <v>0</v>
      </c>
      <c r="J14" s="2" t="str">
        <f t="shared" si="5"/>
        <v>Y</v>
      </c>
      <c r="K14" s="2" t="str">
        <f t="shared" si="6"/>
        <v/>
      </c>
      <c r="L14" s="2" t="str">
        <f t="shared" si="7"/>
        <v/>
      </c>
    </row>
    <row r="15" spans="1:12">
      <c r="A15" s="2">
        <v>3</v>
      </c>
      <c r="B15" s="4">
        <v>6.6000000000000003E-2</v>
      </c>
      <c r="C15" s="4">
        <f t="shared" si="8"/>
        <v>9.2999999999999999E-2</v>
      </c>
      <c r="D15" s="4">
        <f t="shared" si="1"/>
        <v>1.5554284590900538</v>
      </c>
      <c r="E15" s="4">
        <f t="shared" si="2"/>
        <v>0.57467378325694207</v>
      </c>
      <c r="F15" s="16" t="s">
        <v>675</v>
      </c>
      <c r="G15" s="10">
        <f>COUNTIF(L13:L100000,"Y")</f>
        <v>0</v>
      </c>
      <c r="H15" s="4">
        <f t="shared" si="3"/>
        <v>0.17035726210350607</v>
      </c>
      <c r="I15" s="4">
        <f t="shared" si="4"/>
        <v>0</v>
      </c>
      <c r="J15" s="2" t="str">
        <f t="shared" si="5"/>
        <v>Y</v>
      </c>
      <c r="K15" s="2" t="str">
        <f t="shared" si="6"/>
        <v>Y</v>
      </c>
      <c r="L15" s="2" t="str">
        <f t="shared" si="7"/>
        <v/>
      </c>
    </row>
    <row r="16" spans="1:12">
      <c r="A16" s="2">
        <v>4</v>
      </c>
      <c r="B16" s="4">
        <v>0.36099999999999999</v>
      </c>
      <c r="C16" s="4">
        <f t="shared" si="8"/>
        <v>0.29499999999999998</v>
      </c>
      <c r="D16" s="4">
        <f t="shared" si="1"/>
        <v>1.5554284590900538</v>
      </c>
      <c r="E16" s="4">
        <f t="shared" si="2"/>
        <v>0.57467378325694207</v>
      </c>
      <c r="F16" s="4">
        <f t="shared" ref="F16:F79" si="9">$G$15</f>
        <v>0</v>
      </c>
      <c r="G16" s="4">
        <f>3.267*G8</f>
        <v>0.55655717529215432</v>
      </c>
      <c r="H16" s="4">
        <f t="shared" si="3"/>
        <v>0.17035726210350607</v>
      </c>
      <c r="I16" s="4">
        <f t="shared" si="4"/>
        <v>0</v>
      </c>
      <c r="J16" s="2" t="str">
        <f t="shared" si="5"/>
        <v/>
      </c>
      <c r="K16" s="2" t="str">
        <f t="shared" si="6"/>
        <v/>
      </c>
      <c r="L16" s="2" t="str">
        <f t="shared" si="7"/>
        <v/>
      </c>
    </row>
    <row r="17" spans="1:12">
      <c r="A17" s="2">
        <v>5</v>
      </c>
      <c r="B17" s="4">
        <v>0.27900000000000003</v>
      </c>
      <c r="C17" s="4">
        <f t="shared" si="8"/>
        <v>8.1999999999999962E-2</v>
      </c>
      <c r="D17" s="4">
        <f t="shared" si="1"/>
        <v>1.5554284590900538</v>
      </c>
      <c r="E17" s="4">
        <f t="shared" si="2"/>
        <v>0.57467378325694207</v>
      </c>
      <c r="F17" s="4">
        <f t="shared" si="9"/>
        <v>0</v>
      </c>
      <c r="G17" s="4">
        <f>G8</f>
        <v>0.17035726210350607</v>
      </c>
      <c r="H17" s="4">
        <f t="shared" si="3"/>
        <v>0.17035726210350607</v>
      </c>
      <c r="I17" s="4">
        <f t="shared" si="4"/>
        <v>0</v>
      </c>
      <c r="J17" s="2" t="str">
        <f t="shared" si="5"/>
        <v/>
      </c>
      <c r="K17" s="2" t="str">
        <f t="shared" si="6"/>
        <v/>
      </c>
      <c r="L17" s="2" t="str">
        <f t="shared" si="7"/>
        <v/>
      </c>
    </row>
    <row r="18" spans="1:12">
      <c r="A18" s="2">
        <v>6</v>
      </c>
      <c r="B18" s="4">
        <v>0.28299999999999997</v>
      </c>
      <c r="C18" s="4">
        <f t="shared" si="8"/>
        <v>3.999999999999948E-3</v>
      </c>
      <c r="D18" s="4">
        <f t="shared" si="1"/>
        <v>1.5554284590900538</v>
      </c>
      <c r="E18" s="4">
        <f t="shared" si="2"/>
        <v>0.57467378325694207</v>
      </c>
      <c r="F18" s="4">
        <f t="shared" si="9"/>
        <v>0</v>
      </c>
      <c r="G18" s="4">
        <f>0</f>
        <v>0</v>
      </c>
      <c r="H18" s="4">
        <f t="shared" si="3"/>
        <v>0.17035726210350607</v>
      </c>
      <c r="I18" s="4">
        <f t="shared" si="4"/>
        <v>0</v>
      </c>
      <c r="J18" s="2" t="str">
        <f t="shared" si="5"/>
        <v/>
      </c>
      <c r="K18" s="2" t="str">
        <f t="shared" si="6"/>
        <v>Y</v>
      </c>
      <c r="L18" s="2" t="str">
        <f t="shared" si="7"/>
        <v/>
      </c>
    </row>
    <row r="19" spans="1:12">
      <c r="A19" s="2">
        <v>7</v>
      </c>
      <c r="B19" s="4">
        <v>0.29899999999999999</v>
      </c>
      <c r="C19" s="4">
        <f t="shared" si="8"/>
        <v>1.6000000000000014E-2</v>
      </c>
      <c r="D19" s="4">
        <f t="shared" si="1"/>
        <v>1.5554284590900538</v>
      </c>
      <c r="E19" s="4">
        <f t="shared" si="2"/>
        <v>0.57467378325694207</v>
      </c>
      <c r="F19" s="4">
        <f t="shared" si="9"/>
        <v>0</v>
      </c>
      <c r="G19" s="4">
        <f t="shared" ref="G19:G82" si="10">$G$16</f>
        <v>0.55655717529215432</v>
      </c>
      <c r="H19" s="4">
        <f t="shared" si="3"/>
        <v>0.17035726210350607</v>
      </c>
      <c r="I19" s="4">
        <f t="shared" si="4"/>
        <v>0</v>
      </c>
      <c r="J19" s="2" t="str">
        <f t="shared" si="5"/>
        <v/>
      </c>
      <c r="K19" s="2" t="str">
        <f t="shared" si="6"/>
        <v/>
      </c>
      <c r="L19" s="2" t="str">
        <f t="shared" si="7"/>
        <v/>
      </c>
    </row>
    <row r="20" spans="1:12">
      <c r="A20" s="2">
        <v>8</v>
      </c>
      <c r="B20" s="4">
        <v>0.55200000000000005</v>
      </c>
      <c r="C20" s="4">
        <f t="shared" si="8"/>
        <v>0.25300000000000006</v>
      </c>
      <c r="D20" s="4">
        <f t="shared" si="1"/>
        <v>1.5554284590900538</v>
      </c>
      <c r="E20" s="4">
        <f t="shared" si="2"/>
        <v>0.57467378325694207</v>
      </c>
      <c r="F20" s="4">
        <f t="shared" si="9"/>
        <v>0</v>
      </c>
      <c r="G20" s="4">
        <f t="shared" si="10"/>
        <v>0.55655717529215432</v>
      </c>
      <c r="H20" s="4">
        <f t="shared" si="3"/>
        <v>0.17035726210350607</v>
      </c>
      <c r="I20" s="4">
        <f t="shared" si="4"/>
        <v>0</v>
      </c>
      <c r="J20" s="2" t="str">
        <f t="shared" si="5"/>
        <v/>
      </c>
      <c r="K20" s="2" t="str">
        <f t="shared" si="6"/>
        <v/>
      </c>
      <c r="L20" s="2" t="str">
        <f t="shared" si="7"/>
        <v/>
      </c>
    </row>
    <row r="21" spans="1:12">
      <c r="A21" s="2">
        <v>9</v>
      </c>
      <c r="B21" s="4">
        <v>0.40799999999999997</v>
      </c>
      <c r="C21" s="4">
        <f t="shared" si="8"/>
        <v>0.14400000000000007</v>
      </c>
      <c r="D21" s="4">
        <f t="shared" si="1"/>
        <v>1.5554284590900538</v>
      </c>
      <c r="E21" s="4">
        <f t="shared" si="2"/>
        <v>0.57467378325694207</v>
      </c>
      <c r="F21" s="4">
        <f t="shared" si="9"/>
        <v>0</v>
      </c>
      <c r="G21" s="4">
        <f t="shared" si="10"/>
        <v>0.55655717529215432</v>
      </c>
      <c r="H21" s="4">
        <f t="shared" si="3"/>
        <v>0.17035726210350607</v>
      </c>
      <c r="I21" s="4">
        <f t="shared" si="4"/>
        <v>0</v>
      </c>
      <c r="J21" s="2" t="str">
        <f t="shared" si="5"/>
        <v/>
      </c>
      <c r="K21" s="2" t="str">
        <f t="shared" si="6"/>
        <v/>
      </c>
      <c r="L21" s="2" t="str">
        <f t="shared" si="7"/>
        <v/>
      </c>
    </row>
    <row r="22" spans="1:12">
      <c r="A22" s="2">
        <v>10</v>
      </c>
      <c r="B22" s="4">
        <v>0.51800000000000002</v>
      </c>
      <c r="C22" s="4">
        <f t="shared" si="8"/>
        <v>0.11000000000000004</v>
      </c>
      <c r="D22" s="4">
        <f t="shared" si="1"/>
        <v>1.5554284590900538</v>
      </c>
      <c r="E22" s="4">
        <f t="shared" si="2"/>
        <v>0.57467378325694207</v>
      </c>
      <c r="F22" s="4">
        <f t="shared" si="9"/>
        <v>0</v>
      </c>
      <c r="G22" s="4">
        <f t="shared" si="10"/>
        <v>0.55655717529215432</v>
      </c>
      <c r="H22" s="4">
        <f t="shared" si="3"/>
        <v>0.17035726210350607</v>
      </c>
      <c r="I22" s="4">
        <f t="shared" si="4"/>
        <v>0</v>
      </c>
      <c r="J22" s="2" t="str">
        <f t="shared" si="5"/>
        <v/>
      </c>
      <c r="K22" s="2" t="str">
        <f t="shared" si="6"/>
        <v/>
      </c>
      <c r="L22" s="2" t="str">
        <f t="shared" si="7"/>
        <v/>
      </c>
    </row>
    <row r="23" spans="1:12">
      <c r="A23" s="2">
        <v>11</v>
      </c>
      <c r="B23" s="4">
        <v>0.495</v>
      </c>
      <c r="C23" s="4">
        <f t="shared" si="8"/>
        <v>2.300000000000002E-2</v>
      </c>
      <c r="D23" s="4">
        <f t="shared" si="1"/>
        <v>1.5554284590900538</v>
      </c>
      <c r="E23" s="4">
        <f t="shared" si="2"/>
        <v>0.57467378325694207</v>
      </c>
      <c r="F23" s="4">
        <f t="shared" si="9"/>
        <v>0</v>
      </c>
      <c r="G23" s="4">
        <f t="shared" si="10"/>
        <v>0.55655717529215432</v>
      </c>
      <c r="H23" s="4">
        <f t="shared" si="3"/>
        <v>0.17035726210350607</v>
      </c>
      <c r="I23" s="4">
        <f t="shared" si="4"/>
        <v>0</v>
      </c>
      <c r="J23" s="2" t="str">
        <f t="shared" si="5"/>
        <v/>
      </c>
      <c r="K23" s="2" t="str">
        <f t="shared" si="6"/>
        <v/>
      </c>
      <c r="L23" s="2" t="str">
        <f t="shared" si="7"/>
        <v/>
      </c>
    </row>
    <row r="24" spans="1:12">
      <c r="A24" s="2">
        <v>12</v>
      </c>
      <c r="B24" s="4">
        <v>0.45300000000000001</v>
      </c>
      <c r="C24" s="4">
        <f t="shared" si="8"/>
        <v>4.1999999999999982E-2</v>
      </c>
      <c r="D24" s="4">
        <f t="shared" si="1"/>
        <v>1.5554284590900538</v>
      </c>
      <c r="E24" s="4">
        <f t="shared" si="2"/>
        <v>0.57467378325694207</v>
      </c>
      <c r="F24" s="4">
        <f t="shared" si="9"/>
        <v>0</v>
      </c>
      <c r="G24" s="4">
        <f t="shared" si="10"/>
        <v>0.55655717529215432</v>
      </c>
      <c r="H24" s="4">
        <f t="shared" si="3"/>
        <v>0.17035726210350607</v>
      </c>
      <c r="I24" s="4">
        <f t="shared" si="4"/>
        <v>0</v>
      </c>
      <c r="J24" s="2" t="str">
        <f t="shared" si="5"/>
        <v/>
      </c>
      <c r="K24" s="2" t="str">
        <f t="shared" si="6"/>
        <v/>
      </c>
      <c r="L24" s="2" t="str">
        <f t="shared" si="7"/>
        <v/>
      </c>
    </row>
    <row r="25" spans="1:12">
      <c r="A25" s="2">
        <v>13</v>
      </c>
      <c r="B25" s="4">
        <v>0.33</v>
      </c>
      <c r="C25" s="4">
        <f t="shared" si="8"/>
        <v>0.123</v>
      </c>
      <c r="D25" s="4">
        <f t="shared" si="1"/>
        <v>1.5554284590900538</v>
      </c>
      <c r="E25" s="4">
        <f t="shared" si="2"/>
        <v>0.57467378325694207</v>
      </c>
      <c r="F25" s="4">
        <f t="shared" si="9"/>
        <v>0</v>
      </c>
      <c r="G25" s="4">
        <f t="shared" si="10"/>
        <v>0.55655717529215432</v>
      </c>
      <c r="H25" s="4">
        <f t="shared" si="3"/>
        <v>0.17035726210350607</v>
      </c>
      <c r="I25" s="4">
        <f t="shared" si="4"/>
        <v>0</v>
      </c>
      <c r="J25" s="2" t="str">
        <f t="shared" si="5"/>
        <v/>
      </c>
      <c r="K25" s="2" t="str">
        <f t="shared" si="6"/>
        <v/>
      </c>
      <c r="L25" s="2" t="str">
        <f t="shared" si="7"/>
        <v/>
      </c>
    </row>
    <row r="26" spans="1:12">
      <c r="A26" s="2">
        <v>14</v>
      </c>
      <c r="B26" s="4">
        <v>0.51900000000000002</v>
      </c>
      <c r="C26" s="4">
        <f t="shared" si="8"/>
        <v>0.189</v>
      </c>
      <c r="D26" s="4">
        <f t="shared" si="1"/>
        <v>1.5554284590900538</v>
      </c>
      <c r="E26" s="4">
        <f t="shared" si="2"/>
        <v>0.57467378325694207</v>
      </c>
      <c r="F26" s="4">
        <f t="shared" si="9"/>
        <v>0</v>
      </c>
      <c r="G26" s="4">
        <f t="shared" si="10"/>
        <v>0.55655717529215432</v>
      </c>
      <c r="H26" s="4">
        <f t="shared" si="3"/>
        <v>0.17035726210350607</v>
      </c>
      <c r="I26" s="4">
        <f t="shared" si="4"/>
        <v>0</v>
      </c>
      <c r="J26" s="2" t="str">
        <f t="shared" si="5"/>
        <v/>
      </c>
      <c r="K26" s="2" t="str">
        <f t="shared" si="6"/>
        <v/>
      </c>
      <c r="L26" s="2" t="str">
        <f t="shared" si="7"/>
        <v/>
      </c>
    </row>
    <row r="27" spans="1:12">
      <c r="A27" s="2">
        <v>15</v>
      </c>
      <c r="B27" s="4">
        <v>0.34100000000000003</v>
      </c>
      <c r="C27" s="4">
        <f t="shared" si="8"/>
        <v>0.17799999999999999</v>
      </c>
      <c r="D27" s="4">
        <f t="shared" si="1"/>
        <v>1.5554284590900538</v>
      </c>
      <c r="E27" s="4">
        <f t="shared" si="2"/>
        <v>0.57467378325694207</v>
      </c>
      <c r="F27" s="4">
        <f t="shared" si="9"/>
        <v>0</v>
      </c>
      <c r="G27" s="4">
        <f t="shared" si="10"/>
        <v>0.55655717529215432</v>
      </c>
      <c r="H27" s="4">
        <f t="shared" si="3"/>
        <v>0.17035726210350607</v>
      </c>
      <c r="I27" s="4">
        <f t="shared" si="4"/>
        <v>0</v>
      </c>
      <c r="J27" s="2" t="str">
        <f t="shared" si="5"/>
        <v/>
      </c>
      <c r="K27" s="2" t="str">
        <f t="shared" si="6"/>
        <v/>
      </c>
      <c r="L27" s="2" t="str">
        <f t="shared" si="7"/>
        <v/>
      </c>
    </row>
    <row r="28" spans="1:12">
      <c r="A28" s="2">
        <v>16</v>
      </c>
      <c r="B28" s="4">
        <v>0.996</v>
      </c>
      <c r="C28" s="4">
        <f t="shared" si="8"/>
        <v>0.65500000000000003</v>
      </c>
      <c r="D28" s="4">
        <f t="shared" si="1"/>
        <v>1.5554284590900538</v>
      </c>
      <c r="E28" s="4">
        <f t="shared" si="2"/>
        <v>0.57467378325694207</v>
      </c>
      <c r="F28" s="4">
        <f t="shared" si="9"/>
        <v>0</v>
      </c>
      <c r="G28" s="4">
        <f t="shared" si="10"/>
        <v>0.55655717529215432</v>
      </c>
      <c r="H28" s="4">
        <f t="shared" si="3"/>
        <v>0.17035726210350607</v>
      </c>
      <c r="I28" s="4">
        <f t="shared" si="4"/>
        <v>0</v>
      </c>
      <c r="J28" s="2" t="str">
        <f t="shared" si="5"/>
        <v/>
      </c>
      <c r="K28" s="2" t="str">
        <f t="shared" si="6"/>
        <v>Y</v>
      </c>
      <c r="L28" s="2" t="str">
        <f t="shared" si="7"/>
        <v/>
      </c>
    </row>
    <row r="29" spans="1:12">
      <c r="A29" s="2">
        <v>17</v>
      </c>
      <c r="B29" s="4">
        <v>0.252</v>
      </c>
      <c r="C29" s="4">
        <f t="shared" si="8"/>
        <v>0.74399999999999999</v>
      </c>
      <c r="D29" s="4">
        <f t="shared" si="1"/>
        <v>1.5554284590900538</v>
      </c>
      <c r="E29" s="4">
        <f t="shared" si="2"/>
        <v>0.57467378325694207</v>
      </c>
      <c r="F29" s="4">
        <f t="shared" si="9"/>
        <v>0</v>
      </c>
      <c r="G29" s="4">
        <f t="shared" si="10"/>
        <v>0.55655717529215432</v>
      </c>
      <c r="H29" s="4">
        <f t="shared" si="3"/>
        <v>0.17035726210350607</v>
      </c>
      <c r="I29" s="4">
        <f t="shared" si="4"/>
        <v>0</v>
      </c>
      <c r="J29" s="2" t="str">
        <f t="shared" si="5"/>
        <v/>
      </c>
      <c r="K29" s="2" t="str">
        <f t="shared" si="6"/>
        <v>Y</v>
      </c>
      <c r="L29" s="2" t="str">
        <f t="shared" si="7"/>
        <v/>
      </c>
    </row>
    <row r="30" spans="1:12">
      <c r="A30" s="2">
        <v>18</v>
      </c>
      <c r="B30" s="4">
        <v>0.13</v>
      </c>
      <c r="C30" s="4">
        <f t="shared" si="8"/>
        <v>0.122</v>
      </c>
      <c r="D30" s="4">
        <f t="shared" si="1"/>
        <v>1.5554284590900538</v>
      </c>
      <c r="E30" s="4">
        <f t="shared" si="2"/>
        <v>0.57467378325694207</v>
      </c>
      <c r="F30" s="4">
        <f t="shared" si="9"/>
        <v>0</v>
      </c>
      <c r="G30" s="4">
        <f t="shared" si="10"/>
        <v>0.55655717529215432</v>
      </c>
      <c r="H30" s="4">
        <f t="shared" si="3"/>
        <v>0.17035726210350607</v>
      </c>
      <c r="I30" s="4">
        <f t="shared" si="4"/>
        <v>0</v>
      </c>
      <c r="J30" s="2" t="str">
        <f t="shared" si="5"/>
        <v/>
      </c>
      <c r="K30" s="2" t="str">
        <f t="shared" si="6"/>
        <v/>
      </c>
      <c r="L30" s="2" t="str">
        <f t="shared" si="7"/>
        <v/>
      </c>
    </row>
    <row r="31" spans="1:12">
      <c r="A31" s="2">
        <v>19</v>
      </c>
      <c r="B31" s="4">
        <v>0.44800000000000001</v>
      </c>
      <c r="C31" s="4">
        <f t="shared" si="8"/>
        <v>0.318</v>
      </c>
      <c r="D31" s="4">
        <f t="shared" si="1"/>
        <v>1.5554284590900538</v>
      </c>
      <c r="E31" s="4">
        <f t="shared" si="2"/>
        <v>0.57467378325694207</v>
      </c>
      <c r="F31" s="4">
        <f t="shared" si="9"/>
        <v>0</v>
      </c>
      <c r="G31" s="4">
        <f t="shared" si="10"/>
        <v>0.55655717529215432</v>
      </c>
      <c r="H31" s="4">
        <f t="shared" si="3"/>
        <v>0.17035726210350607</v>
      </c>
      <c r="I31" s="4">
        <f t="shared" si="4"/>
        <v>0</v>
      </c>
      <c r="J31" s="2" t="str">
        <f t="shared" si="5"/>
        <v/>
      </c>
      <c r="K31" s="2" t="str">
        <f t="shared" si="6"/>
        <v/>
      </c>
      <c r="L31" s="2" t="str">
        <f t="shared" si="7"/>
        <v/>
      </c>
    </row>
    <row r="32" spans="1:12">
      <c r="A32" s="2">
        <v>20</v>
      </c>
      <c r="B32" s="4">
        <v>0.434</v>
      </c>
      <c r="C32" s="4">
        <f t="shared" si="8"/>
        <v>1.4000000000000012E-2</v>
      </c>
      <c r="D32" s="4">
        <f t="shared" si="1"/>
        <v>1.5554284590900538</v>
      </c>
      <c r="E32" s="4">
        <f t="shared" si="2"/>
        <v>0.57467378325694207</v>
      </c>
      <c r="F32" s="4">
        <f t="shared" si="9"/>
        <v>0</v>
      </c>
      <c r="G32" s="4">
        <f t="shared" si="10"/>
        <v>0.55655717529215432</v>
      </c>
      <c r="H32" s="4">
        <f t="shared" si="3"/>
        <v>0.17035726210350607</v>
      </c>
      <c r="I32" s="4">
        <f t="shared" si="4"/>
        <v>0</v>
      </c>
      <c r="J32" s="2" t="str">
        <f t="shared" si="5"/>
        <v/>
      </c>
      <c r="K32" s="2" t="str">
        <f t="shared" si="6"/>
        <v/>
      </c>
      <c r="L32" s="2" t="str">
        <f t="shared" si="7"/>
        <v/>
      </c>
    </row>
    <row r="33" spans="1:12">
      <c r="A33" s="2">
        <v>21</v>
      </c>
      <c r="B33" s="4">
        <v>0.215</v>
      </c>
      <c r="C33" s="4">
        <f t="shared" si="8"/>
        <v>0.219</v>
      </c>
      <c r="D33" s="4">
        <f t="shared" si="1"/>
        <v>1.5554284590900538</v>
      </c>
      <c r="E33" s="4">
        <f t="shared" si="2"/>
        <v>0.57467378325694207</v>
      </c>
      <c r="F33" s="4">
        <f t="shared" si="9"/>
        <v>0</v>
      </c>
      <c r="G33" s="4">
        <f t="shared" si="10"/>
        <v>0.55655717529215432</v>
      </c>
      <c r="H33" s="4">
        <f t="shared" si="3"/>
        <v>0.17035726210350607</v>
      </c>
      <c r="I33" s="4">
        <f t="shared" si="4"/>
        <v>0</v>
      </c>
      <c r="J33" s="2" t="str">
        <f t="shared" si="5"/>
        <v/>
      </c>
      <c r="K33" s="2" t="str">
        <f t="shared" si="6"/>
        <v/>
      </c>
      <c r="L33" s="2" t="str">
        <f t="shared" si="7"/>
        <v/>
      </c>
    </row>
    <row r="34" spans="1:12">
      <c r="A34" s="2">
        <v>22</v>
      </c>
      <c r="B34" s="4">
        <v>0.309</v>
      </c>
      <c r="C34" s="4">
        <f t="shared" si="8"/>
        <v>9.4E-2</v>
      </c>
      <c r="D34" s="4">
        <f t="shared" si="1"/>
        <v>1.5554284590900538</v>
      </c>
      <c r="E34" s="4">
        <f t="shared" si="2"/>
        <v>0.57467378325694207</v>
      </c>
      <c r="F34" s="4">
        <f t="shared" si="9"/>
        <v>0</v>
      </c>
      <c r="G34" s="4">
        <f t="shared" si="10"/>
        <v>0.55655717529215432</v>
      </c>
      <c r="H34" s="4">
        <f t="shared" si="3"/>
        <v>0.17035726210350607</v>
      </c>
      <c r="I34" s="4">
        <f t="shared" si="4"/>
        <v>0</v>
      </c>
      <c r="J34" s="2" t="str">
        <f t="shared" si="5"/>
        <v/>
      </c>
      <c r="K34" s="2" t="str">
        <f t="shared" si="6"/>
        <v/>
      </c>
      <c r="L34" s="2" t="str">
        <f t="shared" si="7"/>
        <v/>
      </c>
    </row>
    <row r="35" spans="1:12">
      <c r="A35" s="2">
        <v>23</v>
      </c>
      <c r="B35" s="4">
        <v>0.125</v>
      </c>
      <c r="C35" s="4">
        <f t="shared" si="8"/>
        <v>0.184</v>
      </c>
      <c r="D35" s="4">
        <f t="shared" si="1"/>
        <v>1.5554284590900538</v>
      </c>
      <c r="E35" s="4">
        <f t="shared" si="2"/>
        <v>0.57467378325694207</v>
      </c>
      <c r="F35" s="4">
        <f t="shared" si="9"/>
        <v>0</v>
      </c>
      <c r="G35" s="4">
        <f t="shared" si="10"/>
        <v>0.55655717529215432</v>
      </c>
      <c r="H35" s="4">
        <f t="shared" si="3"/>
        <v>0.17035726210350607</v>
      </c>
      <c r="I35" s="4">
        <f t="shared" si="4"/>
        <v>0</v>
      </c>
      <c r="J35" s="2" t="str">
        <f t="shared" si="5"/>
        <v/>
      </c>
      <c r="K35" s="2" t="str">
        <f t="shared" si="6"/>
        <v/>
      </c>
      <c r="L35" s="2" t="str">
        <f t="shared" si="7"/>
        <v/>
      </c>
    </row>
    <row r="36" spans="1:12">
      <c r="A36" s="2">
        <v>24</v>
      </c>
      <c r="B36" s="4">
        <v>0.27200000000000002</v>
      </c>
      <c r="C36" s="4">
        <f t="shared" si="8"/>
        <v>0.14700000000000002</v>
      </c>
      <c r="D36" s="4">
        <f t="shared" si="1"/>
        <v>1.5554284590900538</v>
      </c>
      <c r="E36" s="4">
        <f t="shared" si="2"/>
        <v>0.57467378325694207</v>
      </c>
      <c r="F36" s="4">
        <f t="shared" si="9"/>
        <v>0</v>
      </c>
      <c r="G36" s="4">
        <f t="shared" si="10"/>
        <v>0.55655717529215432</v>
      </c>
      <c r="H36" s="4">
        <f t="shared" si="3"/>
        <v>0.17035726210350607</v>
      </c>
      <c r="I36" s="4">
        <f t="shared" si="4"/>
        <v>0</v>
      </c>
      <c r="J36" s="2" t="str">
        <f t="shared" si="5"/>
        <v/>
      </c>
      <c r="K36" s="2" t="str">
        <f t="shared" si="6"/>
        <v/>
      </c>
      <c r="L36" s="2" t="str">
        <f t="shared" si="7"/>
        <v/>
      </c>
    </row>
    <row r="37" spans="1:12">
      <c r="A37" s="2">
        <v>25</v>
      </c>
      <c r="B37" s="4">
        <v>0.309</v>
      </c>
      <c r="C37" s="4">
        <f t="shared" si="8"/>
        <v>3.6999999999999977E-2</v>
      </c>
      <c r="D37" s="4">
        <f t="shared" si="1"/>
        <v>1.5554284590900538</v>
      </c>
      <c r="E37" s="4">
        <f t="shared" si="2"/>
        <v>0.57467378325694207</v>
      </c>
      <c r="F37" s="4">
        <f t="shared" si="9"/>
        <v>0</v>
      </c>
      <c r="G37" s="4">
        <f t="shared" si="10"/>
        <v>0.55655717529215432</v>
      </c>
      <c r="H37" s="4">
        <f t="shared" si="3"/>
        <v>0.17035726210350607</v>
      </c>
      <c r="I37" s="4">
        <f t="shared" si="4"/>
        <v>0</v>
      </c>
      <c r="J37" s="2" t="str">
        <f t="shared" si="5"/>
        <v/>
      </c>
      <c r="K37" s="2" t="str">
        <f t="shared" si="6"/>
        <v/>
      </c>
      <c r="L37" s="2" t="str">
        <f t="shared" si="7"/>
        <v/>
      </c>
    </row>
    <row r="38" spans="1:12">
      <c r="A38" s="2">
        <v>26</v>
      </c>
      <c r="B38" s="4">
        <v>0.43099999999999999</v>
      </c>
      <c r="C38" s="4">
        <f t="shared" si="8"/>
        <v>0.122</v>
      </c>
      <c r="D38" s="4">
        <f t="shared" si="1"/>
        <v>1.5554284590900538</v>
      </c>
      <c r="E38" s="4">
        <f t="shared" si="2"/>
        <v>0.57467378325694207</v>
      </c>
      <c r="F38" s="4">
        <f t="shared" si="9"/>
        <v>0</v>
      </c>
      <c r="G38" s="4">
        <f t="shared" si="10"/>
        <v>0.55655717529215432</v>
      </c>
      <c r="H38" s="4">
        <f t="shared" si="3"/>
        <v>0.17035726210350607</v>
      </c>
      <c r="I38" s="4">
        <f t="shared" si="4"/>
        <v>0</v>
      </c>
      <c r="J38" s="2" t="str">
        <f t="shared" si="5"/>
        <v/>
      </c>
      <c r="K38" s="2" t="str">
        <f t="shared" si="6"/>
        <v/>
      </c>
      <c r="L38" s="2" t="str">
        <f t="shared" si="7"/>
        <v/>
      </c>
    </row>
    <row r="39" spans="1:12">
      <c r="A39" s="2">
        <v>27</v>
      </c>
      <c r="B39" s="4">
        <v>0.23499999999999999</v>
      </c>
      <c r="C39" s="4">
        <f t="shared" si="8"/>
        <v>0.19600000000000001</v>
      </c>
      <c r="D39" s="4">
        <f t="shared" si="1"/>
        <v>1.5554284590900538</v>
      </c>
      <c r="E39" s="4">
        <f t="shared" si="2"/>
        <v>0.57467378325694207</v>
      </c>
      <c r="F39" s="4">
        <f t="shared" si="9"/>
        <v>0</v>
      </c>
      <c r="G39" s="4">
        <f t="shared" si="10"/>
        <v>0.55655717529215432</v>
      </c>
      <c r="H39" s="4">
        <f t="shared" si="3"/>
        <v>0.17035726210350607</v>
      </c>
      <c r="I39" s="4">
        <f t="shared" si="4"/>
        <v>0</v>
      </c>
      <c r="J39" s="2" t="str">
        <f t="shared" si="5"/>
        <v/>
      </c>
      <c r="K39" s="2" t="str">
        <f t="shared" si="6"/>
        <v/>
      </c>
      <c r="L39" s="2" t="str">
        <f t="shared" si="7"/>
        <v/>
      </c>
    </row>
    <row r="40" spans="1:12">
      <c r="A40" s="2">
        <v>28</v>
      </c>
      <c r="B40" s="4">
        <v>0.249</v>
      </c>
      <c r="C40" s="4">
        <f t="shared" si="8"/>
        <v>1.4000000000000012E-2</v>
      </c>
      <c r="D40" s="4">
        <f t="shared" si="1"/>
        <v>1.5554284590900538</v>
      </c>
      <c r="E40" s="4">
        <f t="shared" si="2"/>
        <v>0.57467378325694207</v>
      </c>
      <c r="F40" s="4">
        <f t="shared" si="9"/>
        <v>0</v>
      </c>
      <c r="G40" s="4">
        <f t="shared" si="10"/>
        <v>0.55655717529215432</v>
      </c>
      <c r="H40" s="4">
        <f t="shared" si="3"/>
        <v>0.17035726210350607</v>
      </c>
      <c r="I40" s="4">
        <f t="shared" si="4"/>
        <v>0</v>
      </c>
      <c r="J40" s="2" t="str">
        <f t="shared" si="5"/>
        <v/>
      </c>
      <c r="K40" s="2" t="str">
        <f t="shared" si="6"/>
        <v/>
      </c>
      <c r="L40" s="2" t="str">
        <f t="shared" si="7"/>
        <v/>
      </c>
    </row>
    <row r="41" spans="1:12">
      <c r="A41" s="2">
        <v>29</v>
      </c>
      <c r="B41" s="4">
        <v>0.311</v>
      </c>
      <c r="C41" s="4">
        <f t="shared" si="8"/>
        <v>6.2E-2</v>
      </c>
      <c r="D41" s="4">
        <f t="shared" si="1"/>
        <v>1.5554284590900538</v>
      </c>
      <c r="E41" s="4">
        <f t="shared" si="2"/>
        <v>0.57467378325694207</v>
      </c>
      <c r="F41" s="4">
        <f t="shared" si="9"/>
        <v>0</v>
      </c>
      <c r="G41" s="4">
        <f t="shared" si="10"/>
        <v>0.55655717529215432</v>
      </c>
      <c r="H41" s="4">
        <f t="shared" si="3"/>
        <v>0.17035726210350607</v>
      </c>
      <c r="I41" s="4">
        <f t="shared" si="4"/>
        <v>0</v>
      </c>
      <c r="J41" s="2" t="str">
        <f t="shared" si="5"/>
        <v/>
      </c>
      <c r="K41" s="2" t="str">
        <f t="shared" si="6"/>
        <v/>
      </c>
      <c r="L41" s="2" t="str">
        <f t="shared" si="7"/>
        <v/>
      </c>
    </row>
    <row r="42" spans="1:12">
      <c r="A42" s="2">
        <v>30</v>
      </c>
      <c r="B42" s="4">
        <v>0.26200000000000001</v>
      </c>
      <c r="C42" s="4">
        <f t="shared" si="8"/>
        <v>4.8999999999999988E-2</v>
      </c>
      <c r="D42" s="4">
        <f t="shared" si="1"/>
        <v>1.5554284590900538</v>
      </c>
      <c r="E42" s="4">
        <f t="shared" si="2"/>
        <v>0.57467378325694207</v>
      </c>
      <c r="F42" s="4">
        <f t="shared" si="9"/>
        <v>0</v>
      </c>
      <c r="G42" s="4">
        <f t="shared" si="10"/>
        <v>0.55655717529215432</v>
      </c>
      <c r="H42" s="4">
        <f t="shared" si="3"/>
        <v>0.17035726210350607</v>
      </c>
      <c r="I42" s="4">
        <f t="shared" si="4"/>
        <v>0</v>
      </c>
      <c r="J42" s="2" t="str">
        <f t="shared" si="5"/>
        <v/>
      </c>
      <c r="K42" s="2" t="str">
        <f t="shared" si="6"/>
        <v/>
      </c>
      <c r="L42" s="2" t="str">
        <f t="shared" si="7"/>
        <v/>
      </c>
    </row>
    <row r="43" spans="1:12">
      <c r="A43" s="2">
        <v>31</v>
      </c>
      <c r="B43" s="4">
        <v>0.33300000000000002</v>
      </c>
      <c r="C43" s="4">
        <f t="shared" si="8"/>
        <v>7.1000000000000008E-2</v>
      </c>
      <c r="D43" s="4">
        <f t="shared" si="1"/>
        <v>1.5554284590900538</v>
      </c>
      <c r="E43" s="4">
        <f t="shared" si="2"/>
        <v>0.57467378325694207</v>
      </c>
      <c r="F43" s="4">
        <f t="shared" si="9"/>
        <v>0</v>
      </c>
      <c r="G43" s="4">
        <f t="shared" si="10"/>
        <v>0.55655717529215432</v>
      </c>
      <c r="H43" s="4">
        <f t="shared" si="3"/>
        <v>0.17035726210350607</v>
      </c>
      <c r="I43" s="4">
        <f t="shared" si="4"/>
        <v>0</v>
      </c>
      <c r="J43" s="2" t="str">
        <f t="shared" si="5"/>
        <v/>
      </c>
      <c r="K43" s="2" t="str">
        <f t="shared" si="6"/>
        <v/>
      </c>
      <c r="L43" s="2" t="str">
        <f t="shared" si="7"/>
        <v/>
      </c>
    </row>
    <row r="44" spans="1:12">
      <c r="A44" s="2">
        <v>32</v>
      </c>
      <c r="B44" s="4">
        <v>0.26400000000000001</v>
      </c>
      <c r="C44" s="4">
        <f t="shared" si="8"/>
        <v>6.9000000000000006E-2</v>
      </c>
      <c r="D44" s="4">
        <f t="shared" si="1"/>
        <v>1.5554284590900538</v>
      </c>
      <c r="E44" s="4">
        <f t="shared" si="2"/>
        <v>0.57467378325694207</v>
      </c>
      <c r="F44" s="4">
        <f t="shared" si="9"/>
        <v>0</v>
      </c>
      <c r="G44" s="4">
        <f t="shared" si="10"/>
        <v>0.55655717529215432</v>
      </c>
      <c r="H44" s="4">
        <f t="shared" si="3"/>
        <v>0.17035726210350607</v>
      </c>
      <c r="I44" s="4">
        <f t="shared" si="4"/>
        <v>0</v>
      </c>
      <c r="J44" s="2" t="str">
        <f t="shared" si="5"/>
        <v/>
      </c>
      <c r="K44" s="2" t="str">
        <f t="shared" si="6"/>
        <v/>
      </c>
      <c r="L44" s="2" t="str">
        <f t="shared" si="7"/>
        <v/>
      </c>
    </row>
    <row r="45" spans="1:12">
      <c r="A45" s="2">
        <v>33</v>
      </c>
      <c r="B45" s="4">
        <v>0.58899999999999997</v>
      </c>
      <c r="C45" s="4">
        <f t="shared" si="8"/>
        <v>0.32499999999999996</v>
      </c>
      <c r="D45" s="4">
        <f t="shared" si="1"/>
        <v>1.5554284590900538</v>
      </c>
      <c r="E45" s="4">
        <f t="shared" si="2"/>
        <v>0.57467378325694207</v>
      </c>
      <c r="F45" s="4">
        <f t="shared" si="9"/>
        <v>0</v>
      </c>
      <c r="G45" s="4">
        <f t="shared" si="10"/>
        <v>0.55655717529215432</v>
      </c>
      <c r="H45" s="4">
        <f t="shared" si="3"/>
        <v>0.17035726210350607</v>
      </c>
      <c r="I45" s="4">
        <f t="shared" si="4"/>
        <v>0</v>
      </c>
      <c r="J45" s="2" t="str">
        <f t="shared" si="5"/>
        <v/>
      </c>
      <c r="K45" s="2" t="str">
        <f t="shared" si="6"/>
        <v/>
      </c>
      <c r="L45" s="2" t="str">
        <f t="shared" si="7"/>
        <v/>
      </c>
    </row>
    <row r="46" spans="1:12">
      <c r="A46" s="2">
        <v>34</v>
      </c>
      <c r="B46" s="4">
        <v>1.044</v>
      </c>
      <c r="C46" s="4">
        <f t="shared" si="8"/>
        <v>0.45500000000000007</v>
      </c>
      <c r="D46" s="4">
        <f t="shared" si="1"/>
        <v>1.5554284590900538</v>
      </c>
      <c r="E46" s="4">
        <f t="shared" si="2"/>
        <v>0.57467378325694207</v>
      </c>
      <c r="F46" s="4">
        <f t="shared" si="9"/>
        <v>0</v>
      </c>
      <c r="G46" s="4">
        <f t="shared" si="10"/>
        <v>0.55655717529215432</v>
      </c>
      <c r="H46" s="4">
        <f t="shared" si="3"/>
        <v>0.17035726210350607</v>
      </c>
      <c r="I46" s="4">
        <f t="shared" si="4"/>
        <v>0</v>
      </c>
      <c r="J46" s="2" t="str">
        <f t="shared" si="5"/>
        <v/>
      </c>
      <c r="K46" s="2" t="str">
        <f t="shared" si="6"/>
        <v/>
      </c>
      <c r="L46" s="2" t="str">
        <f t="shared" si="7"/>
        <v/>
      </c>
    </row>
    <row r="47" spans="1:12">
      <c r="A47" s="2">
        <v>35</v>
      </c>
      <c r="B47" s="4">
        <v>0.57099999999999995</v>
      </c>
      <c r="C47" s="4">
        <f t="shared" si="8"/>
        <v>0.47300000000000009</v>
      </c>
      <c r="D47" s="4">
        <f t="shared" si="1"/>
        <v>1.5554284590900538</v>
      </c>
      <c r="E47" s="4">
        <f t="shared" si="2"/>
        <v>0.57467378325694207</v>
      </c>
      <c r="F47" s="4">
        <f t="shared" si="9"/>
        <v>0</v>
      </c>
      <c r="G47" s="4">
        <f t="shared" si="10"/>
        <v>0.55655717529215432</v>
      </c>
      <c r="H47" s="4">
        <f t="shared" si="3"/>
        <v>0.17035726210350607</v>
      </c>
      <c r="I47" s="4">
        <f t="shared" si="4"/>
        <v>0</v>
      </c>
      <c r="J47" s="2" t="str">
        <f t="shared" si="5"/>
        <v/>
      </c>
      <c r="K47" s="2" t="str">
        <f t="shared" si="6"/>
        <v/>
      </c>
      <c r="L47" s="2" t="str">
        <f t="shared" si="7"/>
        <v/>
      </c>
    </row>
    <row r="48" spans="1:12">
      <c r="A48" s="2">
        <v>36</v>
      </c>
      <c r="B48" s="4">
        <v>0.80500000000000005</v>
      </c>
      <c r="C48" s="4">
        <f t="shared" si="8"/>
        <v>0.2340000000000001</v>
      </c>
      <c r="D48" s="4">
        <f t="shared" si="1"/>
        <v>1.5554284590900538</v>
      </c>
      <c r="E48" s="4">
        <f t="shared" si="2"/>
        <v>0.57467378325694207</v>
      </c>
      <c r="F48" s="4">
        <f t="shared" si="9"/>
        <v>0</v>
      </c>
      <c r="G48" s="4">
        <f t="shared" si="10"/>
        <v>0.55655717529215432</v>
      </c>
      <c r="H48" s="4">
        <f t="shared" si="3"/>
        <v>0.17035726210350607</v>
      </c>
      <c r="I48" s="4">
        <f t="shared" si="4"/>
        <v>0</v>
      </c>
      <c r="J48" s="2" t="str">
        <f t="shared" si="5"/>
        <v/>
      </c>
      <c r="K48" s="2" t="str">
        <f t="shared" si="6"/>
        <v/>
      </c>
      <c r="L48" s="2" t="str">
        <f t="shared" si="7"/>
        <v/>
      </c>
    </row>
    <row r="49" spans="1:12">
      <c r="A49" s="2">
        <v>37</v>
      </c>
      <c r="B49" s="4">
        <v>0.40699999999999997</v>
      </c>
      <c r="C49" s="4">
        <f t="shared" si="8"/>
        <v>0.39800000000000008</v>
      </c>
      <c r="D49" s="4">
        <f t="shared" si="1"/>
        <v>1.5554284590900538</v>
      </c>
      <c r="E49" s="4">
        <f t="shared" si="2"/>
        <v>0.57467378325694207</v>
      </c>
      <c r="F49" s="4">
        <f t="shared" si="9"/>
        <v>0</v>
      </c>
      <c r="G49" s="4">
        <f t="shared" si="10"/>
        <v>0.55655717529215432</v>
      </c>
      <c r="H49" s="4">
        <f t="shared" si="3"/>
        <v>0.17035726210350607</v>
      </c>
      <c r="I49" s="4">
        <f t="shared" si="4"/>
        <v>0</v>
      </c>
      <c r="J49" s="2" t="str">
        <f t="shared" si="5"/>
        <v/>
      </c>
      <c r="K49" s="2" t="str">
        <f t="shared" si="6"/>
        <v/>
      </c>
      <c r="L49" s="2" t="str">
        <f t="shared" si="7"/>
        <v/>
      </c>
    </row>
    <row r="50" spans="1:12">
      <c r="A50" s="2">
        <v>38</v>
      </c>
      <c r="B50" s="4">
        <v>1.1319999999999999</v>
      </c>
      <c r="C50" s="4">
        <f t="shared" si="8"/>
        <v>0.72499999999999987</v>
      </c>
      <c r="D50" s="4">
        <f t="shared" si="1"/>
        <v>1.5554284590900538</v>
      </c>
      <c r="E50" s="4">
        <f t="shared" si="2"/>
        <v>0.57467378325694207</v>
      </c>
      <c r="F50" s="4">
        <f t="shared" si="9"/>
        <v>0</v>
      </c>
      <c r="G50" s="4">
        <f t="shared" si="10"/>
        <v>0.55655717529215432</v>
      </c>
      <c r="H50" s="4">
        <f t="shared" si="3"/>
        <v>0.17035726210350607</v>
      </c>
      <c r="I50" s="4">
        <f t="shared" si="4"/>
        <v>0</v>
      </c>
      <c r="J50" s="2" t="str">
        <f t="shared" si="5"/>
        <v/>
      </c>
      <c r="K50" s="2" t="str">
        <f t="shared" si="6"/>
        <v>Y</v>
      </c>
      <c r="L50" s="2" t="str">
        <f t="shared" si="7"/>
        <v/>
      </c>
    </row>
    <row r="51" spans="1:12">
      <c r="A51" s="2">
        <v>39</v>
      </c>
      <c r="B51" s="4">
        <v>0.46100000000000002</v>
      </c>
      <c r="C51" s="4">
        <f t="shared" si="8"/>
        <v>0.67099999999999982</v>
      </c>
      <c r="D51" s="4">
        <f t="shared" si="1"/>
        <v>1.5554284590900538</v>
      </c>
      <c r="E51" s="4">
        <f t="shared" si="2"/>
        <v>0.57467378325694207</v>
      </c>
      <c r="F51" s="4">
        <f t="shared" si="9"/>
        <v>0</v>
      </c>
      <c r="G51" s="4">
        <f t="shared" si="10"/>
        <v>0.55655717529215432</v>
      </c>
      <c r="H51" s="4">
        <f t="shared" si="3"/>
        <v>0.17035726210350607</v>
      </c>
      <c r="I51" s="4">
        <f t="shared" si="4"/>
        <v>0</v>
      </c>
      <c r="J51" s="2" t="str">
        <f t="shared" si="5"/>
        <v/>
      </c>
      <c r="K51" s="2" t="str">
        <f t="shared" si="6"/>
        <v>Y</v>
      </c>
      <c r="L51" s="2" t="str">
        <f t="shared" si="7"/>
        <v/>
      </c>
    </row>
    <row r="52" spans="1:12">
      <c r="A52" s="2">
        <v>40</v>
      </c>
      <c r="B52" s="4">
        <v>0.44900000000000001</v>
      </c>
      <c r="C52" s="4">
        <f t="shared" si="8"/>
        <v>1.2000000000000011E-2</v>
      </c>
      <c r="D52" s="4">
        <f t="shared" si="1"/>
        <v>1.5554284590900538</v>
      </c>
      <c r="E52" s="4">
        <f t="shared" si="2"/>
        <v>0.57467378325694207</v>
      </c>
      <c r="F52" s="4">
        <f t="shared" si="9"/>
        <v>0</v>
      </c>
      <c r="G52" s="4">
        <f t="shared" si="10"/>
        <v>0.55655717529215432</v>
      </c>
      <c r="H52" s="4">
        <f t="shared" si="3"/>
        <v>0.17035726210350607</v>
      </c>
      <c r="I52" s="4">
        <f t="shared" si="4"/>
        <v>0</v>
      </c>
      <c r="J52" s="2" t="str">
        <f t="shared" si="5"/>
        <v/>
      </c>
      <c r="K52" s="2" t="str">
        <f t="shared" si="6"/>
        <v/>
      </c>
      <c r="L52" s="2" t="str">
        <f t="shared" si="7"/>
        <v/>
      </c>
    </row>
    <row r="53" spans="1:12">
      <c r="A53" s="2">
        <v>41</v>
      </c>
      <c r="B53" s="4">
        <v>0.443</v>
      </c>
      <c r="C53" s="4">
        <f t="shared" si="8"/>
        <v>6.0000000000000053E-3</v>
      </c>
      <c r="D53" s="4">
        <f t="shared" si="1"/>
        <v>1.5554284590900538</v>
      </c>
      <c r="E53" s="4">
        <f t="shared" si="2"/>
        <v>0.57467378325694207</v>
      </c>
      <c r="F53" s="4">
        <f t="shared" si="9"/>
        <v>0</v>
      </c>
      <c r="G53" s="4">
        <f t="shared" si="10"/>
        <v>0.55655717529215432</v>
      </c>
      <c r="H53" s="4">
        <f t="shared" si="3"/>
        <v>0.17035726210350607</v>
      </c>
      <c r="I53" s="4">
        <f t="shared" si="4"/>
        <v>0</v>
      </c>
      <c r="J53" s="2" t="str">
        <f t="shared" si="5"/>
        <v/>
      </c>
      <c r="K53" s="2" t="str">
        <f t="shared" si="6"/>
        <v/>
      </c>
      <c r="L53" s="2" t="str">
        <f t="shared" si="7"/>
        <v/>
      </c>
    </row>
    <row r="54" spans="1:12">
      <c r="A54" s="2">
        <v>42</v>
      </c>
      <c r="B54" s="4">
        <v>0.41899999999999998</v>
      </c>
      <c r="C54" s="4">
        <f t="shared" si="8"/>
        <v>2.4000000000000021E-2</v>
      </c>
      <c r="D54" s="4">
        <f t="shared" si="1"/>
        <v>1.5554284590900538</v>
      </c>
      <c r="E54" s="4">
        <f t="shared" si="2"/>
        <v>0.57467378325694207</v>
      </c>
      <c r="F54" s="4">
        <f t="shared" si="9"/>
        <v>0</v>
      </c>
      <c r="G54" s="4">
        <f t="shared" si="10"/>
        <v>0.55655717529215432</v>
      </c>
      <c r="H54" s="4">
        <f t="shared" si="3"/>
        <v>0.17035726210350607</v>
      </c>
      <c r="I54" s="4">
        <f t="shared" si="4"/>
        <v>0</v>
      </c>
      <c r="J54" s="2" t="str">
        <f t="shared" si="5"/>
        <v/>
      </c>
      <c r="K54" s="2" t="str">
        <f t="shared" si="6"/>
        <v/>
      </c>
      <c r="L54" s="2" t="str">
        <f t="shared" si="7"/>
        <v/>
      </c>
    </row>
    <row r="55" spans="1:12">
      <c r="A55" s="2">
        <v>43</v>
      </c>
      <c r="B55" s="4">
        <v>0.45700000000000002</v>
      </c>
      <c r="C55" s="4">
        <f t="shared" si="8"/>
        <v>3.8000000000000034E-2</v>
      </c>
      <c r="D55" s="4">
        <f t="shared" si="1"/>
        <v>1.5554284590900538</v>
      </c>
      <c r="E55" s="4">
        <f t="shared" si="2"/>
        <v>0.57467378325694207</v>
      </c>
      <c r="F55" s="4">
        <f t="shared" si="9"/>
        <v>0</v>
      </c>
      <c r="G55" s="4">
        <f t="shared" si="10"/>
        <v>0.55655717529215432</v>
      </c>
      <c r="H55" s="4">
        <f t="shared" si="3"/>
        <v>0.17035726210350607</v>
      </c>
      <c r="I55" s="4">
        <f t="shared" si="4"/>
        <v>0</v>
      </c>
      <c r="J55" s="2" t="str">
        <f t="shared" si="5"/>
        <v/>
      </c>
      <c r="K55" s="2" t="str">
        <f t="shared" si="6"/>
        <v/>
      </c>
      <c r="L55" s="2" t="str">
        <f t="shared" si="7"/>
        <v/>
      </c>
    </row>
    <row r="56" spans="1:12">
      <c r="A56" s="2">
        <v>44</v>
      </c>
      <c r="B56" s="4">
        <v>0.437</v>
      </c>
      <c r="C56" s="4">
        <f t="shared" si="8"/>
        <v>2.0000000000000018E-2</v>
      </c>
      <c r="D56" s="4">
        <f t="shared" si="1"/>
        <v>1.5554284590900538</v>
      </c>
      <c r="E56" s="4">
        <f t="shared" si="2"/>
        <v>0.57467378325694207</v>
      </c>
      <c r="F56" s="4">
        <f t="shared" si="9"/>
        <v>0</v>
      </c>
      <c r="G56" s="4">
        <f t="shared" si="10"/>
        <v>0.55655717529215432</v>
      </c>
      <c r="H56" s="4">
        <f t="shared" si="3"/>
        <v>0.17035726210350607</v>
      </c>
      <c r="I56" s="4">
        <f t="shared" si="4"/>
        <v>0</v>
      </c>
      <c r="J56" s="2" t="str">
        <f t="shared" si="5"/>
        <v/>
      </c>
      <c r="K56" s="2" t="str">
        <f t="shared" si="6"/>
        <v/>
      </c>
      <c r="L56" s="2" t="str">
        <f t="shared" si="7"/>
        <v/>
      </c>
    </row>
    <row r="57" spans="1:12">
      <c r="A57" s="2">
        <v>45</v>
      </c>
      <c r="B57" s="4">
        <v>0.502</v>
      </c>
      <c r="C57" s="4">
        <f t="shared" si="8"/>
        <v>6.5000000000000002E-2</v>
      </c>
      <c r="D57" s="4">
        <f t="shared" si="1"/>
        <v>1.5554284590900538</v>
      </c>
      <c r="E57" s="4">
        <f t="shared" si="2"/>
        <v>0.57467378325694207</v>
      </c>
      <c r="F57" s="4">
        <f t="shared" si="9"/>
        <v>0</v>
      </c>
      <c r="G57" s="4">
        <f t="shared" si="10"/>
        <v>0.55655717529215432</v>
      </c>
      <c r="H57" s="4">
        <f t="shared" si="3"/>
        <v>0.17035726210350607</v>
      </c>
      <c r="I57" s="4">
        <f t="shared" si="4"/>
        <v>0</v>
      </c>
      <c r="J57" s="2" t="str">
        <f t="shared" si="5"/>
        <v/>
      </c>
      <c r="K57" s="2" t="str">
        <f t="shared" si="6"/>
        <v/>
      </c>
      <c r="L57" s="2" t="str">
        <f t="shared" si="7"/>
        <v/>
      </c>
    </row>
    <row r="58" spans="1:12">
      <c r="A58" s="2">
        <v>46</v>
      </c>
      <c r="B58" s="4">
        <v>0.23799999999999999</v>
      </c>
      <c r="C58" s="4">
        <f t="shared" si="8"/>
        <v>0.26400000000000001</v>
      </c>
      <c r="D58" s="4">
        <f t="shared" si="1"/>
        <v>1.5554284590900538</v>
      </c>
      <c r="E58" s="4">
        <f t="shared" si="2"/>
        <v>0.57467378325694207</v>
      </c>
      <c r="F58" s="4">
        <f t="shared" si="9"/>
        <v>0</v>
      </c>
      <c r="G58" s="4">
        <f t="shared" si="10"/>
        <v>0.55655717529215432</v>
      </c>
      <c r="H58" s="4">
        <f t="shared" si="3"/>
        <v>0.17035726210350607</v>
      </c>
      <c r="I58" s="4">
        <f t="shared" si="4"/>
        <v>0</v>
      </c>
      <c r="J58" s="2" t="str">
        <f t="shared" si="5"/>
        <v/>
      </c>
      <c r="K58" s="2" t="str">
        <f t="shared" si="6"/>
        <v/>
      </c>
      <c r="L58" s="2" t="str">
        <f t="shared" si="7"/>
        <v/>
      </c>
    </row>
    <row r="59" spans="1:12">
      <c r="A59" s="2">
        <v>47</v>
      </c>
      <c r="B59" s="4">
        <v>0.17</v>
      </c>
      <c r="C59" s="4">
        <f t="shared" si="8"/>
        <v>6.7999999999999977E-2</v>
      </c>
      <c r="D59" s="4">
        <f t="shared" si="1"/>
        <v>1.5554284590900538</v>
      </c>
      <c r="E59" s="4">
        <f t="shared" si="2"/>
        <v>0.57467378325694207</v>
      </c>
      <c r="F59" s="4">
        <f t="shared" si="9"/>
        <v>0</v>
      </c>
      <c r="G59" s="4">
        <f t="shared" si="10"/>
        <v>0.55655717529215432</v>
      </c>
      <c r="H59" s="4">
        <f t="shared" si="3"/>
        <v>0.17035726210350607</v>
      </c>
      <c r="I59" s="4">
        <f t="shared" si="4"/>
        <v>0</v>
      </c>
      <c r="J59" s="2" t="str">
        <f t="shared" si="5"/>
        <v/>
      </c>
      <c r="K59" s="2" t="str">
        <f t="shared" si="6"/>
        <v/>
      </c>
      <c r="L59" s="2" t="str">
        <f t="shared" si="7"/>
        <v/>
      </c>
    </row>
    <row r="60" spans="1:12">
      <c r="A60" s="2">
        <v>48</v>
      </c>
      <c r="B60" s="4">
        <v>0.35599999999999998</v>
      </c>
      <c r="C60" s="4">
        <f t="shared" si="8"/>
        <v>0.18599999999999997</v>
      </c>
      <c r="D60" s="4">
        <f t="shared" si="1"/>
        <v>1.5554284590900538</v>
      </c>
      <c r="E60" s="4">
        <f t="shared" si="2"/>
        <v>0.57467378325694207</v>
      </c>
      <c r="F60" s="4">
        <f t="shared" si="9"/>
        <v>0</v>
      </c>
      <c r="G60" s="4">
        <f t="shared" si="10"/>
        <v>0.55655717529215432</v>
      </c>
      <c r="H60" s="4">
        <f t="shared" si="3"/>
        <v>0.17035726210350607</v>
      </c>
      <c r="I60" s="4">
        <f t="shared" si="4"/>
        <v>0</v>
      </c>
      <c r="J60" s="2" t="str">
        <f t="shared" si="5"/>
        <v/>
      </c>
      <c r="K60" s="2" t="str">
        <f t="shared" si="6"/>
        <v/>
      </c>
      <c r="L60" s="2" t="str">
        <f t="shared" si="7"/>
        <v/>
      </c>
    </row>
    <row r="61" spans="1:12">
      <c r="A61" s="2">
        <v>49</v>
      </c>
      <c r="B61" s="4">
        <v>0.33100000000000002</v>
      </c>
      <c r="C61" s="4">
        <f t="shared" si="8"/>
        <v>2.4999999999999967E-2</v>
      </c>
      <c r="D61" s="4">
        <f t="shared" si="1"/>
        <v>1.5554284590900538</v>
      </c>
      <c r="E61" s="4">
        <f t="shared" si="2"/>
        <v>0.57467378325694207</v>
      </c>
      <c r="F61" s="4">
        <f t="shared" si="9"/>
        <v>0</v>
      </c>
      <c r="G61" s="4">
        <f t="shared" si="10"/>
        <v>0.55655717529215432</v>
      </c>
      <c r="H61" s="4">
        <f t="shared" si="3"/>
        <v>0.17035726210350607</v>
      </c>
      <c r="I61" s="4">
        <f t="shared" si="4"/>
        <v>0</v>
      </c>
      <c r="J61" s="2" t="str">
        <f t="shared" si="5"/>
        <v/>
      </c>
      <c r="K61" s="2" t="str">
        <f t="shared" si="6"/>
        <v/>
      </c>
      <c r="L61" s="2" t="str">
        <f t="shared" si="7"/>
        <v/>
      </c>
    </row>
    <row r="62" spans="1:12">
      <c r="A62" s="2">
        <v>50</v>
      </c>
      <c r="B62" s="4">
        <v>0.58599999999999997</v>
      </c>
      <c r="C62" s="4">
        <f t="shared" si="8"/>
        <v>0.25499999999999995</v>
      </c>
      <c r="D62" s="4">
        <f t="shared" si="1"/>
        <v>1.5554284590900538</v>
      </c>
      <c r="E62" s="4">
        <f t="shared" si="2"/>
        <v>0.57467378325694207</v>
      </c>
      <c r="F62" s="4">
        <f t="shared" si="9"/>
        <v>0</v>
      </c>
      <c r="G62" s="4">
        <f t="shared" si="10"/>
        <v>0.55655717529215432</v>
      </c>
      <c r="H62" s="4">
        <f t="shared" si="3"/>
        <v>0.17035726210350607</v>
      </c>
      <c r="I62" s="4">
        <f t="shared" si="4"/>
        <v>0</v>
      </c>
      <c r="J62" s="2" t="str">
        <f t="shared" si="5"/>
        <v/>
      </c>
      <c r="K62" s="2" t="str">
        <f t="shared" si="6"/>
        <v/>
      </c>
      <c r="L62" s="2" t="str">
        <f t="shared" si="7"/>
        <v/>
      </c>
    </row>
    <row r="63" spans="1:12">
      <c r="A63" s="2">
        <v>51</v>
      </c>
      <c r="B63" s="4">
        <v>0.14599999999999999</v>
      </c>
      <c r="C63" s="4">
        <f t="shared" si="8"/>
        <v>0.43999999999999995</v>
      </c>
      <c r="D63" s="4">
        <f t="shared" si="1"/>
        <v>1.5554284590900538</v>
      </c>
      <c r="E63" s="4">
        <f t="shared" si="2"/>
        <v>0.57467378325694207</v>
      </c>
      <c r="F63" s="4">
        <f t="shared" si="9"/>
        <v>0</v>
      </c>
      <c r="G63" s="4">
        <f t="shared" si="10"/>
        <v>0.55655717529215432</v>
      </c>
      <c r="H63" s="4">
        <f t="shared" si="3"/>
        <v>0.17035726210350607</v>
      </c>
      <c r="I63" s="4">
        <f t="shared" si="4"/>
        <v>0</v>
      </c>
      <c r="J63" s="2" t="str">
        <f t="shared" si="5"/>
        <v/>
      </c>
      <c r="K63" s="2" t="str">
        <f t="shared" si="6"/>
        <v/>
      </c>
      <c r="L63" s="2" t="str">
        <f t="shared" si="7"/>
        <v/>
      </c>
    </row>
    <row r="64" spans="1:12">
      <c r="A64" s="2">
        <v>52</v>
      </c>
      <c r="B64" s="4">
        <v>0.432</v>
      </c>
      <c r="C64" s="4">
        <f t="shared" si="8"/>
        <v>0.28600000000000003</v>
      </c>
      <c r="D64" s="4">
        <f t="shared" si="1"/>
        <v>1.5554284590900538</v>
      </c>
      <c r="E64" s="4">
        <f t="shared" si="2"/>
        <v>0.57467378325694207</v>
      </c>
      <c r="F64" s="4">
        <f t="shared" si="9"/>
        <v>0</v>
      </c>
      <c r="G64" s="4">
        <f t="shared" si="10"/>
        <v>0.55655717529215432</v>
      </c>
      <c r="H64" s="4">
        <f t="shared" si="3"/>
        <v>0.17035726210350607</v>
      </c>
      <c r="I64" s="4">
        <f t="shared" si="4"/>
        <v>0</v>
      </c>
      <c r="J64" s="2" t="str">
        <f t="shared" si="5"/>
        <v/>
      </c>
      <c r="K64" s="2" t="str">
        <f t="shared" si="6"/>
        <v/>
      </c>
      <c r="L64" s="2" t="str">
        <f t="shared" si="7"/>
        <v/>
      </c>
    </row>
    <row r="65" spans="1:12">
      <c r="A65" s="2">
        <v>53</v>
      </c>
      <c r="B65" s="4">
        <v>0.26400000000000001</v>
      </c>
      <c r="C65" s="4">
        <f t="shared" si="8"/>
        <v>0.16799999999999998</v>
      </c>
      <c r="D65" s="4">
        <f t="shared" si="1"/>
        <v>1.5554284590900538</v>
      </c>
      <c r="E65" s="4">
        <f t="shared" si="2"/>
        <v>0.57467378325694207</v>
      </c>
      <c r="F65" s="4">
        <f t="shared" si="9"/>
        <v>0</v>
      </c>
      <c r="G65" s="4">
        <f t="shared" si="10"/>
        <v>0.55655717529215432</v>
      </c>
      <c r="H65" s="4">
        <f t="shared" si="3"/>
        <v>0.17035726210350607</v>
      </c>
      <c r="I65" s="4">
        <f t="shared" si="4"/>
        <v>0</v>
      </c>
      <c r="J65" s="2" t="str">
        <f t="shared" si="5"/>
        <v/>
      </c>
      <c r="K65" s="2" t="str">
        <f t="shared" si="6"/>
        <v/>
      </c>
      <c r="L65" s="2" t="str">
        <f t="shared" si="7"/>
        <v/>
      </c>
    </row>
    <row r="66" spans="1:12">
      <c r="A66" s="2">
        <v>54</v>
      </c>
      <c r="B66" s="4">
        <v>0.33400000000000002</v>
      </c>
      <c r="C66" s="4">
        <f t="shared" si="8"/>
        <v>7.0000000000000007E-2</v>
      </c>
      <c r="D66" s="4">
        <f t="shared" si="1"/>
        <v>1.5554284590900538</v>
      </c>
      <c r="E66" s="4">
        <f t="shared" si="2"/>
        <v>0.57467378325694207</v>
      </c>
      <c r="F66" s="4">
        <f t="shared" si="9"/>
        <v>0</v>
      </c>
      <c r="G66" s="4">
        <f t="shared" si="10"/>
        <v>0.55655717529215432</v>
      </c>
      <c r="H66" s="4">
        <f t="shared" si="3"/>
        <v>0.17035726210350607</v>
      </c>
      <c r="I66" s="4">
        <f t="shared" si="4"/>
        <v>0</v>
      </c>
      <c r="J66" s="2" t="str">
        <f t="shared" si="5"/>
        <v/>
      </c>
      <c r="K66" s="2" t="str">
        <f t="shared" si="6"/>
        <v/>
      </c>
      <c r="L66" s="2" t="str">
        <f t="shared" si="7"/>
        <v/>
      </c>
    </row>
    <row r="67" spans="1:12">
      <c r="A67" s="2">
        <v>55</v>
      </c>
      <c r="B67" s="4">
        <v>0.36899999999999999</v>
      </c>
      <c r="C67" s="4">
        <f t="shared" si="8"/>
        <v>3.4999999999999976E-2</v>
      </c>
      <c r="D67" s="4">
        <f t="shared" si="1"/>
        <v>1.5554284590900538</v>
      </c>
      <c r="E67" s="4">
        <f t="shared" si="2"/>
        <v>0.57467378325694207</v>
      </c>
      <c r="F67" s="4">
        <f t="shared" si="9"/>
        <v>0</v>
      </c>
      <c r="G67" s="4">
        <f t="shared" si="10"/>
        <v>0.55655717529215432</v>
      </c>
      <c r="H67" s="4">
        <f t="shared" si="3"/>
        <v>0.17035726210350607</v>
      </c>
      <c r="I67" s="4">
        <f t="shared" si="4"/>
        <v>0</v>
      </c>
      <c r="J67" s="2" t="str">
        <f t="shared" si="5"/>
        <v/>
      </c>
      <c r="K67" s="2" t="str">
        <f t="shared" si="6"/>
        <v/>
      </c>
      <c r="L67" s="2" t="str">
        <f t="shared" si="7"/>
        <v/>
      </c>
    </row>
    <row r="68" spans="1:12">
      <c r="A68" s="2">
        <v>56</v>
      </c>
      <c r="B68" s="4">
        <v>0.23599999999999999</v>
      </c>
      <c r="C68" s="4">
        <f t="shared" si="8"/>
        <v>0.13300000000000001</v>
      </c>
      <c r="D68" s="4">
        <f t="shared" si="1"/>
        <v>1.5554284590900538</v>
      </c>
      <c r="E68" s="4">
        <f t="shared" si="2"/>
        <v>0.57467378325694207</v>
      </c>
      <c r="F68" s="4">
        <f t="shared" si="9"/>
        <v>0</v>
      </c>
      <c r="G68" s="4">
        <f t="shared" si="10"/>
        <v>0.55655717529215432</v>
      </c>
      <c r="H68" s="4">
        <f t="shared" si="3"/>
        <v>0.17035726210350607</v>
      </c>
      <c r="I68" s="4">
        <f t="shared" si="4"/>
        <v>0</v>
      </c>
      <c r="J68" s="2" t="str">
        <f t="shared" si="5"/>
        <v/>
      </c>
      <c r="K68" s="2" t="str">
        <f t="shared" si="6"/>
        <v/>
      </c>
      <c r="L68" s="2" t="str">
        <f t="shared" si="7"/>
        <v/>
      </c>
    </row>
    <row r="69" spans="1:12">
      <c r="A69" s="2">
        <v>57</v>
      </c>
      <c r="B69" s="4">
        <v>0.60299999999999998</v>
      </c>
      <c r="C69" s="4">
        <f t="shared" si="8"/>
        <v>0.36699999999999999</v>
      </c>
      <c r="D69" s="4">
        <f t="shared" si="1"/>
        <v>1.5554284590900538</v>
      </c>
      <c r="E69" s="4">
        <f t="shared" si="2"/>
        <v>0.57467378325694207</v>
      </c>
      <c r="F69" s="4">
        <f t="shared" si="9"/>
        <v>0</v>
      </c>
      <c r="G69" s="4">
        <f t="shared" si="10"/>
        <v>0.55655717529215432</v>
      </c>
      <c r="H69" s="4">
        <f t="shared" si="3"/>
        <v>0.17035726210350607</v>
      </c>
      <c r="I69" s="4">
        <f t="shared" si="4"/>
        <v>0</v>
      </c>
      <c r="J69" s="2" t="str">
        <f t="shared" si="5"/>
        <v/>
      </c>
      <c r="K69" s="2" t="str">
        <f t="shared" si="6"/>
        <v/>
      </c>
      <c r="L69" s="2" t="str">
        <f t="shared" si="7"/>
        <v/>
      </c>
    </row>
    <row r="70" spans="1:12">
      <c r="A70" s="2">
        <v>58</v>
      </c>
      <c r="B70" s="4">
        <v>0.41099999999999998</v>
      </c>
      <c r="C70" s="4">
        <f t="shared" si="8"/>
        <v>0.192</v>
      </c>
      <c r="D70" s="4">
        <f t="shared" si="1"/>
        <v>1.5554284590900538</v>
      </c>
      <c r="E70" s="4">
        <f t="shared" si="2"/>
        <v>0.57467378325694207</v>
      </c>
      <c r="F70" s="4">
        <f t="shared" si="9"/>
        <v>0</v>
      </c>
      <c r="G70" s="4">
        <f t="shared" si="10"/>
        <v>0.55655717529215432</v>
      </c>
      <c r="H70" s="4">
        <f t="shared" si="3"/>
        <v>0.17035726210350607</v>
      </c>
      <c r="I70" s="4">
        <f t="shared" si="4"/>
        <v>0</v>
      </c>
      <c r="J70" s="2" t="str">
        <f t="shared" si="5"/>
        <v/>
      </c>
      <c r="K70" s="2" t="str">
        <f t="shared" si="6"/>
        <v/>
      </c>
      <c r="L70" s="2" t="str">
        <f t="shared" si="7"/>
        <v/>
      </c>
    </row>
    <row r="71" spans="1:12">
      <c r="A71" s="2">
        <v>59</v>
      </c>
      <c r="B71" s="4">
        <v>0.38900000000000001</v>
      </c>
      <c r="C71" s="4">
        <f t="shared" si="8"/>
        <v>2.1999999999999964E-2</v>
      </c>
      <c r="D71" s="4">
        <f t="shared" si="1"/>
        <v>1.5554284590900538</v>
      </c>
      <c r="E71" s="4">
        <f t="shared" si="2"/>
        <v>0.57467378325694207</v>
      </c>
      <c r="F71" s="4">
        <f t="shared" si="9"/>
        <v>0</v>
      </c>
      <c r="G71" s="4">
        <f t="shared" si="10"/>
        <v>0.55655717529215432</v>
      </c>
      <c r="H71" s="4">
        <f t="shared" si="3"/>
        <v>0.17035726210350607</v>
      </c>
      <c r="I71" s="4">
        <f t="shared" si="4"/>
        <v>0</v>
      </c>
      <c r="J71" s="2" t="str">
        <f t="shared" si="5"/>
        <v/>
      </c>
      <c r="K71" s="2" t="str">
        <f t="shared" si="6"/>
        <v/>
      </c>
      <c r="L71" s="2" t="str">
        <f t="shared" si="7"/>
        <v/>
      </c>
    </row>
    <row r="72" spans="1:12">
      <c r="A72" s="2">
        <v>60</v>
      </c>
      <c r="B72" s="4">
        <v>0.27</v>
      </c>
      <c r="C72" s="4">
        <f t="shared" si="8"/>
        <v>0.11899999999999999</v>
      </c>
      <c r="D72" s="4">
        <f t="shared" si="1"/>
        <v>1.5554284590900538</v>
      </c>
      <c r="E72" s="4">
        <f t="shared" si="2"/>
        <v>0.57467378325694207</v>
      </c>
      <c r="F72" s="4">
        <f t="shared" si="9"/>
        <v>0</v>
      </c>
      <c r="G72" s="4">
        <f t="shared" si="10"/>
        <v>0.55655717529215432</v>
      </c>
      <c r="H72" s="4">
        <f t="shared" si="3"/>
        <v>0.17035726210350607</v>
      </c>
      <c r="I72" s="4">
        <f t="shared" si="4"/>
        <v>0</v>
      </c>
      <c r="J72" s="2" t="str">
        <f t="shared" si="5"/>
        <v/>
      </c>
      <c r="K72" s="2" t="str">
        <f t="shared" si="6"/>
        <v/>
      </c>
      <c r="L72" s="2" t="str">
        <f t="shared" si="7"/>
        <v/>
      </c>
    </row>
    <row r="73" spans="1:12">
      <c r="A73" s="2">
        <v>61</v>
      </c>
      <c r="B73" s="4">
        <v>0.43</v>
      </c>
      <c r="C73" s="4">
        <f t="shared" si="8"/>
        <v>0.15999999999999998</v>
      </c>
      <c r="D73" s="4">
        <f t="shared" si="1"/>
        <v>1.5554284590900538</v>
      </c>
      <c r="E73" s="4">
        <f t="shared" si="2"/>
        <v>0.57467378325694207</v>
      </c>
      <c r="F73" s="4">
        <f t="shared" si="9"/>
        <v>0</v>
      </c>
      <c r="G73" s="4">
        <f t="shared" si="10"/>
        <v>0.55655717529215432</v>
      </c>
      <c r="H73" s="4">
        <f t="shared" si="3"/>
        <v>0.17035726210350607</v>
      </c>
      <c r="I73" s="4">
        <f t="shared" si="4"/>
        <v>0</v>
      </c>
      <c r="J73" s="2" t="str">
        <f t="shared" si="5"/>
        <v/>
      </c>
      <c r="K73" s="2" t="str">
        <f t="shared" si="6"/>
        <v/>
      </c>
      <c r="L73" s="2" t="str">
        <f t="shared" si="7"/>
        <v/>
      </c>
    </row>
    <row r="74" spans="1:12">
      <c r="A74" s="2">
        <v>62</v>
      </c>
      <c r="B74" s="4">
        <v>0.496</v>
      </c>
      <c r="C74" s="4">
        <f t="shared" si="8"/>
        <v>6.6000000000000003E-2</v>
      </c>
      <c r="D74" s="4">
        <f t="shared" si="1"/>
        <v>1.5554284590900538</v>
      </c>
      <c r="E74" s="4">
        <f t="shared" si="2"/>
        <v>0.57467378325694207</v>
      </c>
      <c r="F74" s="4">
        <f t="shared" si="9"/>
        <v>0</v>
      </c>
      <c r="G74" s="4">
        <f t="shared" si="10"/>
        <v>0.55655717529215432</v>
      </c>
      <c r="H74" s="4">
        <f t="shared" si="3"/>
        <v>0.17035726210350607</v>
      </c>
      <c r="I74" s="4">
        <f t="shared" si="4"/>
        <v>0</v>
      </c>
      <c r="J74" s="2" t="str">
        <f t="shared" si="5"/>
        <v/>
      </c>
      <c r="K74" s="2" t="str">
        <f t="shared" si="6"/>
        <v/>
      </c>
      <c r="L74" s="2" t="str">
        <f t="shared" si="7"/>
        <v/>
      </c>
    </row>
    <row r="75" spans="1:12">
      <c r="A75" s="2">
        <v>63</v>
      </c>
      <c r="B75" s="4">
        <v>0.29899999999999999</v>
      </c>
      <c r="C75" s="4">
        <f t="shared" si="8"/>
        <v>0.19700000000000001</v>
      </c>
      <c r="D75" s="4">
        <f t="shared" si="1"/>
        <v>1.5554284590900538</v>
      </c>
      <c r="E75" s="4">
        <f t="shared" si="2"/>
        <v>0.57467378325694207</v>
      </c>
      <c r="F75" s="4">
        <f t="shared" si="9"/>
        <v>0</v>
      </c>
      <c r="G75" s="4">
        <f t="shared" si="10"/>
        <v>0.55655717529215432</v>
      </c>
      <c r="H75" s="4">
        <f t="shared" si="3"/>
        <v>0.17035726210350607</v>
      </c>
      <c r="I75" s="4">
        <f t="shared" si="4"/>
        <v>0</v>
      </c>
      <c r="J75" s="2" t="str">
        <f t="shared" si="5"/>
        <v/>
      </c>
      <c r="K75" s="2" t="str">
        <f t="shared" si="6"/>
        <v/>
      </c>
      <c r="L75" s="2" t="str">
        <f t="shared" si="7"/>
        <v/>
      </c>
    </row>
    <row r="76" spans="1:12">
      <c r="A76" s="2">
        <v>64</v>
      </c>
      <c r="B76" s="4">
        <v>0.31</v>
      </c>
      <c r="C76" s="4">
        <f t="shared" si="8"/>
        <v>1.100000000000001E-2</v>
      </c>
      <c r="D76" s="4">
        <f t="shared" si="1"/>
        <v>1.5554284590900538</v>
      </c>
      <c r="E76" s="4">
        <f t="shared" si="2"/>
        <v>0.57467378325694207</v>
      </c>
      <c r="F76" s="4">
        <f t="shared" si="9"/>
        <v>0</v>
      </c>
      <c r="G76" s="4">
        <f t="shared" si="10"/>
        <v>0.55655717529215432</v>
      </c>
      <c r="H76" s="4">
        <f t="shared" si="3"/>
        <v>0.17035726210350607</v>
      </c>
      <c r="I76" s="4">
        <f t="shared" si="4"/>
        <v>0</v>
      </c>
      <c r="J76" s="2" t="str">
        <f t="shared" si="5"/>
        <v/>
      </c>
      <c r="K76" s="2" t="str">
        <f t="shared" si="6"/>
        <v/>
      </c>
      <c r="L76" s="2" t="str">
        <f t="shared" si="7"/>
        <v/>
      </c>
    </row>
    <row r="77" spans="1:12">
      <c r="A77" s="2">
        <v>65</v>
      </c>
      <c r="B77" s="4">
        <v>0.34100000000000003</v>
      </c>
      <c r="C77" s="4">
        <f t="shared" si="8"/>
        <v>3.1000000000000028E-2</v>
      </c>
      <c r="D77" s="4">
        <f t="shared" ref="D77:D140" si="11">$G$13</f>
        <v>1.5554284590900538</v>
      </c>
      <c r="E77" s="4">
        <f t="shared" ref="E77:E140" si="12">$G$14</f>
        <v>0.57467378325694207</v>
      </c>
      <c r="F77" s="4">
        <f t="shared" si="9"/>
        <v>0</v>
      </c>
      <c r="G77" s="4">
        <f t="shared" si="10"/>
        <v>0.55655717529215432</v>
      </c>
      <c r="H77" s="4">
        <f t="shared" ref="H77:H140" si="13">$G$17</f>
        <v>0.17035726210350607</v>
      </c>
      <c r="I77" s="4">
        <f t="shared" ref="I77:I140" si="14">$G$18</f>
        <v>0</v>
      </c>
      <c r="J77" s="2" t="str">
        <f t="shared" ref="J77:J140" si="15">IF(OR(B77&gt;D77,B77&lt;F77),"Y","")</f>
        <v/>
      </c>
      <c r="K77" s="2" t="str">
        <f t="shared" ref="K77:K140" si="16">IF(AND(C77&lt;&gt;"",C77&gt;G77),"Y","")</f>
        <v/>
      </c>
      <c r="L77" s="2" t="str">
        <f t="shared" ref="L77:L140" si="17">IF(OR(B77&lt;$B$5,B77&gt;$D$5),"Y","")</f>
        <v/>
      </c>
    </row>
    <row r="78" spans="1:12">
      <c r="A78" s="2">
        <v>66</v>
      </c>
      <c r="B78" s="4">
        <v>0.86</v>
      </c>
      <c r="C78" s="4">
        <f t="shared" ref="C78:C141" si="18">ABS(B78-B77)</f>
        <v>0.51899999999999991</v>
      </c>
      <c r="D78" s="4">
        <f t="shared" si="11"/>
        <v>1.5554284590900538</v>
      </c>
      <c r="E78" s="4">
        <f t="shared" si="12"/>
        <v>0.57467378325694207</v>
      </c>
      <c r="F78" s="4">
        <f t="shared" si="9"/>
        <v>0</v>
      </c>
      <c r="G78" s="4">
        <f t="shared" si="10"/>
        <v>0.55655717529215432</v>
      </c>
      <c r="H78" s="4">
        <f t="shared" si="13"/>
        <v>0.17035726210350607</v>
      </c>
      <c r="I78" s="4">
        <f t="shared" si="14"/>
        <v>0</v>
      </c>
      <c r="J78" s="2" t="str">
        <f t="shared" si="15"/>
        <v/>
      </c>
      <c r="K78" s="2" t="str">
        <f t="shared" si="16"/>
        <v/>
      </c>
      <c r="L78" s="2" t="str">
        <f t="shared" si="17"/>
        <v/>
      </c>
    </row>
    <row r="79" spans="1:12">
      <c r="A79" s="2">
        <v>67</v>
      </c>
      <c r="B79" s="4">
        <v>0.879</v>
      </c>
      <c r="C79" s="4">
        <f t="shared" si="18"/>
        <v>1.9000000000000017E-2</v>
      </c>
      <c r="D79" s="4">
        <f t="shared" si="11"/>
        <v>1.5554284590900538</v>
      </c>
      <c r="E79" s="4">
        <f t="shared" si="12"/>
        <v>0.57467378325694207</v>
      </c>
      <c r="F79" s="4">
        <f t="shared" si="9"/>
        <v>0</v>
      </c>
      <c r="G79" s="4">
        <f t="shared" si="10"/>
        <v>0.55655717529215432</v>
      </c>
      <c r="H79" s="4">
        <f t="shared" si="13"/>
        <v>0.17035726210350607</v>
      </c>
      <c r="I79" s="4">
        <f t="shared" si="14"/>
        <v>0</v>
      </c>
      <c r="J79" s="2" t="str">
        <f t="shared" si="15"/>
        <v/>
      </c>
      <c r="K79" s="2" t="str">
        <f t="shared" si="16"/>
        <v/>
      </c>
      <c r="L79" s="2" t="str">
        <f t="shared" si="17"/>
        <v/>
      </c>
    </row>
    <row r="80" spans="1:12">
      <c r="A80" s="2">
        <v>68</v>
      </c>
      <c r="B80" s="4">
        <v>0.246</v>
      </c>
      <c r="C80" s="4">
        <f t="shared" si="18"/>
        <v>0.63300000000000001</v>
      </c>
      <c r="D80" s="4">
        <f t="shared" si="11"/>
        <v>1.5554284590900538</v>
      </c>
      <c r="E80" s="4">
        <f t="shared" si="12"/>
        <v>0.57467378325694207</v>
      </c>
      <c r="F80" s="4">
        <f t="shared" ref="F80:F143" si="19">$G$15</f>
        <v>0</v>
      </c>
      <c r="G80" s="4">
        <f t="shared" si="10"/>
        <v>0.55655717529215432</v>
      </c>
      <c r="H80" s="4">
        <f t="shared" si="13"/>
        <v>0.17035726210350607</v>
      </c>
      <c r="I80" s="4">
        <f t="shared" si="14"/>
        <v>0</v>
      </c>
      <c r="J80" s="2" t="str">
        <f t="shared" si="15"/>
        <v/>
      </c>
      <c r="K80" s="2" t="str">
        <f t="shared" si="16"/>
        <v>Y</v>
      </c>
      <c r="L80" s="2" t="str">
        <f t="shared" si="17"/>
        <v/>
      </c>
    </row>
    <row r="81" spans="1:12">
      <c r="A81" s="2">
        <v>69</v>
      </c>
      <c r="B81" s="4">
        <v>0.14699999999999999</v>
      </c>
      <c r="C81" s="4">
        <f t="shared" si="18"/>
        <v>9.9000000000000005E-2</v>
      </c>
      <c r="D81" s="4">
        <f t="shared" si="11"/>
        <v>1.5554284590900538</v>
      </c>
      <c r="E81" s="4">
        <f t="shared" si="12"/>
        <v>0.57467378325694207</v>
      </c>
      <c r="F81" s="4">
        <f t="shared" si="19"/>
        <v>0</v>
      </c>
      <c r="G81" s="4">
        <f t="shared" si="10"/>
        <v>0.55655717529215432</v>
      </c>
      <c r="H81" s="4">
        <f t="shared" si="13"/>
        <v>0.17035726210350607</v>
      </c>
      <c r="I81" s="4">
        <f t="shared" si="14"/>
        <v>0</v>
      </c>
      <c r="J81" s="2" t="str">
        <f t="shared" si="15"/>
        <v/>
      </c>
      <c r="K81" s="2" t="str">
        <f t="shared" si="16"/>
        <v/>
      </c>
      <c r="L81" s="2" t="str">
        <f t="shared" si="17"/>
        <v/>
      </c>
    </row>
    <row r="82" spans="1:12">
      <c r="A82" s="2">
        <v>70</v>
      </c>
      <c r="B82" s="4">
        <v>0.34200000000000003</v>
      </c>
      <c r="C82" s="4">
        <f t="shared" si="18"/>
        <v>0.19500000000000003</v>
      </c>
      <c r="D82" s="4">
        <f t="shared" si="11"/>
        <v>1.5554284590900538</v>
      </c>
      <c r="E82" s="4">
        <f t="shared" si="12"/>
        <v>0.57467378325694207</v>
      </c>
      <c r="F82" s="4">
        <f t="shared" si="19"/>
        <v>0</v>
      </c>
      <c r="G82" s="4">
        <f t="shared" si="10"/>
        <v>0.55655717529215432</v>
      </c>
      <c r="H82" s="4">
        <f t="shared" si="13"/>
        <v>0.17035726210350607</v>
      </c>
      <c r="I82" s="4">
        <f t="shared" si="14"/>
        <v>0</v>
      </c>
      <c r="J82" s="2" t="str">
        <f t="shared" si="15"/>
        <v/>
      </c>
      <c r="K82" s="2" t="str">
        <f t="shared" si="16"/>
        <v/>
      </c>
      <c r="L82" s="2" t="str">
        <f t="shared" si="17"/>
        <v/>
      </c>
    </row>
    <row r="83" spans="1:12">
      <c r="A83" s="2">
        <v>71</v>
      </c>
      <c r="B83" s="4">
        <v>0.313</v>
      </c>
      <c r="C83" s="4">
        <f t="shared" si="18"/>
        <v>2.9000000000000026E-2</v>
      </c>
      <c r="D83" s="4">
        <f t="shared" si="11"/>
        <v>1.5554284590900538</v>
      </c>
      <c r="E83" s="4">
        <f t="shared" si="12"/>
        <v>0.57467378325694207</v>
      </c>
      <c r="F83" s="4">
        <f t="shared" si="19"/>
        <v>0</v>
      </c>
      <c r="G83" s="4">
        <f t="shared" ref="G83:G146" si="20">$G$16</f>
        <v>0.55655717529215432</v>
      </c>
      <c r="H83" s="4">
        <f t="shared" si="13"/>
        <v>0.17035726210350607</v>
      </c>
      <c r="I83" s="4">
        <f t="shared" si="14"/>
        <v>0</v>
      </c>
      <c r="J83" s="2" t="str">
        <f t="shared" si="15"/>
        <v/>
      </c>
      <c r="K83" s="2" t="str">
        <f t="shared" si="16"/>
        <v/>
      </c>
      <c r="L83" s="2" t="str">
        <f t="shared" si="17"/>
        <v/>
      </c>
    </row>
    <row r="84" spans="1:12">
      <c r="A84" s="2">
        <v>72</v>
      </c>
      <c r="B84" s="4">
        <v>0.27200000000000002</v>
      </c>
      <c r="C84" s="4">
        <f t="shared" si="18"/>
        <v>4.0999999999999981E-2</v>
      </c>
      <c r="D84" s="4">
        <f t="shared" si="11"/>
        <v>1.5554284590900538</v>
      </c>
      <c r="E84" s="4">
        <f t="shared" si="12"/>
        <v>0.57467378325694207</v>
      </c>
      <c r="F84" s="4">
        <f t="shared" si="19"/>
        <v>0</v>
      </c>
      <c r="G84" s="4">
        <f t="shared" si="20"/>
        <v>0.55655717529215432</v>
      </c>
      <c r="H84" s="4">
        <f t="shared" si="13"/>
        <v>0.17035726210350607</v>
      </c>
      <c r="I84" s="4">
        <f t="shared" si="14"/>
        <v>0</v>
      </c>
      <c r="J84" s="2" t="str">
        <f t="shared" si="15"/>
        <v/>
      </c>
      <c r="K84" s="2" t="str">
        <f t="shared" si="16"/>
        <v/>
      </c>
      <c r="L84" s="2" t="str">
        <f t="shared" si="17"/>
        <v/>
      </c>
    </row>
    <row r="85" spans="1:12">
      <c r="A85" s="2">
        <v>73</v>
      </c>
      <c r="B85" s="4">
        <v>0.34</v>
      </c>
      <c r="C85" s="4">
        <f t="shared" si="18"/>
        <v>6.8000000000000005E-2</v>
      </c>
      <c r="D85" s="4">
        <f t="shared" si="11"/>
        <v>1.5554284590900538</v>
      </c>
      <c r="E85" s="4">
        <f t="shared" si="12"/>
        <v>0.57467378325694207</v>
      </c>
      <c r="F85" s="4">
        <f t="shared" si="19"/>
        <v>0</v>
      </c>
      <c r="G85" s="4">
        <f t="shared" si="20"/>
        <v>0.55655717529215432</v>
      </c>
      <c r="H85" s="4">
        <f t="shared" si="13"/>
        <v>0.17035726210350607</v>
      </c>
      <c r="I85" s="4">
        <f t="shared" si="14"/>
        <v>0</v>
      </c>
      <c r="J85" s="2" t="str">
        <f t="shared" si="15"/>
        <v/>
      </c>
      <c r="K85" s="2" t="str">
        <f t="shared" si="16"/>
        <v/>
      </c>
      <c r="L85" s="2" t="str">
        <f t="shared" si="17"/>
        <v/>
      </c>
    </row>
    <row r="86" spans="1:12">
      <c r="A86" s="2">
        <v>74</v>
      </c>
      <c r="B86" s="4">
        <v>0.35699999999999998</v>
      </c>
      <c r="C86" s="4">
        <f t="shared" si="18"/>
        <v>1.699999999999996E-2</v>
      </c>
      <c r="D86" s="4">
        <f t="shared" si="11"/>
        <v>1.5554284590900538</v>
      </c>
      <c r="E86" s="4">
        <f t="shared" si="12"/>
        <v>0.57467378325694207</v>
      </c>
      <c r="F86" s="4">
        <f t="shared" si="19"/>
        <v>0</v>
      </c>
      <c r="G86" s="4">
        <f t="shared" si="20"/>
        <v>0.55655717529215432</v>
      </c>
      <c r="H86" s="4">
        <f t="shared" si="13"/>
        <v>0.17035726210350607</v>
      </c>
      <c r="I86" s="4">
        <f t="shared" si="14"/>
        <v>0</v>
      </c>
      <c r="J86" s="2" t="str">
        <f t="shared" si="15"/>
        <v/>
      </c>
      <c r="K86" s="2" t="str">
        <f t="shared" si="16"/>
        <v/>
      </c>
      <c r="L86" s="2" t="str">
        <f t="shared" si="17"/>
        <v/>
      </c>
    </row>
    <row r="87" spans="1:12">
      <c r="A87" s="2">
        <v>75</v>
      </c>
      <c r="B87" s="4">
        <v>0.32100000000000001</v>
      </c>
      <c r="C87" s="4">
        <f t="shared" si="18"/>
        <v>3.5999999999999976E-2</v>
      </c>
      <c r="D87" s="4">
        <f t="shared" si="11"/>
        <v>1.5554284590900538</v>
      </c>
      <c r="E87" s="4">
        <f t="shared" si="12"/>
        <v>0.57467378325694207</v>
      </c>
      <c r="F87" s="4">
        <f t="shared" si="19"/>
        <v>0</v>
      </c>
      <c r="G87" s="4">
        <f t="shared" si="20"/>
        <v>0.55655717529215432</v>
      </c>
      <c r="H87" s="4">
        <f t="shared" si="13"/>
        <v>0.17035726210350607</v>
      </c>
      <c r="I87" s="4">
        <f t="shared" si="14"/>
        <v>0</v>
      </c>
      <c r="J87" s="2" t="str">
        <f t="shared" si="15"/>
        <v/>
      </c>
      <c r="K87" s="2" t="str">
        <f t="shared" si="16"/>
        <v/>
      </c>
      <c r="L87" s="2" t="str">
        <f t="shared" si="17"/>
        <v/>
      </c>
    </row>
    <row r="88" spans="1:12">
      <c r="A88" s="2">
        <v>76</v>
      </c>
      <c r="B88" s="4">
        <v>0.24</v>
      </c>
      <c r="C88" s="4">
        <f t="shared" si="18"/>
        <v>8.1000000000000016E-2</v>
      </c>
      <c r="D88" s="4">
        <f t="shared" si="11"/>
        <v>1.5554284590900538</v>
      </c>
      <c r="E88" s="4">
        <f t="shared" si="12"/>
        <v>0.57467378325694207</v>
      </c>
      <c r="F88" s="4">
        <f t="shared" si="19"/>
        <v>0</v>
      </c>
      <c r="G88" s="4">
        <f t="shared" si="20"/>
        <v>0.55655717529215432</v>
      </c>
      <c r="H88" s="4">
        <f t="shared" si="13"/>
        <v>0.17035726210350607</v>
      </c>
      <c r="I88" s="4">
        <f t="shared" si="14"/>
        <v>0</v>
      </c>
      <c r="J88" s="2" t="str">
        <f t="shared" si="15"/>
        <v/>
      </c>
      <c r="K88" s="2" t="str">
        <f t="shared" si="16"/>
        <v/>
      </c>
      <c r="L88" s="2" t="str">
        <f t="shared" si="17"/>
        <v/>
      </c>
    </row>
    <row r="89" spans="1:12">
      <c r="A89" s="2">
        <v>77</v>
      </c>
      <c r="B89" s="4">
        <v>0.159</v>
      </c>
      <c r="C89" s="4">
        <f t="shared" si="18"/>
        <v>8.0999999999999989E-2</v>
      </c>
      <c r="D89" s="4">
        <f t="shared" si="11"/>
        <v>1.5554284590900538</v>
      </c>
      <c r="E89" s="4">
        <f t="shared" si="12"/>
        <v>0.57467378325694207</v>
      </c>
      <c r="F89" s="4">
        <f t="shared" si="19"/>
        <v>0</v>
      </c>
      <c r="G89" s="4">
        <f t="shared" si="20"/>
        <v>0.55655717529215432</v>
      </c>
      <c r="H89" s="4">
        <f t="shared" si="13"/>
        <v>0.17035726210350607</v>
      </c>
      <c r="I89" s="4">
        <f t="shared" si="14"/>
        <v>0</v>
      </c>
      <c r="J89" s="2" t="str">
        <f t="shared" si="15"/>
        <v/>
      </c>
      <c r="K89" s="2" t="str">
        <f t="shared" si="16"/>
        <v/>
      </c>
      <c r="L89" s="2" t="str">
        <f t="shared" si="17"/>
        <v/>
      </c>
    </row>
    <row r="90" spans="1:12">
      <c r="A90" s="2">
        <v>78</v>
      </c>
      <c r="B90" s="4">
        <v>0.16300000000000001</v>
      </c>
      <c r="C90" s="4">
        <f t="shared" si="18"/>
        <v>4.0000000000000036E-3</v>
      </c>
      <c r="D90" s="4">
        <f t="shared" si="11"/>
        <v>1.5554284590900538</v>
      </c>
      <c r="E90" s="4">
        <f t="shared" si="12"/>
        <v>0.57467378325694207</v>
      </c>
      <c r="F90" s="4">
        <f t="shared" si="19"/>
        <v>0</v>
      </c>
      <c r="G90" s="4">
        <f t="shared" si="20"/>
        <v>0.55655717529215432</v>
      </c>
      <c r="H90" s="4">
        <f t="shared" si="13"/>
        <v>0.17035726210350607</v>
      </c>
      <c r="I90" s="4">
        <f t="shared" si="14"/>
        <v>0</v>
      </c>
      <c r="J90" s="2" t="str">
        <f t="shared" si="15"/>
        <v/>
      </c>
      <c r="K90" s="2" t="str">
        <f t="shared" si="16"/>
        <v/>
      </c>
      <c r="L90" s="2" t="str">
        <f t="shared" si="17"/>
        <v/>
      </c>
    </row>
    <row r="91" spans="1:12">
      <c r="A91" s="2">
        <v>79</v>
      </c>
      <c r="B91" s="4">
        <v>0.48499999999999999</v>
      </c>
      <c r="C91" s="4">
        <f t="shared" si="18"/>
        <v>0.32199999999999995</v>
      </c>
      <c r="D91" s="4">
        <f t="shared" si="11"/>
        <v>1.5554284590900538</v>
      </c>
      <c r="E91" s="4">
        <f t="shared" si="12"/>
        <v>0.57467378325694207</v>
      </c>
      <c r="F91" s="4">
        <f t="shared" si="19"/>
        <v>0</v>
      </c>
      <c r="G91" s="4">
        <f t="shared" si="20"/>
        <v>0.55655717529215432</v>
      </c>
      <c r="H91" s="4">
        <f t="shared" si="13"/>
        <v>0.17035726210350607</v>
      </c>
      <c r="I91" s="4">
        <f t="shared" si="14"/>
        <v>0</v>
      </c>
      <c r="J91" s="2" t="str">
        <f t="shared" si="15"/>
        <v/>
      </c>
      <c r="K91" s="2" t="str">
        <f t="shared" si="16"/>
        <v/>
      </c>
      <c r="L91" s="2" t="str">
        <f t="shared" si="17"/>
        <v/>
      </c>
    </row>
    <row r="92" spans="1:12">
      <c r="A92" s="2">
        <v>80</v>
      </c>
      <c r="B92" s="4">
        <v>0.34499999999999997</v>
      </c>
      <c r="C92" s="4">
        <f t="shared" si="18"/>
        <v>0.14000000000000001</v>
      </c>
      <c r="D92" s="4">
        <f t="shared" si="11"/>
        <v>1.5554284590900538</v>
      </c>
      <c r="E92" s="4">
        <f t="shared" si="12"/>
        <v>0.57467378325694207</v>
      </c>
      <c r="F92" s="4">
        <f t="shared" si="19"/>
        <v>0</v>
      </c>
      <c r="G92" s="4">
        <f t="shared" si="20"/>
        <v>0.55655717529215432</v>
      </c>
      <c r="H92" s="4">
        <f t="shared" si="13"/>
        <v>0.17035726210350607</v>
      </c>
      <c r="I92" s="4">
        <f t="shared" si="14"/>
        <v>0</v>
      </c>
      <c r="J92" s="2" t="str">
        <f t="shared" si="15"/>
        <v/>
      </c>
      <c r="K92" s="2" t="str">
        <f t="shared" si="16"/>
        <v/>
      </c>
      <c r="L92" s="2" t="str">
        <f t="shared" si="17"/>
        <v/>
      </c>
    </row>
    <row r="93" spans="1:12">
      <c r="A93" s="2">
        <v>81</v>
      </c>
      <c r="B93" s="4">
        <v>0.156</v>
      </c>
      <c r="C93" s="4">
        <f t="shared" si="18"/>
        <v>0.18899999999999997</v>
      </c>
      <c r="D93" s="4">
        <f t="shared" si="11"/>
        <v>1.5554284590900538</v>
      </c>
      <c r="E93" s="4">
        <f t="shared" si="12"/>
        <v>0.57467378325694207</v>
      </c>
      <c r="F93" s="4">
        <f t="shared" si="19"/>
        <v>0</v>
      </c>
      <c r="G93" s="4">
        <f t="shared" si="20"/>
        <v>0.55655717529215432</v>
      </c>
      <c r="H93" s="4">
        <f t="shared" si="13"/>
        <v>0.17035726210350607</v>
      </c>
      <c r="I93" s="4">
        <f t="shared" si="14"/>
        <v>0</v>
      </c>
      <c r="J93" s="2" t="str">
        <f t="shared" si="15"/>
        <v/>
      </c>
      <c r="K93" s="2" t="str">
        <f t="shared" si="16"/>
        <v/>
      </c>
      <c r="L93" s="2" t="str">
        <f t="shared" si="17"/>
        <v/>
      </c>
    </row>
    <row r="94" spans="1:12">
      <c r="A94" s="2">
        <v>82</v>
      </c>
      <c r="B94" s="4">
        <v>0.318</v>
      </c>
      <c r="C94" s="4">
        <f t="shared" si="18"/>
        <v>0.16200000000000001</v>
      </c>
      <c r="D94" s="4">
        <f t="shared" si="11"/>
        <v>1.5554284590900538</v>
      </c>
      <c r="E94" s="4">
        <f t="shared" si="12"/>
        <v>0.57467378325694207</v>
      </c>
      <c r="F94" s="4">
        <f t="shared" si="19"/>
        <v>0</v>
      </c>
      <c r="G94" s="4">
        <f t="shared" si="20"/>
        <v>0.55655717529215432</v>
      </c>
      <c r="H94" s="4">
        <f t="shared" si="13"/>
        <v>0.17035726210350607</v>
      </c>
      <c r="I94" s="4">
        <f t="shared" si="14"/>
        <v>0</v>
      </c>
      <c r="J94" s="2" t="str">
        <f t="shared" si="15"/>
        <v/>
      </c>
      <c r="K94" s="2" t="str">
        <f t="shared" si="16"/>
        <v/>
      </c>
      <c r="L94" s="2" t="str">
        <f t="shared" si="17"/>
        <v/>
      </c>
    </row>
    <row r="95" spans="1:12">
      <c r="A95" s="2">
        <v>83</v>
      </c>
      <c r="B95" s="4">
        <v>1.2749999999999999</v>
      </c>
      <c r="C95" s="4">
        <f t="shared" si="18"/>
        <v>0.95699999999999985</v>
      </c>
      <c r="D95" s="4">
        <f t="shared" si="11"/>
        <v>1.5554284590900538</v>
      </c>
      <c r="E95" s="4">
        <f t="shared" si="12"/>
        <v>0.57467378325694207</v>
      </c>
      <c r="F95" s="4">
        <f t="shared" si="19"/>
        <v>0</v>
      </c>
      <c r="G95" s="4">
        <f t="shared" si="20"/>
        <v>0.55655717529215432</v>
      </c>
      <c r="H95" s="4">
        <f t="shared" si="13"/>
        <v>0.17035726210350607</v>
      </c>
      <c r="I95" s="4">
        <f t="shared" si="14"/>
        <v>0</v>
      </c>
      <c r="J95" s="2" t="str">
        <f t="shared" si="15"/>
        <v/>
      </c>
      <c r="K95" s="2" t="str">
        <f t="shared" si="16"/>
        <v>Y</v>
      </c>
      <c r="L95" s="2" t="str">
        <f t="shared" si="17"/>
        <v/>
      </c>
    </row>
    <row r="96" spans="1:12">
      <c r="A96" s="2">
        <v>84</v>
      </c>
      <c r="B96" s="4">
        <v>1.256</v>
      </c>
      <c r="C96" s="4">
        <f t="shared" si="18"/>
        <v>1.8999999999999906E-2</v>
      </c>
      <c r="D96" s="4">
        <f t="shared" si="11"/>
        <v>1.5554284590900538</v>
      </c>
      <c r="E96" s="4">
        <f t="shared" si="12"/>
        <v>0.57467378325694207</v>
      </c>
      <c r="F96" s="4">
        <f t="shared" si="19"/>
        <v>0</v>
      </c>
      <c r="G96" s="4">
        <f t="shared" si="20"/>
        <v>0.55655717529215432</v>
      </c>
      <c r="H96" s="4">
        <f t="shared" si="13"/>
        <v>0.17035726210350607</v>
      </c>
      <c r="I96" s="4">
        <f t="shared" si="14"/>
        <v>0</v>
      </c>
      <c r="J96" s="2" t="str">
        <f t="shared" si="15"/>
        <v/>
      </c>
      <c r="K96" s="2" t="str">
        <f t="shared" si="16"/>
        <v/>
      </c>
      <c r="L96" s="2" t="str">
        <f t="shared" si="17"/>
        <v/>
      </c>
    </row>
    <row r="97" spans="1:12">
      <c r="A97" s="2">
        <v>85</v>
      </c>
      <c r="B97" s="4">
        <v>1.2410000000000001</v>
      </c>
      <c r="C97" s="4">
        <f t="shared" si="18"/>
        <v>1.4999999999999902E-2</v>
      </c>
      <c r="D97" s="4">
        <f t="shared" si="11"/>
        <v>1.5554284590900538</v>
      </c>
      <c r="E97" s="4">
        <f t="shared" si="12"/>
        <v>0.57467378325694207</v>
      </c>
      <c r="F97" s="4">
        <f t="shared" si="19"/>
        <v>0</v>
      </c>
      <c r="G97" s="4">
        <f t="shared" si="20"/>
        <v>0.55655717529215432</v>
      </c>
      <c r="H97" s="4">
        <f t="shared" si="13"/>
        <v>0.17035726210350607</v>
      </c>
      <c r="I97" s="4">
        <f t="shared" si="14"/>
        <v>0</v>
      </c>
      <c r="J97" s="2" t="str">
        <f t="shared" si="15"/>
        <v/>
      </c>
      <c r="K97" s="2" t="str">
        <f t="shared" si="16"/>
        <v/>
      </c>
      <c r="L97" s="2" t="str">
        <f t="shared" si="17"/>
        <v/>
      </c>
    </row>
    <row r="98" spans="1:12">
      <c r="A98" s="2">
        <v>86</v>
      </c>
      <c r="B98" s="4">
        <v>1.286</v>
      </c>
      <c r="C98" s="4">
        <f t="shared" si="18"/>
        <v>4.4999999999999929E-2</v>
      </c>
      <c r="D98" s="4">
        <f t="shared" si="11"/>
        <v>1.5554284590900538</v>
      </c>
      <c r="E98" s="4">
        <f t="shared" si="12"/>
        <v>0.57467378325694207</v>
      </c>
      <c r="F98" s="4">
        <f t="shared" si="19"/>
        <v>0</v>
      </c>
      <c r="G98" s="4">
        <f t="shared" si="20"/>
        <v>0.55655717529215432</v>
      </c>
      <c r="H98" s="4">
        <f t="shared" si="13"/>
        <v>0.17035726210350607</v>
      </c>
      <c r="I98" s="4">
        <f t="shared" si="14"/>
        <v>0</v>
      </c>
      <c r="J98" s="2" t="str">
        <f t="shared" si="15"/>
        <v/>
      </c>
      <c r="K98" s="2" t="str">
        <f t="shared" si="16"/>
        <v/>
      </c>
      <c r="L98" s="2" t="str">
        <f t="shared" si="17"/>
        <v/>
      </c>
    </row>
    <row r="99" spans="1:12">
      <c r="A99" s="2">
        <v>87</v>
      </c>
      <c r="B99" s="4">
        <v>1.3440000000000001</v>
      </c>
      <c r="C99" s="4">
        <f t="shared" si="18"/>
        <v>5.8000000000000052E-2</v>
      </c>
      <c r="D99" s="4">
        <f t="shared" si="11"/>
        <v>1.5554284590900538</v>
      </c>
      <c r="E99" s="4">
        <f t="shared" si="12"/>
        <v>0.57467378325694207</v>
      </c>
      <c r="F99" s="4">
        <f t="shared" si="19"/>
        <v>0</v>
      </c>
      <c r="G99" s="4">
        <f t="shared" si="20"/>
        <v>0.55655717529215432</v>
      </c>
      <c r="H99" s="4">
        <f t="shared" si="13"/>
        <v>0.17035726210350607</v>
      </c>
      <c r="I99" s="4">
        <f t="shared" si="14"/>
        <v>0</v>
      </c>
      <c r="J99" s="2" t="str">
        <f t="shared" si="15"/>
        <v/>
      </c>
      <c r="K99" s="2" t="str">
        <f t="shared" si="16"/>
        <v/>
      </c>
      <c r="L99" s="2" t="str">
        <f t="shared" si="17"/>
        <v/>
      </c>
    </row>
    <row r="100" spans="1:12">
      <c r="A100" s="2">
        <v>88</v>
      </c>
      <c r="B100" s="4">
        <v>1.1539999999999999</v>
      </c>
      <c r="C100" s="4">
        <f t="shared" si="18"/>
        <v>0.19000000000000017</v>
      </c>
      <c r="D100" s="4">
        <f t="shared" si="11"/>
        <v>1.5554284590900538</v>
      </c>
      <c r="E100" s="4">
        <f t="shared" si="12"/>
        <v>0.57467378325694207</v>
      </c>
      <c r="F100" s="4">
        <f t="shared" si="19"/>
        <v>0</v>
      </c>
      <c r="G100" s="4">
        <f t="shared" si="20"/>
        <v>0.55655717529215432</v>
      </c>
      <c r="H100" s="4">
        <f t="shared" si="13"/>
        <v>0.17035726210350607</v>
      </c>
      <c r="I100" s="4">
        <f t="shared" si="14"/>
        <v>0</v>
      </c>
      <c r="J100" s="2" t="str">
        <f t="shared" si="15"/>
        <v/>
      </c>
      <c r="K100" s="2" t="str">
        <f t="shared" si="16"/>
        <v/>
      </c>
      <c r="L100" s="2" t="str">
        <f t="shared" si="17"/>
        <v/>
      </c>
    </row>
    <row r="101" spans="1:12">
      <c r="A101" s="2">
        <v>89</v>
      </c>
      <c r="B101" s="4">
        <v>1.2669999999999999</v>
      </c>
      <c r="C101" s="4">
        <f t="shared" si="18"/>
        <v>0.11299999999999999</v>
      </c>
      <c r="D101" s="4">
        <f t="shared" si="11"/>
        <v>1.5554284590900538</v>
      </c>
      <c r="E101" s="4">
        <f t="shared" si="12"/>
        <v>0.57467378325694207</v>
      </c>
      <c r="F101" s="4">
        <f t="shared" si="19"/>
        <v>0</v>
      </c>
      <c r="G101" s="4">
        <f t="shared" si="20"/>
        <v>0.55655717529215432</v>
      </c>
      <c r="H101" s="4">
        <f t="shared" si="13"/>
        <v>0.17035726210350607</v>
      </c>
      <c r="I101" s="4">
        <f t="shared" si="14"/>
        <v>0</v>
      </c>
      <c r="J101" s="2" t="str">
        <f t="shared" si="15"/>
        <v/>
      </c>
      <c r="K101" s="2" t="str">
        <f t="shared" si="16"/>
        <v/>
      </c>
      <c r="L101" s="2" t="str">
        <f t="shared" si="17"/>
        <v/>
      </c>
    </row>
    <row r="102" spans="1:12">
      <c r="A102" s="2">
        <v>90</v>
      </c>
      <c r="B102" s="4">
        <v>0.23100000000000001</v>
      </c>
      <c r="C102" s="4">
        <f t="shared" si="18"/>
        <v>1.0359999999999998</v>
      </c>
      <c r="D102" s="4">
        <f t="shared" si="11"/>
        <v>1.5554284590900538</v>
      </c>
      <c r="E102" s="4">
        <f t="shared" si="12"/>
        <v>0.57467378325694207</v>
      </c>
      <c r="F102" s="4">
        <f t="shared" si="19"/>
        <v>0</v>
      </c>
      <c r="G102" s="4">
        <f t="shared" si="20"/>
        <v>0.55655717529215432</v>
      </c>
      <c r="H102" s="4">
        <f t="shared" si="13"/>
        <v>0.17035726210350607</v>
      </c>
      <c r="I102" s="4">
        <f t="shared" si="14"/>
        <v>0</v>
      </c>
      <c r="J102" s="2" t="str">
        <f t="shared" si="15"/>
        <v/>
      </c>
      <c r="K102" s="2" t="str">
        <f t="shared" si="16"/>
        <v>Y</v>
      </c>
      <c r="L102" s="2" t="str">
        <f t="shared" si="17"/>
        <v/>
      </c>
    </row>
    <row r="103" spans="1:12">
      <c r="A103" s="2">
        <v>91</v>
      </c>
      <c r="B103" s="4">
        <v>0.25700000000000001</v>
      </c>
      <c r="C103" s="4">
        <f t="shared" si="18"/>
        <v>2.5999999999999995E-2</v>
      </c>
      <c r="D103" s="4">
        <f t="shared" si="11"/>
        <v>1.5554284590900538</v>
      </c>
      <c r="E103" s="4">
        <f t="shared" si="12"/>
        <v>0.57467378325694207</v>
      </c>
      <c r="F103" s="4">
        <f t="shared" si="19"/>
        <v>0</v>
      </c>
      <c r="G103" s="4">
        <f t="shared" si="20"/>
        <v>0.55655717529215432</v>
      </c>
      <c r="H103" s="4">
        <f t="shared" si="13"/>
        <v>0.17035726210350607</v>
      </c>
      <c r="I103" s="4">
        <f t="shared" si="14"/>
        <v>0</v>
      </c>
      <c r="J103" s="2" t="str">
        <f t="shared" si="15"/>
        <v/>
      </c>
      <c r="K103" s="2" t="str">
        <f t="shared" si="16"/>
        <v/>
      </c>
      <c r="L103" s="2" t="str">
        <f t="shared" si="17"/>
        <v/>
      </c>
    </row>
    <row r="104" spans="1:12">
      <c r="A104" s="2">
        <v>92</v>
      </c>
      <c r="B104" s="4">
        <v>0.372</v>
      </c>
      <c r="C104" s="4">
        <f t="shared" si="18"/>
        <v>0.11499999999999999</v>
      </c>
      <c r="D104" s="4">
        <f t="shared" si="11"/>
        <v>1.5554284590900538</v>
      </c>
      <c r="E104" s="4">
        <f t="shared" si="12"/>
        <v>0.57467378325694207</v>
      </c>
      <c r="F104" s="4">
        <f t="shared" si="19"/>
        <v>0</v>
      </c>
      <c r="G104" s="4">
        <f t="shared" si="20"/>
        <v>0.55655717529215432</v>
      </c>
      <c r="H104" s="4">
        <f t="shared" si="13"/>
        <v>0.17035726210350607</v>
      </c>
      <c r="I104" s="4">
        <f t="shared" si="14"/>
        <v>0</v>
      </c>
      <c r="J104" s="2" t="str">
        <f t="shared" si="15"/>
        <v/>
      </c>
      <c r="K104" s="2" t="str">
        <f t="shared" si="16"/>
        <v/>
      </c>
      <c r="L104" s="2" t="str">
        <f t="shared" si="17"/>
        <v/>
      </c>
    </row>
    <row r="105" spans="1:12">
      <c r="A105" s="2">
        <v>93</v>
      </c>
      <c r="B105" s="4">
        <v>0.20899999999999999</v>
      </c>
      <c r="C105" s="4">
        <f t="shared" si="18"/>
        <v>0.16300000000000001</v>
      </c>
      <c r="D105" s="4">
        <f t="shared" si="11"/>
        <v>1.5554284590900538</v>
      </c>
      <c r="E105" s="4">
        <f t="shared" si="12"/>
        <v>0.57467378325694207</v>
      </c>
      <c r="F105" s="4">
        <f t="shared" si="19"/>
        <v>0</v>
      </c>
      <c r="G105" s="4">
        <f t="shared" si="20"/>
        <v>0.55655717529215432</v>
      </c>
      <c r="H105" s="4">
        <f t="shared" si="13"/>
        <v>0.17035726210350607</v>
      </c>
      <c r="I105" s="4">
        <f t="shared" si="14"/>
        <v>0</v>
      </c>
      <c r="J105" s="2" t="str">
        <f t="shared" si="15"/>
        <v/>
      </c>
      <c r="K105" s="2" t="str">
        <f t="shared" si="16"/>
        <v/>
      </c>
      <c r="L105" s="2" t="str">
        <f t="shared" si="17"/>
        <v/>
      </c>
    </row>
    <row r="106" spans="1:12">
      <c r="A106" s="2">
        <v>94</v>
      </c>
      <c r="B106" s="4">
        <v>0.35</v>
      </c>
      <c r="C106" s="4">
        <f t="shared" si="18"/>
        <v>0.14099999999999999</v>
      </c>
      <c r="D106" s="4">
        <f t="shared" si="11"/>
        <v>1.5554284590900538</v>
      </c>
      <c r="E106" s="4">
        <f t="shared" si="12"/>
        <v>0.57467378325694207</v>
      </c>
      <c r="F106" s="4">
        <f t="shared" si="19"/>
        <v>0</v>
      </c>
      <c r="G106" s="4">
        <f t="shared" si="20"/>
        <v>0.55655717529215432</v>
      </c>
      <c r="H106" s="4">
        <f t="shared" si="13"/>
        <v>0.17035726210350607</v>
      </c>
      <c r="I106" s="4">
        <f t="shared" si="14"/>
        <v>0</v>
      </c>
      <c r="J106" s="2" t="str">
        <f t="shared" si="15"/>
        <v/>
      </c>
      <c r="K106" s="2" t="str">
        <f t="shared" si="16"/>
        <v/>
      </c>
      <c r="L106" s="2" t="str">
        <f t="shared" si="17"/>
        <v/>
      </c>
    </row>
    <row r="107" spans="1:12">
      <c r="A107" s="2">
        <v>95</v>
      </c>
      <c r="B107" s="4">
        <v>0.66700000000000004</v>
      </c>
      <c r="C107" s="4">
        <f t="shared" si="18"/>
        <v>0.31700000000000006</v>
      </c>
      <c r="D107" s="4">
        <f t="shared" si="11"/>
        <v>1.5554284590900538</v>
      </c>
      <c r="E107" s="4">
        <f t="shared" si="12"/>
        <v>0.57467378325694207</v>
      </c>
      <c r="F107" s="4">
        <f t="shared" si="19"/>
        <v>0</v>
      </c>
      <c r="G107" s="4">
        <f t="shared" si="20"/>
        <v>0.55655717529215432</v>
      </c>
      <c r="H107" s="4">
        <f t="shared" si="13"/>
        <v>0.17035726210350607</v>
      </c>
      <c r="I107" s="4">
        <f t="shared" si="14"/>
        <v>0</v>
      </c>
      <c r="J107" s="2" t="str">
        <f t="shared" si="15"/>
        <v/>
      </c>
      <c r="K107" s="2" t="str">
        <f t="shared" si="16"/>
        <v/>
      </c>
      <c r="L107" s="2" t="str">
        <f t="shared" si="17"/>
        <v/>
      </c>
    </row>
    <row r="108" spans="1:12">
      <c r="A108" s="2">
        <v>96</v>
      </c>
      <c r="B108" s="4">
        <v>0.40600000000000003</v>
      </c>
      <c r="C108" s="4">
        <f t="shared" si="18"/>
        <v>0.26100000000000001</v>
      </c>
      <c r="D108" s="4">
        <f t="shared" si="11"/>
        <v>1.5554284590900538</v>
      </c>
      <c r="E108" s="4">
        <f t="shared" si="12"/>
        <v>0.57467378325694207</v>
      </c>
      <c r="F108" s="4">
        <f t="shared" si="19"/>
        <v>0</v>
      </c>
      <c r="G108" s="4">
        <f t="shared" si="20"/>
        <v>0.55655717529215432</v>
      </c>
      <c r="H108" s="4">
        <f t="shared" si="13"/>
        <v>0.17035726210350607</v>
      </c>
      <c r="I108" s="4">
        <f t="shared" si="14"/>
        <v>0</v>
      </c>
      <c r="J108" s="2" t="str">
        <f t="shared" si="15"/>
        <v/>
      </c>
      <c r="K108" s="2" t="str">
        <f t="shared" si="16"/>
        <v/>
      </c>
      <c r="L108" s="2" t="str">
        <f t="shared" si="17"/>
        <v/>
      </c>
    </row>
    <row r="109" spans="1:12">
      <c r="A109" s="2">
        <v>97</v>
      </c>
      <c r="B109" s="4">
        <v>0.14099999999999999</v>
      </c>
      <c r="C109" s="4">
        <f t="shared" si="18"/>
        <v>0.26500000000000001</v>
      </c>
      <c r="D109" s="4">
        <f t="shared" si="11"/>
        <v>1.5554284590900538</v>
      </c>
      <c r="E109" s="4">
        <f t="shared" si="12"/>
        <v>0.57467378325694207</v>
      </c>
      <c r="F109" s="4">
        <f t="shared" si="19"/>
        <v>0</v>
      </c>
      <c r="G109" s="4">
        <f t="shared" si="20"/>
        <v>0.55655717529215432</v>
      </c>
      <c r="H109" s="4">
        <f t="shared" si="13"/>
        <v>0.17035726210350607</v>
      </c>
      <c r="I109" s="4">
        <f t="shared" si="14"/>
        <v>0</v>
      </c>
      <c r="J109" s="2" t="str">
        <f t="shared" si="15"/>
        <v/>
      </c>
      <c r="K109" s="2" t="str">
        <f t="shared" si="16"/>
        <v/>
      </c>
      <c r="L109" s="2" t="str">
        <f t="shared" si="17"/>
        <v/>
      </c>
    </row>
    <row r="110" spans="1:12">
      <c r="A110" s="2">
        <v>98</v>
      </c>
      <c r="B110" s="4">
        <v>0.246</v>
      </c>
      <c r="C110" s="4">
        <f t="shared" si="18"/>
        <v>0.10500000000000001</v>
      </c>
      <c r="D110" s="4">
        <f t="shared" si="11"/>
        <v>1.5554284590900538</v>
      </c>
      <c r="E110" s="4">
        <f t="shared" si="12"/>
        <v>0.57467378325694207</v>
      </c>
      <c r="F110" s="4">
        <f t="shared" si="19"/>
        <v>0</v>
      </c>
      <c r="G110" s="4">
        <f t="shared" si="20"/>
        <v>0.55655717529215432</v>
      </c>
      <c r="H110" s="4">
        <f t="shared" si="13"/>
        <v>0.17035726210350607</v>
      </c>
      <c r="I110" s="4">
        <f t="shared" si="14"/>
        <v>0</v>
      </c>
      <c r="J110" s="2" t="str">
        <f t="shared" si="15"/>
        <v/>
      </c>
      <c r="K110" s="2" t="str">
        <f t="shared" si="16"/>
        <v/>
      </c>
      <c r="L110" s="2" t="str">
        <f t="shared" si="17"/>
        <v/>
      </c>
    </row>
    <row r="111" spans="1:12">
      <c r="A111" s="2">
        <v>99</v>
      </c>
      <c r="B111" s="4">
        <v>0.20300000000000001</v>
      </c>
      <c r="C111" s="4">
        <f t="shared" si="18"/>
        <v>4.2999999999999983E-2</v>
      </c>
      <c r="D111" s="4">
        <f t="shared" si="11"/>
        <v>1.5554284590900538</v>
      </c>
      <c r="E111" s="4">
        <f t="shared" si="12"/>
        <v>0.57467378325694207</v>
      </c>
      <c r="F111" s="4">
        <f t="shared" si="19"/>
        <v>0</v>
      </c>
      <c r="G111" s="4">
        <f t="shared" si="20"/>
        <v>0.55655717529215432</v>
      </c>
      <c r="H111" s="4">
        <f t="shared" si="13"/>
        <v>0.17035726210350607</v>
      </c>
      <c r="I111" s="4">
        <f t="shared" si="14"/>
        <v>0</v>
      </c>
      <c r="J111" s="2" t="str">
        <f t="shared" si="15"/>
        <v/>
      </c>
      <c r="K111" s="2" t="str">
        <f t="shared" si="16"/>
        <v/>
      </c>
      <c r="L111" s="2" t="str">
        <f t="shared" si="17"/>
        <v/>
      </c>
    </row>
    <row r="112" spans="1:12">
      <c r="A112" s="2">
        <v>100</v>
      </c>
      <c r="B112" s="4">
        <v>0.4</v>
      </c>
      <c r="C112" s="4">
        <f t="shared" si="18"/>
        <v>0.19700000000000001</v>
      </c>
      <c r="D112" s="4">
        <f t="shared" si="11"/>
        <v>1.5554284590900538</v>
      </c>
      <c r="E112" s="4">
        <f t="shared" si="12"/>
        <v>0.57467378325694207</v>
      </c>
      <c r="F112" s="4">
        <f t="shared" si="19"/>
        <v>0</v>
      </c>
      <c r="G112" s="4">
        <f t="shared" si="20"/>
        <v>0.55655717529215432</v>
      </c>
      <c r="H112" s="4">
        <f t="shared" si="13"/>
        <v>0.17035726210350607</v>
      </c>
      <c r="I112" s="4">
        <f t="shared" si="14"/>
        <v>0</v>
      </c>
      <c r="J112" s="2" t="str">
        <f t="shared" si="15"/>
        <v/>
      </c>
      <c r="K112" s="2" t="str">
        <f t="shared" si="16"/>
        <v/>
      </c>
      <c r="L112" s="2" t="str">
        <f t="shared" si="17"/>
        <v/>
      </c>
    </row>
    <row r="113" spans="1:12">
      <c r="A113" s="2">
        <v>101</v>
      </c>
      <c r="B113" s="4">
        <v>0.20399999999999999</v>
      </c>
      <c r="C113" s="4">
        <f t="shared" si="18"/>
        <v>0.19600000000000004</v>
      </c>
      <c r="D113" s="4">
        <f t="shared" si="11"/>
        <v>1.5554284590900538</v>
      </c>
      <c r="E113" s="4">
        <f t="shared" si="12"/>
        <v>0.57467378325694207</v>
      </c>
      <c r="F113" s="4">
        <f t="shared" si="19"/>
        <v>0</v>
      </c>
      <c r="G113" s="4">
        <f t="shared" si="20"/>
        <v>0.55655717529215432</v>
      </c>
      <c r="H113" s="4">
        <f t="shared" si="13"/>
        <v>0.17035726210350607</v>
      </c>
      <c r="I113" s="4">
        <f t="shared" si="14"/>
        <v>0</v>
      </c>
      <c r="J113" s="2" t="str">
        <f t="shared" si="15"/>
        <v/>
      </c>
      <c r="K113" s="2" t="str">
        <f t="shared" si="16"/>
        <v/>
      </c>
      <c r="L113" s="2" t="str">
        <f t="shared" si="17"/>
        <v/>
      </c>
    </row>
    <row r="114" spans="1:12">
      <c r="A114" s="2">
        <v>102</v>
      </c>
      <c r="B114" s="4">
        <v>0.20699999999999999</v>
      </c>
      <c r="C114" s="4">
        <f t="shared" si="18"/>
        <v>3.0000000000000027E-3</v>
      </c>
      <c r="D114" s="4">
        <f t="shared" si="11"/>
        <v>1.5554284590900538</v>
      </c>
      <c r="E114" s="4">
        <f t="shared" si="12"/>
        <v>0.57467378325694207</v>
      </c>
      <c r="F114" s="4">
        <f t="shared" si="19"/>
        <v>0</v>
      </c>
      <c r="G114" s="4">
        <f t="shared" si="20"/>
        <v>0.55655717529215432</v>
      </c>
      <c r="H114" s="4">
        <f t="shared" si="13"/>
        <v>0.17035726210350607</v>
      </c>
      <c r="I114" s="4">
        <f t="shared" si="14"/>
        <v>0</v>
      </c>
      <c r="J114" s="2" t="str">
        <f t="shared" si="15"/>
        <v/>
      </c>
      <c r="K114" s="2" t="str">
        <f t="shared" si="16"/>
        <v/>
      </c>
      <c r="L114" s="2" t="str">
        <f t="shared" si="17"/>
        <v/>
      </c>
    </row>
    <row r="115" spans="1:12">
      <c r="A115" s="2">
        <v>103</v>
      </c>
      <c r="B115" s="4">
        <v>0.36</v>
      </c>
      <c r="C115" s="4">
        <f t="shared" si="18"/>
        <v>0.153</v>
      </c>
      <c r="D115" s="4">
        <f t="shared" si="11"/>
        <v>1.5554284590900538</v>
      </c>
      <c r="E115" s="4">
        <f t="shared" si="12"/>
        <v>0.57467378325694207</v>
      </c>
      <c r="F115" s="4">
        <f t="shared" si="19"/>
        <v>0</v>
      </c>
      <c r="G115" s="4">
        <f t="shared" si="20"/>
        <v>0.55655717529215432</v>
      </c>
      <c r="H115" s="4">
        <f t="shared" si="13"/>
        <v>0.17035726210350607</v>
      </c>
      <c r="I115" s="4">
        <f t="shared" si="14"/>
        <v>0</v>
      </c>
      <c r="J115" s="2" t="str">
        <f t="shared" si="15"/>
        <v/>
      </c>
      <c r="K115" s="2" t="str">
        <f t="shared" si="16"/>
        <v/>
      </c>
      <c r="L115" s="2" t="str">
        <f t="shared" si="17"/>
        <v/>
      </c>
    </row>
    <row r="116" spans="1:12">
      <c r="A116" s="2">
        <v>104</v>
      </c>
      <c r="B116" s="4">
        <v>0.34499999999999997</v>
      </c>
      <c r="C116" s="4">
        <f t="shared" si="18"/>
        <v>1.5000000000000013E-2</v>
      </c>
      <c r="D116" s="4">
        <f t="shared" si="11"/>
        <v>1.5554284590900538</v>
      </c>
      <c r="E116" s="4">
        <f t="shared" si="12"/>
        <v>0.57467378325694207</v>
      </c>
      <c r="F116" s="4">
        <f t="shared" si="19"/>
        <v>0</v>
      </c>
      <c r="G116" s="4">
        <f t="shared" si="20"/>
        <v>0.55655717529215432</v>
      </c>
      <c r="H116" s="4">
        <f t="shared" si="13"/>
        <v>0.17035726210350607</v>
      </c>
      <c r="I116" s="4">
        <f t="shared" si="14"/>
        <v>0</v>
      </c>
      <c r="J116" s="2" t="str">
        <f t="shared" si="15"/>
        <v/>
      </c>
      <c r="K116" s="2" t="str">
        <f t="shared" si="16"/>
        <v/>
      </c>
      <c r="L116" s="2" t="str">
        <f t="shared" si="17"/>
        <v/>
      </c>
    </row>
    <row r="117" spans="1:12">
      <c r="A117" s="2">
        <v>105</v>
      </c>
      <c r="B117" s="4">
        <v>0.33900000000000002</v>
      </c>
      <c r="C117" s="4">
        <f t="shared" si="18"/>
        <v>5.9999999999999498E-3</v>
      </c>
      <c r="D117" s="4">
        <f t="shared" si="11"/>
        <v>1.5554284590900538</v>
      </c>
      <c r="E117" s="4">
        <f t="shared" si="12"/>
        <v>0.57467378325694207</v>
      </c>
      <c r="F117" s="4">
        <f t="shared" si="19"/>
        <v>0</v>
      </c>
      <c r="G117" s="4">
        <f t="shared" si="20"/>
        <v>0.55655717529215432</v>
      </c>
      <c r="H117" s="4">
        <f t="shared" si="13"/>
        <v>0.17035726210350607</v>
      </c>
      <c r="I117" s="4">
        <f t="shared" si="14"/>
        <v>0</v>
      </c>
      <c r="J117" s="2" t="str">
        <f t="shared" si="15"/>
        <v/>
      </c>
      <c r="K117" s="2" t="str">
        <f t="shared" si="16"/>
        <v/>
      </c>
      <c r="L117" s="2" t="str">
        <f t="shared" si="17"/>
        <v/>
      </c>
    </row>
    <row r="118" spans="1:12">
      <c r="A118" s="2">
        <v>106</v>
      </c>
      <c r="B118" s="4">
        <v>0.35899999999999999</v>
      </c>
      <c r="C118" s="4">
        <f t="shared" si="18"/>
        <v>1.9999999999999962E-2</v>
      </c>
      <c r="D118" s="4">
        <f t="shared" si="11"/>
        <v>1.5554284590900538</v>
      </c>
      <c r="E118" s="4">
        <f t="shared" si="12"/>
        <v>0.57467378325694207</v>
      </c>
      <c r="F118" s="4">
        <f t="shared" si="19"/>
        <v>0</v>
      </c>
      <c r="G118" s="4">
        <f t="shared" si="20"/>
        <v>0.55655717529215432</v>
      </c>
      <c r="H118" s="4">
        <f t="shared" si="13"/>
        <v>0.17035726210350607</v>
      </c>
      <c r="I118" s="4">
        <f t="shared" si="14"/>
        <v>0</v>
      </c>
      <c r="J118" s="2" t="str">
        <f t="shared" si="15"/>
        <v/>
      </c>
      <c r="K118" s="2" t="str">
        <f t="shared" si="16"/>
        <v/>
      </c>
      <c r="L118" s="2" t="str">
        <f t="shared" si="17"/>
        <v/>
      </c>
    </row>
    <row r="119" spans="1:12">
      <c r="A119" s="2">
        <v>107</v>
      </c>
      <c r="B119" s="4">
        <v>0.38400000000000001</v>
      </c>
      <c r="C119" s="4">
        <f t="shared" si="18"/>
        <v>2.5000000000000022E-2</v>
      </c>
      <c r="D119" s="4">
        <f t="shared" si="11"/>
        <v>1.5554284590900538</v>
      </c>
      <c r="E119" s="4">
        <f t="shared" si="12"/>
        <v>0.57467378325694207</v>
      </c>
      <c r="F119" s="4">
        <f t="shared" si="19"/>
        <v>0</v>
      </c>
      <c r="G119" s="4">
        <f t="shared" si="20"/>
        <v>0.55655717529215432</v>
      </c>
      <c r="H119" s="4">
        <f t="shared" si="13"/>
        <v>0.17035726210350607</v>
      </c>
      <c r="I119" s="4">
        <f t="shared" si="14"/>
        <v>0</v>
      </c>
      <c r="J119" s="2" t="str">
        <f t="shared" si="15"/>
        <v/>
      </c>
      <c r="K119" s="2" t="str">
        <f t="shared" si="16"/>
        <v/>
      </c>
      <c r="L119" s="2" t="str">
        <f t="shared" si="17"/>
        <v/>
      </c>
    </row>
    <row r="120" spans="1:12">
      <c r="A120" s="2">
        <v>108</v>
      </c>
      <c r="B120" s="4">
        <v>0.25600000000000001</v>
      </c>
      <c r="C120" s="4">
        <f t="shared" si="18"/>
        <v>0.128</v>
      </c>
      <c r="D120" s="4">
        <f t="shared" si="11"/>
        <v>1.5554284590900538</v>
      </c>
      <c r="E120" s="4">
        <f t="shared" si="12"/>
        <v>0.57467378325694207</v>
      </c>
      <c r="F120" s="4">
        <f t="shared" si="19"/>
        <v>0</v>
      </c>
      <c r="G120" s="4">
        <f t="shared" si="20"/>
        <v>0.55655717529215432</v>
      </c>
      <c r="H120" s="4">
        <f t="shared" si="13"/>
        <v>0.17035726210350607</v>
      </c>
      <c r="I120" s="4">
        <f t="shared" si="14"/>
        <v>0</v>
      </c>
      <c r="J120" s="2" t="str">
        <f t="shared" si="15"/>
        <v/>
      </c>
      <c r="K120" s="2" t="str">
        <f t="shared" si="16"/>
        <v/>
      </c>
      <c r="L120" s="2" t="str">
        <f t="shared" si="17"/>
        <v/>
      </c>
    </row>
    <row r="121" spans="1:12">
      <c r="A121" s="2">
        <v>109</v>
      </c>
      <c r="B121" s="4">
        <v>0.30599999999999999</v>
      </c>
      <c r="C121" s="4">
        <f t="shared" si="18"/>
        <v>4.9999999999999989E-2</v>
      </c>
      <c r="D121" s="4">
        <f t="shared" si="11"/>
        <v>1.5554284590900538</v>
      </c>
      <c r="E121" s="4">
        <f t="shared" si="12"/>
        <v>0.57467378325694207</v>
      </c>
      <c r="F121" s="4">
        <f t="shared" si="19"/>
        <v>0</v>
      </c>
      <c r="G121" s="4">
        <f t="shared" si="20"/>
        <v>0.55655717529215432</v>
      </c>
      <c r="H121" s="4">
        <f t="shared" si="13"/>
        <v>0.17035726210350607</v>
      </c>
      <c r="I121" s="4">
        <f t="shared" si="14"/>
        <v>0</v>
      </c>
      <c r="J121" s="2" t="str">
        <f t="shared" si="15"/>
        <v/>
      </c>
      <c r="K121" s="2" t="str">
        <f t="shared" si="16"/>
        <v/>
      </c>
      <c r="L121" s="2" t="str">
        <f t="shared" si="17"/>
        <v/>
      </c>
    </row>
    <row r="122" spans="1:12">
      <c r="A122" s="2">
        <v>110</v>
      </c>
      <c r="B122" s="4">
        <v>0.48499999999999999</v>
      </c>
      <c r="C122" s="4">
        <f t="shared" si="18"/>
        <v>0.17899999999999999</v>
      </c>
      <c r="D122" s="4">
        <f t="shared" si="11"/>
        <v>1.5554284590900538</v>
      </c>
      <c r="E122" s="4">
        <f t="shared" si="12"/>
        <v>0.57467378325694207</v>
      </c>
      <c r="F122" s="4">
        <f t="shared" si="19"/>
        <v>0</v>
      </c>
      <c r="G122" s="4">
        <f t="shared" si="20"/>
        <v>0.55655717529215432</v>
      </c>
      <c r="H122" s="4">
        <f t="shared" si="13"/>
        <v>0.17035726210350607</v>
      </c>
      <c r="I122" s="4">
        <f t="shared" si="14"/>
        <v>0</v>
      </c>
      <c r="J122" s="2" t="str">
        <f t="shared" si="15"/>
        <v/>
      </c>
      <c r="K122" s="2" t="str">
        <f t="shared" si="16"/>
        <v/>
      </c>
      <c r="L122" s="2" t="str">
        <f t="shared" si="17"/>
        <v/>
      </c>
    </row>
    <row r="123" spans="1:12">
      <c r="A123" s="2">
        <v>111</v>
      </c>
      <c r="B123" s="4">
        <v>0.59799999999999998</v>
      </c>
      <c r="C123" s="4">
        <f t="shared" si="18"/>
        <v>0.11299999999999999</v>
      </c>
      <c r="D123" s="4">
        <f t="shared" si="11"/>
        <v>1.5554284590900538</v>
      </c>
      <c r="E123" s="4">
        <f t="shared" si="12"/>
        <v>0.57467378325694207</v>
      </c>
      <c r="F123" s="4">
        <f t="shared" si="19"/>
        <v>0</v>
      </c>
      <c r="G123" s="4">
        <f t="shared" si="20"/>
        <v>0.55655717529215432</v>
      </c>
      <c r="H123" s="4">
        <f t="shared" si="13"/>
        <v>0.17035726210350607</v>
      </c>
      <c r="I123" s="4">
        <f t="shared" si="14"/>
        <v>0</v>
      </c>
      <c r="J123" s="2" t="str">
        <f t="shared" si="15"/>
        <v/>
      </c>
      <c r="K123" s="2" t="str">
        <f t="shared" si="16"/>
        <v/>
      </c>
      <c r="L123" s="2" t="str">
        <f t="shared" si="17"/>
        <v/>
      </c>
    </row>
    <row r="124" spans="1:12">
      <c r="A124" s="2">
        <v>112</v>
      </c>
      <c r="B124" s="4">
        <v>0.57999999999999996</v>
      </c>
      <c r="C124" s="4">
        <f t="shared" si="18"/>
        <v>1.8000000000000016E-2</v>
      </c>
      <c r="D124" s="4">
        <f t="shared" si="11"/>
        <v>1.5554284590900538</v>
      </c>
      <c r="E124" s="4">
        <f t="shared" si="12"/>
        <v>0.57467378325694207</v>
      </c>
      <c r="F124" s="4">
        <f t="shared" si="19"/>
        <v>0</v>
      </c>
      <c r="G124" s="4">
        <f t="shared" si="20"/>
        <v>0.55655717529215432</v>
      </c>
      <c r="H124" s="4">
        <f t="shared" si="13"/>
        <v>0.17035726210350607</v>
      </c>
      <c r="I124" s="4">
        <f t="shared" si="14"/>
        <v>0</v>
      </c>
      <c r="J124" s="2" t="str">
        <f t="shared" si="15"/>
        <v/>
      </c>
      <c r="K124" s="2" t="str">
        <f t="shared" si="16"/>
        <v/>
      </c>
      <c r="L124" s="2" t="str">
        <f t="shared" si="17"/>
        <v/>
      </c>
    </row>
    <row r="125" spans="1:12">
      <c r="A125" s="2">
        <v>113</v>
      </c>
      <c r="B125" s="4">
        <v>0.57899999999999996</v>
      </c>
      <c r="C125" s="4">
        <f t="shared" si="18"/>
        <v>1.0000000000000009E-3</v>
      </c>
      <c r="D125" s="4">
        <f t="shared" si="11"/>
        <v>1.5554284590900538</v>
      </c>
      <c r="E125" s="4">
        <f t="shared" si="12"/>
        <v>0.57467378325694207</v>
      </c>
      <c r="F125" s="4">
        <f t="shared" si="19"/>
        <v>0</v>
      </c>
      <c r="G125" s="4">
        <f t="shared" si="20"/>
        <v>0.55655717529215432</v>
      </c>
      <c r="H125" s="4">
        <f t="shared" si="13"/>
        <v>0.17035726210350607</v>
      </c>
      <c r="I125" s="4">
        <f t="shared" si="14"/>
        <v>0</v>
      </c>
      <c r="J125" s="2" t="str">
        <f t="shared" si="15"/>
        <v/>
      </c>
      <c r="K125" s="2" t="str">
        <f t="shared" si="16"/>
        <v/>
      </c>
      <c r="L125" s="2" t="str">
        <f t="shared" si="17"/>
        <v/>
      </c>
    </row>
    <row r="126" spans="1:12">
      <c r="A126" s="2">
        <v>114</v>
      </c>
      <c r="B126" s="4">
        <v>0.57399999999999995</v>
      </c>
      <c r="C126" s="4">
        <f t="shared" si="18"/>
        <v>5.0000000000000044E-3</v>
      </c>
      <c r="D126" s="4">
        <f t="shared" si="11"/>
        <v>1.5554284590900538</v>
      </c>
      <c r="E126" s="4">
        <f t="shared" si="12"/>
        <v>0.57467378325694207</v>
      </c>
      <c r="F126" s="4">
        <f t="shared" si="19"/>
        <v>0</v>
      </c>
      <c r="G126" s="4">
        <f t="shared" si="20"/>
        <v>0.55655717529215432</v>
      </c>
      <c r="H126" s="4">
        <f t="shared" si="13"/>
        <v>0.17035726210350607</v>
      </c>
      <c r="I126" s="4">
        <f t="shared" si="14"/>
        <v>0</v>
      </c>
      <c r="J126" s="2" t="str">
        <f t="shared" si="15"/>
        <v/>
      </c>
      <c r="K126" s="2" t="str">
        <f t="shared" si="16"/>
        <v/>
      </c>
      <c r="L126" s="2" t="str">
        <f t="shared" si="17"/>
        <v/>
      </c>
    </row>
    <row r="127" spans="1:12">
      <c r="A127" s="2">
        <v>115</v>
      </c>
      <c r="B127" s="4">
        <v>0.33200000000000002</v>
      </c>
      <c r="C127" s="4">
        <f t="shared" si="18"/>
        <v>0.24199999999999994</v>
      </c>
      <c r="D127" s="4">
        <f t="shared" si="11"/>
        <v>1.5554284590900538</v>
      </c>
      <c r="E127" s="4">
        <f t="shared" si="12"/>
        <v>0.57467378325694207</v>
      </c>
      <c r="F127" s="4">
        <f t="shared" si="19"/>
        <v>0</v>
      </c>
      <c r="G127" s="4">
        <f t="shared" si="20"/>
        <v>0.55655717529215432</v>
      </c>
      <c r="H127" s="4">
        <f t="shared" si="13"/>
        <v>0.17035726210350607</v>
      </c>
      <c r="I127" s="4">
        <f t="shared" si="14"/>
        <v>0</v>
      </c>
      <c r="J127" s="2" t="str">
        <f t="shared" si="15"/>
        <v/>
      </c>
      <c r="K127" s="2" t="str">
        <f t="shared" si="16"/>
        <v/>
      </c>
      <c r="L127" s="2" t="str">
        <f t="shared" si="17"/>
        <v/>
      </c>
    </row>
    <row r="128" spans="1:12">
      <c r="A128" s="2">
        <v>116</v>
      </c>
      <c r="B128" s="4">
        <v>0.374</v>
      </c>
      <c r="C128" s="4">
        <f t="shared" si="18"/>
        <v>4.1999999999999982E-2</v>
      </c>
      <c r="D128" s="4">
        <f t="shared" si="11"/>
        <v>1.5554284590900538</v>
      </c>
      <c r="E128" s="4">
        <f t="shared" si="12"/>
        <v>0.57467378325694207</v>
      </c>
      <c r="F128" s="4">
        <f t="shared" si="19"/>
        <v>0</v>
      </c>
      <c r="G128" s="4">
        <f t="shared" si="20"/>
        <v>0.55655717529215432</v>
      </c>
      <c r="H128" s="4">
        <f t="shared" si="13"/>
        <v>0.17035726210350607</v>
      </c>
      <c r="I128" s="4">
        <f t="shared" si="14"/>
        <v>0</v>
      </c>
      <c r="J128" s="2" t="str">
        <f t="shared" si="15"/>
        <v/>
      </c>
      <c r="K128" s="2" t="str">
        <f t="shared" si="16"/>
        <v/>
      </c>
      <c r="L128" s="2" t="str">
        <f t="shared" si="17"/>
        <v/>
      </c>
    </row>
    <row r="129" spans="1:12">
      <c r="A129" s="2">
        <v>117</v>
      </c>
      <c r="B129" s="4">
        <v>0.36299999999999999</v>
      </c>
      <c r="C129" s="4">
        <f t="shared" si="18"/>
        <v>1.100000000000001E-2</v>
      </c>
      <c r="D129" s="4">
        <f t="shared" si="11"/>
        <v>1.5554284590900538</v>
      </c>
      <c r="E129" s="4">
        <f t="shared" si="12"/>
        <v>0.57467378325694207</v>
      </c>
      <c r="F129" s="4">
        <f t="shared" si="19"/>
        <v>0</v>
      </c>
      <c r="G129" s="4">
        <f t="shared" si="20"/>
        <v>0.55655717529215432</v>
      </c>
      <c r="H129" s="4">
        <f t="shared" si="13"/>
        <v>0.17035726210350607</v>
      </c>
      <c r="I129" s="4">
        <f t="shared" si="14"/>
        <v>0</v>
      </c>
      <c r="J129" s="2" t="str">
        <f t="shared" si="15"/>
        <v/>
      </c>
      <c r="K129" s="2" t="str">
        <f t="shared" si="16"/>
        <v/>
      </c>
      <c r="L129" s="2" t="str">
        <f t="shared" si="17"/>
        <v/>
      </c>
    </row>
    <row r="130" spans="1:12">
      <c r="A130" s="2">
        <v>118</v>
      </c>
      <c r="B130" s="4">
        <v>0.33300000000000002</v>
      </c>
      <c r="C130" s="4">
        <f t="shared" si="18"/>
        <v>2.9999999999999971E-2</v>
      </c>
      <c r="D130" s="4">
        <f t="shared" si="11"/>
        <v>1.5554284590900538</v>
      </c>
      <c r="E130" s="4">
        <f t="shared" si="12"/>
        <v>0.57467378325694207</v>
      </c>
      <c r="F130" s="4">
        <f t="shared" si="19"/>
        <v>0</v>
      </c>
      <c r="G130" s="4">
        <f t="shared" si="20"/>
        <v>0.55655717529215432</v>
      </c>
      <c r="H130" s="4">
        <f t="shared" si="13"/>
        <v>0.17035726210350607</v>
      </c>
      <c r="I130" s="4">
        <f t="shared" si="14"/>
        <v>0</v>
      </c>
      <c r="J130" s="2" t="str">
        <f t="shared" si="15"/>
        <v/>
      </c>
      <c r="K130" s="2" t="str">
        <f t="shared" si="16"/>
        <v/>
      </c>
      <c r="L130" s="2" t="str">
        <f t="shared" si="17"/>
        <v/>
      </c>
    </row>
    <row r="131" spans="1:12">
      <c r="A131" s="2">
        <v>119</v>
      </c>
      <c r="B131" s="4">
        <v>0.18</v>
      </c>
      <c r="C131" s="4">
        <f t="shared" si="18"/>
        <v>0.15300000000000002</v>
      </c>
      <c r="D131" s="4">
        <f t="shared" si="11"/>
        <v>1.5554284590900538</v>
      </c>
      <c r="E131" s="4">
        <f t="shared" si="12"/>
        <v>0.57467378325694207</v>
      </c>
      <c r="F131" s="4">
        <f t="shared" si="19"/>
        <v>0</v>
      </c>
      <c r="G131" s="4">
        <f t="shared" si="20"/>
        <v>0.55655717529215432</v>
      </c>
      <c r="H131" s="4">
        <f t="shared" si="13"/>
        <v>0.17035726210350607</v>
      </c>
      <c r="I131" s="4">
        <f t="shared" si="14"/>
        <v>0</v>
      </c>
      <c r="J131" s="2" t="str">
        <f t="shared" si="15"/>
        <v/>
      </c>
      <c r="K131" s="2" t="str">
        <f t="shared" si="16"/>
        <v/>
      </c>
      <c r="L131" s="2" t="str">
        <f t="shared" si="17"/>
        <v/>
      </c>
    </row>
    <row r="132" spans="1:12">
      <c r="A132" s="2">
        <v>120</v>
      </c>
      <c r="B132" s="4">
        <v>0.19900000000000001</v>
      </c>
      <c r="C132" s="4">
        <f t="shared" si="18"/>
        <v>1.9000000000000017E-2</v>
      </c>
      <c r="D132" s="4">
        <f t="shared" si="11"/>
        <v>1.5554284590900538</v>
      </c>
      <c r="E132" s="4">
        <f t="shared" si="12"/>
        <v>0.57467378325694207</v>
      </c>
      <c r="F132" s="4">
        <f t="shared" si="19"/>
        <v>0</v>
      </c>
      <c r="G132" s="4">
        <f t="shared" si="20"/>
        <v>0.55655717529215432</v>
      </c>
      <c r="H132" s="4">
        <f t="shared" si="13"/>
        <v>0.17035726210350607</v>
      </c>
      <c r="I132" s="4">
        <f t="shared" si="14"/>
        <v>0</v>
      </c>
      <c r="J132" s="2" t="str">
        <f t="shared" si="15"/>
        <v/>
      </c>
      <c r="K132" s="2" t="str">
        <f t="shared" si="16"/>
        <v/>
      </c>
      <c r="L132" s="2" t="str">
        <f t="shared" si="17"/>
        <v/>
      </c>
    </row>
    <row r="133" spans="1:12">
      <c r="A133" s="2">
        <v>121</v>
      </c>
      <c r="B133" s="4">
        <v>0.377</v>
      </c>
      <c r="C133" s="4">
        <f t="shared" si="18"/>
        <v>0.17799999999999999</v>
      </c>
      <c r="D133" s="4">
        <f t="shared" si="11"/>
        <v>1.5554284590900538</v>
      </c>
      <c r="E133" s="4">
        <f t="shared" si="12"/>
        <v>0.57467378325694207</v>
      </c>
      <c r="F133" s="4">
        <f t="shared" si="19"/>
        <v>0</v>
      </c>
      <c r="G133" s="4">
        <f t="shared" si="20"/>
        <v>0.55655717529215432</v>
      </c>
      <c r="H133" s="4">
        <f t="shared" si="13"/>
        <v>0.17035726210350607</v>
      </c>
      <c r="I133" s="4">
        <f t="shared" si="14"/>
        <v>0</v>
      </c>
      <c r="J133" s="2" t="str">
        <f t="shared" si="15"/>
        <v/>
      </c>
      <c r="K133" s="2" t="str">
        <f t="shared" si="16"/>
        <v/>
      </c>
      <c r="L133" s="2" t="str">
        <f t="shared" si="17"/>
        <v/>
      </c>
    </row>
    <row r="134" spans="1:12">
      <c r="A134" s="2">
        <v>122</v>
      </c>
      <c r="B134" s="4">
        <v>0.28499999999999998</v>
      </c>
      <c r="C134" s="4">
        <f t="shared" si="18"/>
        <v>9.2000000000000026E-2</v>
      </c>
      <c r="D134" s="4">
        <f t="shared" si="11"/>
        <v>1.5554284590900538</v>
      </c>
      <c r="E134" s="4">
        <f t="shared" si="12"/>
        <v>0.57467378325694207</v>
      </c>
      <c r="F134" s="4">
        <f t="shared" si="19"/>
        <v>0</v>
      </c>
      <c r="G134" s="4">
        <f t="shared" si="20"/>
        <v>0.55655717529215432</v>
      </c>
      <c r="H134" s="4">
        <f t="shared" si="13"/>
        <v>0.17035726210350607</v>
      </c>
      <c r="I134" s="4">
        <f t="shared" si="14"/>
        <v>0</v>
      </c>
      <c r="J134" s="2" t="str">
        <f t="shared" si="15"/>
        <v/>
      </c>
      <c r="K134" s="2" t="str">
        <f t="shared" si="16"/>
        <v/>
      </c>
      <c r="L134" s="2" t="str">
        <f t="shared" si="17"/>
        <v/>
      </c>
    </row>
    <row r="135" spans="1:12">
      <c r="A135" s="2">
        <v>123</v>
      </c>
      <c r="B135" s="4">
        <v>0.27300000000000002</v>
      </c>
      <c r="C135" s="4">
        <f t="shared" si="18"/>
        <v>1.1999999999999955E-2</v>
      </c>
      <c r="D135" s="4">
        <f t="shared" si="11"/>
        <v>1.5554284590900538</v>
      </c>
      <c r="E135" s="4">
        <f t="shared" si="12"/>
        <v>0.57467378325694207</v>
      </c>
      <c r="F135" s="4">
        <f t="shared" si="19"/>
        <v>0</v>
      </c>
      <c r="G135" s="4">
        <f t="shared" si="20"/>
        <v>0.55655717529215432</v>
      </c>
      <c r="H135" s="4">
        <f t="shared" si="13"/>
        <v>0.17035726210350607</v>
      </c>
      <c r="I135" s="4">
        <f t="shared" si="14"/>
        <v>0</v>
      </c>
      <c r="J135" s="2" t="str">
        <f t="shared" si="15"/>
        <v/>
      </c>
      <c r="K135" s="2" t="str">
        <f t="shared" si="16"/>
        <v/>
      </c>
      <c r="L135" s="2" t="str">
        <f t="shared" si="17"/>
        <v/>
      </c>
    </row>
    <row r="136" spans="1:12">
      <c r="A136" s="2">
        <v>124</v>
      </c>
      <c r="B136" s="4">
        <v>0.16600000000000001</v>
      </c>
      <c r="C136" s="4">
        <f t="shared" si="18"/>
        <v>0.10700000000000001</v>
      </c>
      <c r="D136" s="4">
        <f t="shared" si="11"/>
        <v>1.5554284590900538</v>
      </c>
      <c r="E136" s="4">
        <f t="shared" si="12"/>
        <v>0.57467378325694207</v>
      </c>
      <c r="F136" s="4">
        <f t="shared" si="19"/>
        <v>0</v>
      </c>
      <c r="G136" s="4">
        <f t="shared" si="20"/>
        <v>0.55655717529215432</v>
      </c>
      <c r="H136" s="4">
        <f t="shared" si="13"/>
        <v>0.17035726210350607</v>
      </c>
      <c r="I136" s="4">
        <f t="shared" si="14"/>
        <v>0</v>
      </c>
      <c r="J136" s="2" t="str">
        <f t="shared" si="15"/>
        <v/>
      </c>
      <c r="K136" s="2" t="str">
        <f t="shared" si="16"/>
        <v/>
      </c>
      <c r="L136" s="2" t="str">
        <f t="shared" si="17"/>
        <v/>
      </c>
    </row>
    <row r="137" spans="1:12">
      <c r="A137" s="2">
        <v>125</v>
      </c>
      <c r="B137" s="4">
        <v>0.32800000000000001</v>
      </c>
      <c r="C137" s="4">
        <f t="shared" si="18"/>
        <v>0.16200000000000001</v>
      </c>
      <c r="D137" s="4">
        <f t="shared" si="11"/>
        <v>1.5554284590900538</v>
      </c>
      <c r="E137" s="4">
        <f t="shared" si="12"/>
        <v>0.57467378325694207</v>
      </c>
      <c r="F137" s="4">
        <f t="shared" si="19"/>
        <v>0</v>
      </c>
      <c r="G137" s="4">
        <f t="shared" si="20"/>
        <v>0.55655717529215432</v>
      </c>
      <c r="H137" s="4">
        <f t="shared" si="13"/>
        <v>0.17035726210350607</v>
      </c>
      <c r="I137" s="4">
        <f t="shared" si="14"/>
        <v>0</v>
      </c>
      <c r="J137" s="2" t="str">
        <f t="shared" si="15"/>
        <v/>
      </c>
      <c r="K137" s="2" t="str">
        <f t="shared" si="16"/>
        <v/>
      </c>
      <c r="L137" s="2" t="str">
        <f t="shared" si="17"/>
        <v/>
      </c>
    </row>
    <row r="138" spans="1:12">
      <c r="A138" s="2">
        <v>126</v>
      </c>
      <c r="B138" s="4">
        <v>0.27700000000000002</v>
      </c>
      <c r="C138" s="4">
        <f t="shared" si="18"/>
        <v>5.099999999999999E-2</v>
      </c>
      <c r="D138" s="4">
        <f t="shared" si="11"/>
        <v>1.5554284590900538</v>
      </c>
      <c r="E138" s="4">
        <f t="shared" si="12"/>
        <v>0.57467378325694207</v>
      </c>
      <c r="F138" s="4">
        <f t="shared" si="19"/>
        <v>0</v>
      </c>
      <c r="G138" s="4">
        <f t="shared" si="20"/>
        <v>0.55655717529215432</v>
      </c>
      <c r="H138" s="4">
        <f t="shared" si="13"/>
        <v>0.17035726210350607</v>
      </c>
      <c r="I138" s="4">
        <f t="shared" si="14"/>
        <v>0</v>
      </c>
      <c r="J138" s="2" t="str">
        <f t="shared" si="15"/>
        <v/>
      </c>
      <c r="K138" s="2" t="str">
        <f t="shared" si="16"/>
        <v/>
      </c>
      <c r="L138" s="2" t="str">
        <f t="shared" si="17"/>
        <v/>
      </c>
    </row>
    <row r="139" spans="1:12">
      <c r="A139" s="2">
        <v>127</v>
      </c>
      <c r="B139" s="4">
        <v>6.7000000000000004E-2</v>
      </c>
      <c r="C139" s="4">
        <f t="shared" si="18"/>
        <v>0.21000000000000002</v>
      </c>
      <c r="D139" s="4">
        <f t="shared" si="11"/>
        <v>1.5554284590900538</v>
      </c>
      <c r="E139" s="4">
        <f t="shared" si="12"/>
        <v>0.57467378325694207</v>
      </c>
      <c r="F139" s="4">
        <f t="shared" si="19"/>
        <v>0</v>
      </c>
      <c r="G139" s="4">
        <f t="shared" si="20"/>
        <v>0.55655717529215432</v>
      </c>
      <c r="H139" s="4">
        <f t="shared" si="13"/>
        <v>0.17035726210350607</v>
      </c>
      <c r="I139" s="4">
        <f t="shared" si="14"/>
        <v>0</v>
      </c>
      <c r="J139" s="2" t="str">
        <f t="shared" si="15"/>
        <v/>
      </c>
      <c r="K139" s="2" t="str">
        <f t="shared" si="16"/>
        <v/>
      </c>
      <c r="L139" s="2" t="str">
        <f t="shared" si="17"/>
        <v/>
      </c>
    </row>
    <row r="140" spans="1:12">
      <c r="A140" s="2">
        <v>128</v>
      </c>
      <c r="B140" s="4">
        <v>0.105</v>
      </c>
      <c r="C140" s="4">
        <f t="shared" si="18"/>
        <v>3.7999999999999992E-2</v>
      </c>
      <c r="D140" s="4">
        <f t="shared" si="11"/>
        <v>1.5554284590900538</v>
      </c>
      <c r="E140" s="4">
        <f t="shared" si="12"/>
        <v>0.57467378325694207</v>
      </c>
      <c r="F140" s="4">
        <f t="shared" si="19"/>
        <v>0</v>
      </c>
      <c r="G140" s="4">
        <f t="shared" si="20"/>
        <v>0.55655717529215432</v>
      </c>
      <c r="H140" s="4">
        <f t="shared" si="13"/>
        <v>0.17035726210350607</v>
      </c>
      <c r="I140" s="4">
        <f t="shared" si="14"/>
        <v>0</v>
      </c>
      <c r="J140" s="2" t="str">
        <f t="shared" si="15"/>
        <v/>
      </c>
      <c r="K140" s="2" t="str">
        <f t="shared" si="16"/>
        <v/>
      </c>
      <c r="L140" s="2" t="str">
        <f t="shared" si="17"/>
        <v/>
      </c>
    </row>
    <row r="141" spans="1:12">
      <c r="A141" s="2">
        <v>129</v>
      </c>
      <c r="B141" s="4">
        <v>0.187</v>
      </c>
      <c r="C141" s="4">
        <f t="shared" si="18"/>
        <v>8.2000000000000003E-2</v>
      </c>
      <c r="D141" s="4">
        <f t="shared" ref="D141:D204" si="21">$G$13</f>
        <v>1.5554284590900538</v>
      </c>
      <c r="E141" s="4">
        <f t="shared" ref="E141:E204" si="22">$G$14</f>
        <v>0.57467378325694207</v>
      </c>
      <c r="F141" s="4">
        <f t="shared" si="19"/>
        <v>0</v>
      </c>
      <c r="G141" s="4">
        <f t="shared" si="20"/>
        <v>0.55655717529215432</v>
      </c>
      <c r="H141" s="4">
        <f t="shared" ref="H141:H204" si="23">$G$17</f>
        <v>0.17035726210350607</v>
      </c>
      <c r="I141" s="4">
        <f t="shared" ref="I141:I204" si="24">$G$18</f>
        <v>0</v>
      </c>
      <c r="J141" s="2" t="str">
        <f t="shared" ref="J141:J204" si="25">IF(OR(B141&gt;D141,B141&lt;F141),"Y","")</f>
        <v/>
      </c>
      <c r="K141" s="2" t="str">
        <f t="shared" ref="K141:K204" si="26">IF(AND(C141&lt;&gt;"",C141&gt;G141),"Y","")</f>
        <v/>
      </c>
      <c r="L141" s="2" t="str">
        <f t="shared" ref="L141:L204" si="27">IF(OR(B141&lt;$B$5,B141&gt;$D$5),"Y","")</f>
        <v/>
      </c>
    </row>
    <row r="142" spans="1:12">
      <c r="A142" s="2">
        <v>130</v>
      </c>
      <c r="B142" s="4">
        <v>0.45100000000000001</v>
      </c>
      <c r="C142" s="4">
        <f t="shared" ref="C142:C205" si="28">ABS(B142-B141)</f>
        <v>0.26400000000000001</v>
      </c>
      <c r="D142" s="4">
        <f t="shared" si="21"/>
        <v>1.5554284590900538</v>
      </c>
      <c r="E142" s="4">
        <f t="shared" si="22"/>
        <v>0.57467378325694207</v>
      </c>
      <c r="F142" s="4">
        <f t="shared" si="19"/>
        <v>0</v>
      </c>
      <c r="G142" s="4">
        <f t="shared" si="20"/>
        <v>0.55655717529215432</v>
      </c>
      <c r="H142" s="4">
        <f t="shared" si="23"/>
        <v>0.17035726210350607</v>
      </c>
      <c r="I142" s="4">
        <f t="shared" si="24"/>
        <v>0</v>
      </c>
      <c r="J142" s="2" t="str">
        <f t="shared" si="25"/>
        <v/>
      </c>
      <c r="K142" s="2" t="str">
        <f t="shared" si="26"/>
        <v/>
      </c>
      <c r="L142" s="2" t="str">
        <f t="shared" si="27"/>
        <v/>
      </c>
    </row>
    <row r="143" spans="1:12">
      <c r="A143" s="2">
        <v>131</v>
      </c>
      <c r="B143" s="4">
        <v>0.35899999999999999</v>
      </c>
      <c r="C143" s="4">
        <f t="shared" si="28"/>
        <v>9.2000000000000026E-2</v>
      </c>
      <c r="D143" s="4">
        <f t="shared" si="21"/>
        <v>1.5554284590900538</v>
      </c>
      <c r="E143" s="4">
        <f t="shared" si="22"/>
        <v>0.57467378325694207</v>
      </c>
      <c r="F143" s="4">
        <f t="shared" si="19"/>
        <v>0</v>
      </c>
      <c r="G143" s="4">
        <f t="shared" si="20"/>
        <v>0.55655717529215432</v>
      </c>
      <c r="H143" s="4">
        <f t="shared" si="23"/>
        <v>0.17035726210350607</v>
      </c>
      <c r="I143" s="4">
        <f t="shared" si="24"/>
        <v>0</v>
      </c>
      <c r="J143" s="2" t="str">
        <f t="shared" si="25"/>
        <v/>
      </c>
      <c r="K143" s="2" t="str">
        <f t="shared" si="26"/>
        <v/>
      </c>
      <c r="L143" s="2" t="str">
        <f t="shared" si="27"/>
        <v/>
      </c>
    </row>
    <row r="144" spans="1:12">
      <c r="A144" s="2">
        <v>132</v>
      </c>
      <c r="B144" s="4">
        <v>0.28000000000000003</v>
      </c>
      <c r="C144" s="4">
        <f t="shared" si="28"/>
        <v>7.8999999999999959E-2</v>
      </c>
      <c r="D144" s="4">
        <f t="shared" si="21"/>
        <v>1.5554284590900538</v>
      </c>
      <c r="E144" s="4">
        <f t="shared" si="22"/>
        <v>0.57467378325694207</v>
      </c>
      <c r="F144" s="4">
        <f t="shared" ref="F144:F207" si="29">$G$15</f>
        <v>0</v>
      </c>
      <c r="G144" s="4">
        <f t="shared" si="20"/>
        <v>0.55655717529215432</v>
      </c>
      <c r="H144" s="4">
        <f t="shared" si="23"/>
        <v>0.17035726210350607</v>
      </c>
      <c r="I144" s="4">
        <f t="shared" si="24"/>
        <v>0</v>
      </c>
      <c r="J144" s="2" t="str">
        <f t="shared" si="25"/>
        <v/>
      </c>
      <c r="K144" s="2" t="str">
        <f t="shared" si="26"/>
        <v/>
      </c>
      <c r="L144" s="2" t="str">
        <f t="shared" si="27"/>
        <v/>
      </c>
    </row>
    <row r="145" spans="1:12">
      <c r="A145" s="2">
        <v>133</v>
      </c>
      <c r="B145" s="4">
        <v>0.38</v>
      </c>
      <c r="C145" s="4">
        <f t="shared" si="28"/>
        <v>9.9999999999999978E-2</v>
      </c>
      <c r="D145" s="4">
        <f t="shared" si="21"/>
        <v>1.5554284590900538</v>
      </c>
      <c r="E145" s="4">
        <f t="shared" si="22"/>
        <v>0.57467378325694207</v>
      </c>
      <c r="F145" s="4">
        <f t="shared" si="29"/>
        <v>0</v>
      </c>
      <c r="G145" s="4">
        <f t="shared" si="20"/>
        <v>0.55655717529215432</v>
      </c>
      <c r="H145" s="4">
        <f t="shared" si="23"/>
        <v>0.17035726210350607</v>
      </c>
      <c r="I145" s="4">
        <f t="shared" si="24"/>
        <v>0</v>
      </c>
      <c r="J145" s="2" t="str">
        <f t="shared" si="25"/>
        <v/>
      </c>
      <c r="K145" s="2" t="str">
        <f t="shared" si="26"/>
        <v/>
      </c>
      <c r="L145" s="2" t="str">
        <f t="shared" si="27"/>
        <v/>
      </c>
    </row>
    <row r="146" spans="1:12">
      <c r="A146" s="2">
        <v>134</v>
      </c>
      <c r="B146" s="4">
        <v>0.42699999999999999</v>
      </c>
      <c r="C146" s="4">
        <f t="shared" si="28"/>
        <v>4.6999999999999986E-2</v>
      </c>
      <c r="D146" s="4">
        <f t="shared" si="21"/>
        <v>1.5554284590900538</v>
      </c>
      <c r="E146" s="4">
        <f t="shared" si="22"/>
        <v>0.57467378325694207</v>
      </c>
      <c r="F146" s="4">
        <f t="shared" si="29"/>
        <v>0</v>
      </c>
      <c r="G146" s="4">
        <f t="shared" si="20"/>
        <v>0.55655717529215432</v>
      </c>
      <c r="H146" s="4">
        <f t="shared" si="23"/>
        <v>0.17035726210350607</v>
      </c>
      <c r="I146" s="4">
        <f t="shared" si="24"/>
        <v>0</v>
      </c>
      <c r="J146" s="2" t="str">
        <f t="shared" si="25"/>
        <v/>
      </c>
      <c r="K146" s="2" t="str">
        <f t="shared" si="26"/>
        <v/>
      </c>
      <c r="L146" s="2" t="str">
        <f t="shared" si="27"/>
        <v/>
      </c>
    </row>
    <row r="147" spans="1:12">
      <c r="A147" s="2">
        <v>135</v>
      </c>
      <c r="B147" s="4">
        <v>0.46100000000000002</v>
      </c>
      <c r="C147" s="4">
        <f t="shared" si="28"/>
        <v>3.400000000000003E-2</v>
      </c>
      <c r="D147" s="4">
        <f t="shared" si="21"/>
        <v>1.5554284590900538</v>
      </c>
      <c r="E147" s="4">
        <f t="shared" si="22"/>
        <v>0.57467378325694207</v>
      </c>
      <c r="F147" s="4">
        <f t="shared" si="29"/>
        <v>0</v>
      </c>
      <c r="G147" s="4">
        <f t="shared" ref="G147:G210" si="30">$G$16</f>
        <v>0.55655717529215432</v>
      </c>
      <c r="H147" s="4">
        <f t="shared" si="23"/>
        <v>0.17035726210350607</v>
      </c>
      <c r="I147" s="4">
        <f t="shared" si="24"/>
        <v>0</v>
      </c>
      <c r="J147" s="2" t="str">
        <f t="shared" si="25"/>
        <v/>
      </c>
      <c r="K147" s="2" t="str">
        <f t="shared" si="26"/>
        <v/>
      </c>
      <c r="L147" s="2" t="str">
        <f t="shared" si="27"/>
        <v/>
      </c>
    </row>
    <row r="148" spans="1:12">
      <c r="A148" s="2">
        <v>136</v>
      </c>
      <c r="B148" s="4">
        <v>0.25</v>
      </c>
      <c r="C148" s="4">
        <f t="shared" si="28"/>
        <v>0.21100000000000002</v>
      </c>
      <c r="D148" s="4">
        <f t="shared" si="21"/>
        <v>1.5554284590900538</v>
      </c>
      <c r="E148" s="4">
        <f t="shared" si="22"/>
        <v>0.57467378325694207</v>
      </c>
      <c r="F148" s="4">
        <f t="shared" si="29"/>
        <v>0</v>
      </c>
      <c r="G148" s="4">
        <f t="shared" si="30"/>
        <v>0.55655717529215432</v>
      </c>
      <c r="H148" s="4">
        <f t="shared" si="23"/>
        <v>0.17035726210350607</v>
      </c>
      <c r="I148" s="4">
        <f t="shared" si="24"/>
        <v>0</v>
      </c>
      <c r="J148" s="2" t="str">
        <f t="shared" si="25"/>
        <v/>
      </c>
      <c r="K148" s="2" t="str">
        <f t="shared" si="26"/>
        <v/>
      </c>
      <c r="L148" s="2" t="str">
        <f t="shared" si="27"/>
        <v/>
      </c>
    </row>
    <row r="149" spans="1:12">
      <c r="A149" s="2">
        <v>137</v>
      </c>
      <c r="B149" s="4">
        <v>0.49099999999999999</v>
      </c>
      <c r="C149" s="4">
        <f t="shared" si="28"/>
        <v>0.24099999999999999</v>
      </c>
      <c r="D149" s="4">
        <f t="shared" si="21"/>
        <v>1.5554284590900538</v>
      </c>
      <c r="E149" s="4">
        <f t="shared" si="22"/>
        <v>0.57467378325694207</v>
      </c>
      <c r="F149" s="4">
        <f t="shared" si="29"/>
        <v>0</v>
      </c>
      <c r="G149" s="4">
        <f t="shared" si="30"/>
        <v>0.55655717529215432</v>
      </c>
      <c r="H149" s="4">
        <f t="shared" si="23"/>
        <v>0.17035726210350607</v>
      </c>
      <c r="I149" s="4">
        <f t="shared" si="24"/>
        <v>0</v>
      </c>
      <c r="J149" s="2" t="str">
        <f t="shared" si="25"/>
        <v/>
      </c>
      <c r="K149" s="2" t="str">
        <f t="shared" si="26"/>
        <v/>
      </c>
      <c r="L149" s="2" t="str">
        <f t="shared" si="27"/>
        <v/>
      </c>
    </row>
    <row r="150" spans="1:12">
      <c r="A150" s="2">
        <v>138</v>
      </c>
      <c r="B150" s="4">
        <v>0.44900000000000001</v>
      </c>
      <c r="C150" s="4">
        <f t="shared" si="28"/>
        <v>4.1999999999999982E-2</v>
      </c>
      <c r="D150" s="4">
        <f t="shared" si="21"/>
        <v>1.5554284590900538</v>
      </c>
      <c r="E150" s="4">
        <f t="shared" si="22"/>
        <v>0.57467378325694207</v>
      </c>
      <c r="F150" s="4">
        <f t="shared" si="29"/>
        <v>0</v>
      </c>
      <c r="G150" s="4">
        <f t="shared" si="30"/>
        <v>0.55655717529215432</v>
      </c>
      <c r="H150" s="4">
        <f t="shared" si="23"/>
        <v>0.17035726210350607</v>
      </c>
      <c r="I150" s="4">
        <f t="shared" si="24"/>
        <v>0</v>
      </c>
      <c r="J150" s="2" t="str">
        <f t="shared" si="25"/>
        <v/>
      </c>
      <c r="K150" s="2" t="str">
        <f t="shared" si="26"/>
        <v/>
      </c>
      <c r="L150" s="2" t="str">
        <f t="shared" si="27"/>
        <v/>
      </c>
    </row>
    <row r="151" spans="1:12">
      <c r="A151" s="2">
        <v>139</v>
      </c>
      <c r="B151" s="4">
        <v>0.51200000000000001</v>
      </c>
      <c r="C151" s="4">
        <f t="shared" si="28"/>
        <v>6.3E-2</v>
      </c>
      <c r="D151" s="4">
        <f t="shared" si="21"/>
        <v>1.5554284590900538</v>
      </c>
      <c r="E151" s="4">
        <f t="shared" si="22"/>
        <v>0.57467378325694207</v>
      </c>
      <c r="F151" s="4">
        <f t="shared" si="29"/>
        <v>0</v>
      </c>
      <c r="G151" s="4">
        <f t="shared" si="30"/>
        <v>0.55655717529215432</v>
      </c>
      <c r="H151" s="4">
        <f t="shared" si="23"/>
        <v>0.17035726210350607</v>
      </c>
      <c r="I151" s="4">
        <f t="shared" si="24"/>
        <v>0</v>
      </c>
      <c r="J151" s="2" t="str">
        <f t="shared" si="25"/>
        <v/>
      </c>
      <c r="K151" s="2" t="str">
        <f t="shared" si="26"/>
        <v/>
      </c>
      <c r="L151" s="2" t="str">
        <f t="shared" si="27"/>
        <v/>
      </c>
    </row>
    <row r="152" spans="1:12">
      <c r="A152" s="2">
        <v>140</v>
      </c>
      <c r="B152" s="4">
        <v>0.496</v>
      </c>
      <c r="C152" s="4">
        <f t="shared" si="28"/>
        <v>1.6000000000000014E-2</v>
      </c>
      <c r="D152" s="4">
        <f t="shared" si="21"/>
        <v>1.5554284590900538</v>
      </c>
      <c r="E152" s="4">
        <f t="shared" si="22"/>
        <v>0.57467378325694207</v>
      </c>
      <c r="F152" s="4">
        <f t="shared" si="29"/>
        <v>0</v>
      </c>
      <c r="G152" s="4">
        <f t="shared" si="30"/>
        <v>0.55655717529215432</v>
      </c>
      <c r="H152" s="4">
        <f t="shared" si="23"/>
        <v>0.17035726210350607</v>
      </c>
      <c r="I152" s="4">
        <f t="shared" si="24"/>
        <v>0</v>
      </c>
      <c r="J152" s="2" t="str">
        <f t="shared" si="25"/>
        <v/>
      </c>
      <c r="K152" s="2" t="str">
        <f t="shared" si="26"/>
        <v/>
      </c>
      <c r="L152" s="2" t="str">
        <f t="shared" si="27"/>
        <v/>
      </c>
    </row>
    <row r="153" spans="1:12">
      <c r="A153" s="2">
        <v>141</v>
      </c>
      <c r="B153" s="4">
        <v>0.316</v>
      </c>
      <c r="C153" s="4">
        <f t="shared" si="28"/>
        <v>0.18</v>
      </c>
      <c r="D153" s="4">
        <f t="shared" si="21"/>
        <v>1.5554284590900538</v>
      </c>
      <c r="E153" s="4">
        <f t="shared" si="22"/>
        <v>0.57467378325694207</v>
      </c>
      <c r="F153" s="4">
        <f t="shared" si="29"/>
        <v>0</v>
      </c>
      <c r="G153" s="4">
        <f t="shared" si="30"/>
        <v>0.55655717529215432</v>
      </c>
      <c r="H153" s="4">
        <f t="shared" si="23"/>
        <v>0.17035726210350607</v>
      </c>
      <c r="I153" s="4">
        <f t="shared" si="24"/>
        <v>0</v>
      </c>
      <c r="J153" s="2" t="str">
        <f t="shared" si="25"/>
        <v/>
      </c>
      <c r="K153" s="2" t="str">
        <f t="shared" si="26"/>
        <v/>
      </c>
      <c r="L153" s="2" t="str">
        <f t="shared" si="27"/>
        <v/>
      </c>
    </row>
    <row r="154" spans="1:12">
      <c r="A154" s="2">
        <v>142</v>
      </c>
      <c r="B154" s="4">
        <v>0.34</v>
      </c>
      <c r="C154" s="4">
        <f t="shared" si="28"/>
        <v>2.4000000000000021E-2</v>
      </c>
      <c r="D154" s="4">
        <f t="shared" si="21"/>
        <v>1.5554284590900538</v>
      </c>
      <c r="E154" s="4">
        <f t="shared" si="22"/>
        <v>0.57467378325694207</v>
      </c>
      <c r="F154" s="4">
        <f t="shared" si="29"/>
        <v>0</v>
      </c>
      <c r="G154" s="4">
        <f t="shared" si="30"/>
        <v>0.55655717529215432</v>
      </c>
      <c r="H154" s="4">
        <f t="shared" si="23"/>
        <v>0.17035726210350607</v>
      </c>
      <c r="I154" s="4">
        <f t="shared" si="24"/>
        <v>0</v>
      </c>
      <c r="J154" s="2" t="str">
        <f t="shared" si="25"/>
        <v/>
      </c>
      <c r="K154" s="2" t="str">
        <f t="shared" si="26"/>
        <v/>
      </c>
      <c r="L154" s="2" t="str">
        <f t="shared" si="27"/>
        <v/>
      </c>
    </row>
    <row r="155" spans="1:12">
      <c r="A155" s="2">
        <v>143</v>
      </c>
      <c r="B155" s="4">
        <v>0.47599999999999998</v>
      </c>
      <c r="C155" s="4">
        <f t="shared" si="28"/>
        <v>0.13599999999999995</v>
      </c>
      <c r="D155" s="4">
        <f t="shared" si="21"/>
        <v>1.5554284590900538</v>
      </c>
      <c r="E155" s="4">
        <f t="shared" si="22"/>
        <v>0.57467378325694207</v>
      </c>
      <c r="F155" s="4">
        <f t="shared" si="29"/>
        <v>0</v>
      </c>
      <c r="G155" s="4">
        <f t="shared" si="30"/>
        <v>0.55655717529215432</v>
      </c>
      <c r="H155" s="4">
        <f t="shared" si="23"/>
        <v>0.17035726210350607</v>
      </c>
      <c r="I155" s="4">
        <f t="shared" si="24"/>
        <v>0</v>
      </c>
      <c r="J155" s="2" t="str">
        <f t="shared" si="25"/>
        <v/>
      </c>
      <c r="K155" s="2" t="str">
        <f t="shared" si="26"/>
        <v/>
      </c>
      <c r="L155" s="2" t="str">
        <f t="shared" si="27"/>
        <v/>
      </c>
    </row>
    <row r="156" spans="1:12">
      <c r="A156" s="2">
        <v>144</v>
      </c>
      <c r="B156" s="4">
        <v>0.14599999999999999</v>
      </c>
      <c r="C156" s="4">
        <f t="shared" si="28"/>
        <v>0.32999999999999996</v>
      </c>
      <c r="D156" s="4">
        <f t="shared" si="21"/>
        <v>1.5554284590900538</v>
      </c>
      <c r="E156" s="4">
        <f t="shared" si="22"/>
        <v>0.57467378325694207</v>
      </c>
      <c r="F156" s="4">
        <f t="shared" si="29"/>
        <v>0</v>
      </c>
      <c r="G156" s="4">
        <f t="shared" si="30"/>
        <v>0.55655717529215432</v>
      </c>
      <c r="H156" s="4">
        <f t="shared" si="23"/>
        <v>0.17035726210350607</v>
      </c>
      <c r="I156" s="4">
        <f t="shared" si="24"/>
        <v>0</v>
      </c>
      <c r="J156" s="2" t="str">
        <f t="shared" si="25"/>
        <v/>
      </c>
      <c r="K156" s="2" t="str">
        <f t="shared" si="26"/>
        <v/>
      </c>
      <c r="L156" s="2" t="str">
        <f t="shared" si="27"/>
        <v/>
      </c>
    </row>
    <row r="157" spans="1:12">
      <c r="A157" s="2">
        <v>145</v>
      </c>
      <c r="B157" s="4">
        <v>0.27300000000000002</v>
      </c>
      <c r="C157" s="4">
        <f t="shared" si="28"/>
        <v>0.12700000000000003</v>
      </c>
      <c r="D157" s="4">
        <f t="shared" si="21"/>
        <v>1.5554284590900538</v>
      </c>
      <c r="E157" s="4">
        <f t="shared" si="22"/>
        <v>0.57467378325694207</v>
      </c>
      <c r="F157" s="4">
        <f t="shared" si="29"/>
        <v>0</v>
      </c>
      <c r="G157" s="4">
        <f t="shared" si="30"/>
        <v>0.55655717529215432</v>
      </c>
      <c r="H157" s="4">
        <f t="shared" si="23"/>
        <v>0.17035726210350607</v>
      </c>
      <c r="I157" s="4">
        <f t="shared" si="24"/>
        <v>0</v>
      </c>
      <c r="J157" s="2" t="str">
        <f t="shared" si="25"/>
        <v/>
      </c>
      <c r="K157" s="2" t="str">
        <f t="shared" si="26"/>
        <v/>
      </c>
      <c r="L157" s="2" t="str">
        <f t="shared" si="27"/>
        <v/>
      </c>
    </row>
    <row r="158" spans="1:12">
      <c r="A158" s="2">
        <v>146</v>
      </c>
      <c r="B158" s="4">
        <v>0.09</v>
      </c>
      <c r="C158" s="4">
        <f t="shared" si="28"/>
        <v>0.18300000000000002</v>
      </c>
      <c r="D158" s="4">
        <f t="shared" si="21"/>
        <v>1.5554284590900538</v>
      </c>
      <c r="E158" s="4">
        <f t="shared" si="22"/>
        <v>0.57467378325694207</v>
      </c>
      <c r="F158" s="4">
        <f t="shared" si="29"/>
        <v>0</v>
      </c>
      <c r="G158" s="4">
        <f t="shared" si="30"/>
        <v>0.55655717529215432</v>
      </c>
      <c r="H158" s="4">
        <f t="shared" si="23"/>
        <v>0.17035726210350607</v>
      </c>
      <c r="I158" s="4">
        <f t="shared" si="24"/>
        <v>0</v>
      </c>
      <c r="J158" s="2" t="str">
        <f t="shared" si="25"/>
        <v/>
      </c>
      <c r="K158" s="2" t="str">
        <f t="shared" si="26"/>
        <v/>
      </c>
      <c r="L158" s="2" t="str">
        <f t="shared" si="27"/>
        <v/>
      </c>
    </row>
    <row r="159" spans="1:12">
      <c r="A159" s="2">
        <v>147</v>
      </c>
      <c r="B159" s="4">
        <v>0.38700000000000001</v>
      </c>
      <c r="C159" s="4">
        <f t="shared" si="28"/>
        <v>0.29700000000000004</v>
      </c>
      <c r="D159" s="4">
        <f t="shared" si="21"/>
        <v>1.5554284590900538</v>
      </c>
      <c r="E159" s="4">
        <f t="shared" si="22"/>
        <v>0.57467378325694207</v>
      </c>
      <c r="F159" s="4">
        <f t="shared" si="29"/>
        <v>0</v>
      </c>
      <c r="G159" s="4">
        <f t="shared" si="30"/>
        <v>0.55655717529215432</v>
      </c>
      <c r="H159" s="4">
        <f t="shared" si="23"/>
        <v>0.17035726210350607</v>
      </c>
      <c r="I159" s="4">
        <f t="shared" si="24"/>
        <v>0</v>
      </c>
      <c r="J159" s="2" t="str">
        <f t="shared" si="25"/>
        <v/>
      </c>
      <c r="K159" s="2" t="str">
        <f t="shared" si="26"/>
        <v/>
      </c>
      <c r="L159" s="2" t="str">
        <f t="shared" si="27"/>
        <v/>
      </c>
    </row>
    <row r="160" spans="1:12">
      <c r="A160" s="2">
        <v>148</v>
      </c>
      <c r="B160" s="4">
        <v>0.373</v>
      </c>
      <c r="C160" s="4">
        <f t="shared" si="28"/>
        <v>1.4000000000000012E-2</v>
      </c>
      <c r="D160" s="4">
        <f t="shared" si="21"/>
        <v>1.5554284590900538</v>
      </c>
      <c r="E160" s="4">
        <f t="shared" si="22"/>
        <v>0.57467378325694207</v>
      </c>
      <c r="F160" s="4">
        <f t="shared" si="29"/>
        <v>0</v>
      </c>
      <c r="G160" s="4">
        <f t="shared" si="30"/>
        <v>0.55655717529215432</v>
      </c>
      <c r="H160" s="4">
        <f t="shared" si="23"/>
        <v>0.17035726210350607</v>
      </c>
      <c r="I160" s="4">
        <f t="shared" si="24"/>
        <v>0</v>
      </c>
      <c r="J160" s="2" t="str">
        <f t="shared" si="25"/>
        <v/>
      </c>
      <c r="K160" s="2" t="str">
        <f t="shared" si="26"/>
        <v/>
      </c>
      <c r="L160" s="2" t="str">
        <f t="shared" si="27"/>
        <v/>
      </c>
    </row>
    <row r="161" spans="1:12">
      <c r="A161" s="2">
        <v>149</v>
      </c>
      <c r="B161" s="4">
        <v>0.39700000000000002</v>
      </c>
      <c r="C161" s="4">
        <f t="shared" si="28"/>
        <v>2.4000000000000021E-2</v>
      </c>
      <c r="D161" s="4">
        <f t="shared" si="21"/>
        <v>1.5554284590900538</v>
      </c>
      <c r="E161" s="4">
        <f t="shared" si="22"/>
        <v>0.57467378325694207</v>
      </c>
      <c r="F161" s="4">
        <f t="shared" si="29"/>
        <v>0</v>
      </c>
      <c r="G161" s="4">
        <f t="shared" si="30"/>
        <v>0.55655717529215432</v>
      </c>
      <c r="H161" s="4">
        <f t="shared" si="23"/>
        <v>0.17035726210350607</v>
      </c>
      <c r="I161" s="4">
        <f t="shared" si="24"/>
        <v>0</v>
      </c>
      <c r="J161" s="2" t="str">
        <f t="shared" si="25"/>
        <v/>
      </c>
      <c r="K161" s="2" t="str">
        <f t="shared" si="26"/>
        <v/>
      </c>
      <c r="L161" s="2" t="str">
        <f t="shared" si="27"/>
        <v/>
      </c>
    </row>
    <row r="162" spans="1:12">
      <c r="A162" s="2">
        <v>150</v>
      </c>
      <c r="B162" s="4">
        <v>0.309</v>
      </c>
      <c r="C162" s="4">
        <f t="shared" si="28"/>
        <v>8.8000000000000023E-2</v>
      </c>
      <c r="D162" s="4">
        <f t="shared" si="21"/>
        <v>1.5554284590900538</v>
      </c>
      <c r="E162" s="4">
        <f t="shared" si="22"/>
        <v>0.57467378325694207</v>
      </c>
      <c r="F162" s="4">
        <f t="shared" si="29"/>
        <v>0</v>
      </c>
      <c r="G162" s="4">
        <f t="shared" si="30"/>
        <v>0.55655717529215432</v>
      </c>
      <c r="H162" s="4">
        <f t="shared" si="23"/>
        <v>0.17035726210350607</v>
      </c>
      <c r="I162" s="4">
        <f t="shared" si="24"/>
        <v>0</v>
      </c>
      <c r="J162" s="2" t="str">
        <f t="shared" si="25"/>
        <v/>
      </c>
      <c r="K162" s="2" t="str">
        <f t="shared" si="26"/>
        <v/>
      </c>
      <c r="L162" s="2" t="str">
        <f t="shared" si="27"/>
        <v/>
      </c>
    </row>
    <row r="163" spans="1:12">
      <c r="A163" s="2">
        <v>151</v>
      </c>
      <c r="B163" s="4">
        <v>0.38300000000000001</v>
      </c>
      <c r="C163" s="4">
        <f t="shared" si="28"/>
        <v>7.400000000000001E-2</v>
      </c>
      <c r="D163" s="4">
        <f t="shared" si="21"/>
        <v>1.5554284590900538</v>
      </c>
      <c r="E163" s="4">
        <f t="shared" si="22"/>
        <v>0.57467378325694207</v>
      </c>
      <c r="F163" s="4">
        <f t="shared" si="29"/>
        <v>0</v>
      </c>
      <c r="G163" s="4">
        <f t="shared" si="30"/>
        <v>0.55655717529215432</v>
      </c>
      <c r="H163" s="4">
        <f t="shared" si="23"/>
        <v>0.17035726210350607</v>
      </c>
      <c r="I163" s="4">
        <f t="shared" si="24"/>
        <v>0</v>
      </c>
      <c r="J163" s="2" t="str">
        <f t="shared" si="25"/>
        <v/>
      </c>
      <c r="K163" s="2" t="str">
        <f t="shared" si="26"/>
        <v/>
      </c>
      <c r="L163" s="2" t="str">
        <f t="shared" si="27"/>
        <v/>
      </c>
    </row>
    <row r="164" spans="1:12">
      <c r="A164" s="2">
        <v>152</v>
      </c>
      <c r="B164" s="4">
        <v>0.315</v>
      </c>
      <c r="C164" s="4">
        <f t="shared" si="28"/>
        <v>6.8000000000000005E-2</v>
      </c>
      <c r="D164" s="4">
        <f t="shared" si="21"/>
        <v>1.5554284590900538</v>
      </c>
      <c r="E164" s="4">
        <f t="shared" si="22"/>
        <v>0.57467378325694207</v>
      </c>
      <c r="F164" s="4">
        <f t="shared" si="29"/>
        <v>0</v>
      </c>
      <c r="G164" s="4">
        <f t="shared" si="30"/>
        <v>0.55655717529215432</v>
      </c>
      <c r="H164" s="4">
        <f t="shared" si="23"/>
        <v>0.17035726210350607</v>
      </c>
      <c r="I164" s="4">
        <f t="shared" si="24"/>
        <v>0</v>
      </c>
      <c r="J164" s="2" t="str">
        <f t="shared" si="25"/>
        <v/>
      </c>
      <c r="K164" s="2" t="str">
        <f t="shared" si="26"/>
        <v/>
      </c>
      <c r="L164" s="2" t="str">
        <f t="shared" si="27"/>
        <v/>
      </c>
    </row>
    <row r="165" spans="1:12">
      <c r="A165" s="2">
        <v>153</v>
      </c>
      <c r="B165" s="4">
        <v>0.21</v>
      </c>
      <c r="C165" s="4">
        <f t="shared" si="28"/>
        <v>0.10500000000000001</v>
      </c>
      <c r="D165" s="4">
        <f t="shared" si="21"/>
        <v>1.5554284590900538</v>
      </c>
      <c r="E165" s="4">
        <f t="shared" si="22"/>
        <v>0.57467378325694207</v>
      </c>
      <c r="F165" s="4">
        <f t="shared" si="29"/>
        <v>0</v>
      </c>
      <c r="G165" s="4">
        <f t="shared" si="30"/>
        <v>0.55655717529215432</v>
      </c>
      <c r="H165" s="4">
        <f t="shared" si="23"/>
        <v>0.17035726210350607</v>
      </c>
      <c r="I165" s="4">
        <f t="shared" si="24"/>
        <v>0</v>
      </c>
      <c r="J165" s="2" t="str">
        <f t="shared" si="25"/>
        <v/>
      </c>
      <c r="K165" s="2" t="str">
        <f t="shared" si="26"/>
        <v/>
      </c>
      <c r="L165" s="2" t="str">
        <f t="shared" si="27"/>
        <v/>
      </c>
    </row>
    <row r="166" spans="1:12">
      <c r="A166" s="2">
        <v>154</v>
      </c>
      <c r="B166" s="4">
        <v>1.208</v>
      </c>
      <c r="C166" s="4">
        <f t="shared" si="28"/>
        <v>0.998</v>
      </c>
      <c r="D166" s="4">
        <f t="shared" si="21"/>
        <v>1.5554284590900538</v>
      </c>
      <c r="E166" s="4">
        <f t="shared" si="22"/>
        <v>0.57467378325694207</v>
      </c>
      <c r="F166" s="4">
        <f t="shared" si="29"/>
        <v>0</v>
      </c>
      <c r="G166" s="4">
        <f t="shared" si="30"/>
        <v>0.55655717529215432</v>
      </c>
      <c r="H166" s="4">
        <f t="shared" si="23"/>
        <v>0.17035726210350607</v>
      </c>
      <c r="I166" s="4">
        <f t="shared" si="24"/>
        <v>0</v>
      </c>
      <c r="J166" s="2" t="str">
        <f t="shared" si="25"/>
        <v/>
      </c>
      <c r="K166" s="2" t="str">
        <f t="shared" si="26"/>
        <v>Y</v>
      </c>
      <c r="L166" s="2" t="str">
        <f t="shared" si="27"/>
        <v/>
      </c>
    </row>
    <row r="167" spans="1:12">
      <c r="A167" s="2">
        <v>155</v>
      </c>
      <c r="B167" s="4">
        <v>0.27700000000000002</v>
      </c>
      <c r="C167" s="4">
        <f t="shared" si="28"/>
        <v>0.93099999999999994</v>
      </c>
      <c r="D167" s="4">
        <f t="shared" si="21"/>
        <v>1.5554284590900538</v>
      </c>
      <c r="E167" s="4">
        <f t="shared" si="22"/>
        <v>0.57467378325694207</v>
      </c>
      <c r="F167" s="4">
        <f t="shared" si="29"/>
        <v>0</v>
      </c>
      <c r="G167" s="4">
        <f t="shared" si="30"/>
        <v>0.55655717529215432</v>
      </c>
      <c r="H167" s="4">
        <f t="shared" si="23"/>
        <v>0.17035726210350607</v>
      </c>
      <c r="I167" s="4">
        <f t="shared" si="24"/>
        <v>0</v>
      </c>
      <c r="J167" s="2" t="str">
        <f t="shared" si="25"/>
        <v/>
      </c>
      <c r="K167" s="2" t="str">
        <f t="shared" si="26"/>
        <v>Y</v>
      </c>
      <c r="L167" s="2" t="str">
        <f t="shared" si="27"/>
        <v/>
      </c>
    </row>
    <row r="168" spans="1:12">
      <c r="A168" s="2">
        <v>156</v>
      </c>
      <c r="B168" s="4">
        <v>0.48199999999999998</v>
      </c>
      <c r="C168" s="4">
        <f t="shared" si="28"/>
        <v>0.20499999999999996</v>
      </c>
      <c r="D168" s="4">
        <f t="shared" si="21"/>
        <v>1.5554284590900538</v>
      </c>
      <c r="E168" s="4">
        <f t="shared" si="22"/>
        <v>0.57467378325694207</v>
      </c>
      <c r="F168" s="4">
        <f t="shared" si="29"/>
        <v>0</v>
      </c>
      <c r="G168" s="4">
        <f t="shared" si="30"/>
        <v>0.55655717529215432</v>
      </c>
      <c r="H168" s="4">
        <f t="shared" si="23"/>
        <v>0.17035726210350607</v>
      </c>
      <c r="I168" s="4">
        <f t="shared" si="24"/>
        <v>0</v>
      </c>
      <c r="J168" s="2" t="str">
        <f t="shared" si="25"/>
        <v/>
      </c>
      <c r="K168" s="2" t="str">
        <f t="shared" si="26"/>
        <v/>
      </c>
      <c r="L168" s="2" t="str">
        <f t="shared" si="27"/>
        <v/>
      </c>
    </row>
    <row r="169" spans="1:12">
      <c r="A169" s="2">
        <v>157</v>
      </c>
      <c r="B169" s="4">
        <v>0.33500000000000002</v>
      </c>
      <c r="C169" s="4">
        <f t="shared" si="28"/>
        <v>0.14699999999999996</v>
      </c>
      <c r="D169" s="4">
        <f t="shared" si="21"/>
        <v>1.5554284590900538</v>
      </c>
      <c r="E169" s="4">
        <f t="shared" si="22"/>
        <v>0.57467378325694207</v>
      </c>
      <c r="F169" s="4">
        <f t="shared" si="29"/>
        <v>0</v>
      </c>
      <c r="G169" s="4">
        <f t="shared" si="30"/>
        <v>0.55655717529215432</v>
      </c>
      <c r="H169" s="4">
        <f t="shared" si="23"/>
        <v>0.17035726210350607</v>
      </c>
      <c r="I169" s="4">
        <f t="shared" si="24"/>
        <v>0</v>
      </c>
      <c r="J169" s="2" t="str">
        <f t="shared" si="25"/>
        <v/>
      </c>
      <c r="K169" s="2" t="str">
        <f t="shared" si="26"/>
        <v/>
      </c>
      <c r="L169" s="2" t="str">
        <f t="shared" si="27"/>
        <v/>
      </c>
    </row>
    <row r="170" spans="1:12">
      <c r="A170" s="2">
        <v>158</v>
      </c>
      <c r="B170" s="4">
        <v>0.309</v>
      </c>
      <c r="C170" s="4">
        <f t="shared" si="28"/>
        <v>2.6000000000000023E-2</v>
      </c>
      <c r="D170" s="4">
        <f t="shared" si="21"/>
        <v>1.5554284590900538</v>
      </c>
      <c r="E170" s="4">
        <f t="shared" si="22"/>
        <v>0.57467378325694207</v>
      </c>
      <c r="F170" s="4">
        <f t="shared" si="29"/>
        <v>0</v>
      </c>
      <c r="G170" s="4">
        <f t="shared" si="30"/>
        <v>0.55655717529215432</v>
      </c>
      <c r="H170" s="4">
        <f t="shared" si="23"/>
        <v>0.17035726210350607</v>
      </c>
      <c r="I170" s="4">
        <f t="shared" si="24"/>
        <v>0</v>
      </c>
      <c r="J170" s="2" t="str">
        <f t="shared" si="25"/>
        <v/>
      </c>
      <c r="K170" s="2" t="str">
        <f t="shared" si="26"/>
        <v/>
      </c>
      <c r="L170" s="2" t="str">
        <f t="shared" si="27"/>
        <v/>
      </c>
    </row>
    <row r="171" spans="1:12">
      <c r="A171" s="2">
        <v>159</v>
      </c>
      <c r="B171" s="4">
        <v>0.248</v>
      </c>
      <c r="C171" s="4">
        <f t="shared" si="28"/>
        <v>6.0999999999999999E-2</v>
      </c>
      <c r="D171" s="4">
        <f t="shared" si="21"/>
        <v>1.5554284590900538</v>
      </c>
      <c r="E171" s="4">
        <f t="shared" si="22"/>
        <v>0.57467378325694207</v>
      </c>
      <c r="F171" s="4">
        <f t="shared" si="29"/>
        <v>0</v>
      </c>
      <c r="G171" s="4">
        <f t="shared" si="30"/>
        <v>0.55655717529215432</v>
      </c>
      <c r="H171" s="4">
        <f t="shared" si="23"/>
        <v>0.17035726210350607</v>
      </c>
      <c r="I171" s="4">
        <f t="shared" si="24"/>
        <v>0</v>
      </c>
      <c r="J171" s="2" t="str">
        <f t="shared" si="25"/>
        <v/>
      </c>
      <c r="K171" s="2" t="str">
        <f t="shared" si="26"/>
        <v/>
      </c>
      <c r="L171" s="2" t="str">
        <f t="shared" si="27"/>
        <v/>
      </c>
    </row>
    <row r="172" spans="1:12">
      <c r="A172" s="2">
        <v>160</v>
      </c>
      <c r="B172" s="4">
        <v>0.47599999999999998</v>
      </c>
      <c r="C172" s="4">
        <f t="shared" si="28"/>
        <v>0.22799999999999998</v>
      </c>
      <c r="D172" s="4">
        <f t="shared" si="21"/>
        <v>1.5554284590900538</v>
      </c>
      <c r="E172" s="4">
        <f t="shared" si="22"/>
        <v>0.57467378325694207</v>
      </c>
      <c r="F172" s="4">
        <f t="shared" si="29"/>
        <v>0</v>
      </c>
      <c r="G172" s="4">
        <f t="shared" si="30"/>
        <v>0.55655717529215432</v>
      </c>
      <c r="H172" s="4">
        <f t="shared" si="23"/>
        <v>0.17035726210350607</v>
      </c>
      <c r="I172" s="4">
        <f t="shared" si="24"/>
        <v>0</v>
      </c>
      <c r="J172" s="2" t="str">
        <f t="shared" si="25"/>
        <v/>
      </c>
      <c r="K172" s="2" t="str">
        <f t="shared" si="26"/>
        <v/>
      </c>
      <c r="L172" s="2" t="str">
        <f t="shared" si="27"/>
        <v/>
      </c>
    </row>
    <row r="173" spans="1:12">
      <c r="A173" s="2">
        <v>161</v>
      </c>
      <c r="B173" s="4">
        <v>0.34899999999999998</v>
      </c>
      <c r="C173" s="4">
        <f t="shared" si="28"/>
        <v>0.127</v>
      </c>
      <c r="D173" s="4">
        <f t="shared" si="21"/>
        <v>1.5554284590900538</v>
      </c>
      <c r="E173" s="4">
        <f t="shared" si="22"/>
        <v>0.57467378325694207</v>
      </c>
      <c r="F173" s="4">
        <f t="shared" si="29"/>
        <v>0</v>
      </c>
      <c r="G173" s="4">
        <f t="shared" si="30"/>
        <v>0.55655717529215432</v>
      </c>
      <c r="H173" s="4">
        <f t="shared" si="23"/>
        <v>0.17035726210350607</v>
      </c>
      <c r="I173" s="4">
        <f t="shared" si="24"/>
        <v>0</v>
      </c>
      <c r="J173" s="2" t="str">
        <f t="shared" si="25"/>
        <v/>
      </c>
      <c r="K173" s="2" t="str">
        <f t="shared" si="26"/>
        <v/>
      </c>
      <c r="L173" s="2" t="str">
        <f t="shared" si="27"/>
        <v/>
      </c>
    </row>
    <row r="174" spans="1:12">
      <c r="A174" s="2">
        <v>162</v>
      </c>
      <c r="B174" s="4">
        <v>0.95199999999999996</v>
      </c>
      <c r="C174" s="4">
        <f t="shared" si="28"/>
        <v>0.60299999999999998</v>
      </c>
      <c r="D174" s="4">
        <f t="shared" si="21"/>
        <v>1.5554284590900538</v>
      </c>
      <c r="E174" s="4">
        <f t="shared" si="22"/>
        <v>0.57467378325694207</v>
      </c>
      <c r="F174" s="4">
        <f t="shared" si="29"/>
        <v>0</v>
      </c>
      <c r="G174" s="4">
        <f t="shared" si="30"/>
        <v>0.55655717529215432</v>
      </c>
      <c r="H174" s="4">
        <f t="shared" si="23"/>
        <v>0.17035726210350607</v>
      </c>
      <c r="I174" s="4">
        <f t="shared" si="24"/>
        <v>0</v>
      </c>
      <c r="J174" s="2" t="str">
        <f t="shared" si="25"/>
        <v/>
      </c>
      <c r="K174" s="2" t="str">
        <f t="shared" si="26"/>
        <v>Y</v>
      </c>
      <c r="L174" s="2" t="str">
        <f t="shared" si="27"/>
        <v/>
      </c>
    </row>
    <row r="175" spans="1:12">
      <c r="A175" s="2">
        <v>163</v>
      </c>
      <c r="B175" s="4">
        <v>0.31900000000000001</v>
      </c>
      <c r="C175" s="4">
        <f t="shared" si="28"/>
        <v>0.63300000000000001</v>
      </c>
      <c r="D175" s="4">
        <f t="shared" si="21"/>
        <v>1.5554284590900538</v>
      </c>
      <c r="E175" s="4">
        <f t="shared" si="22"/>
        <v>0.57467378325694207</v>
      </c>
      <c r="F175" s="4">
        <f t="shared" si="29"/>
        <v>0</v>
      </c>
      <c r="G175" s="4">
        <f t="shared" si="30"/>
        <v>0.55655717529215432</v>
      </c>
      <c r="H175" s="4">
        <f t="shared" si="23"/>
        <v>0.17035726210350607</v>
      </c>
      <c r="I175" s="4">
        <f t="shared" si="24"/>
        <v>0</v>
      </c>
      <c r="J175" s="2" t="str">
        <f t="shared" si="25"/>
        <v/>
      </c>
      <c r="K175" s="2" t="str">
        <f t="shared" si="26"/>
        <v>Y</v>
      </c>
      <c r="L175" s="2" t="str">
        <f t="shared" si="27"/>
        <v/>
      </c>
    </row>
    <row r="176" spans="1:12">
      <c r="A176" s="2">
        <v>164</v>
      </c>
      <c r="B176" s="4">
        <v>0.157</v>
      </c>
      <c r="C176" s="4">
        <f t="shared" si="28"/>
        <v>0.16200000000000001</v>
      </c>
      <c r="D176" s="4">
        <f t="shared" si="21"/>
        <v>1.5554284590900538</v>
      </c>
      <c r="E176" s="4">
        <f t="shared" si="22"/>
        <v>0.57467378325694207</v>
      </c>
      <c r="F176" s="4">
        <f t="shared" si="29"/>
        <v>0</v>
      </c>
      <c r="G176" s="4">
        <f t="shared" si="30"/>
        <v>0.55655717529215432</v>
      </c>
      <c r="H176" s="4">
        <f t="shared" si="23"/>
        <v>0.17035726210350607</v>
      </c>
      <c r="I176" s="4">
        <f t="shared" si="24"/>
        <v>0</v>
      </c>
      <c r="J176" s="2" t="str">
        <f t="shared" si="25"/>
        <v/>
      </c>
      <c r="K176" s="2" t="str">
        <f t="shared" si="26"/>
        <v/>
      </c>
      <c r="L176" s="2" t="str">
        <f t="shared" si="27"/>
        <v/>
      </c>
    </row>
    <row r="177" spans="1:12">
      <c r="A177" s="2">
        <v>165</v>
      </c>
      <c r="B177" s="4">
        <v>0.26</v>
      </c>
      <c r="C177" s="4">
        <f t="shared" si="28"/>
        <v>0.10300000000000001</v>
      </c>
      <c r="D177" s="4">
        <f t="shared" si="21"/>
        <v>1.5554284590900538</v>
      </c>
      <c r="E177" s="4">
        <f t="shared" si="22"/>
        <v>0.57467378325694207</v>
      </c>
      <c r="F177" s="4">
        <f t="shared" si="29"/>
        <v>0</v>
      </c>
      <c r="G177" s="4">
        <f t="shared" si="30"/>
        <v>0.55655717529215432</v>
      </c>
      <c r="H177" s="4">
        <f t="shared" si="23"/>
        <v>0.17035726210350607</v>
      </c>
      <c r="I177" s="4">
        <f t="shared" si="24"/>
        <v>0</v>
      </c>
      <c r="J177" s="2" t="str">
        <f t="shared" si="25"/>
        <v/>
      </c>
      <c r="K177" s="2" t="str">
        <f t="shared" si="26"/>
        <v/>
      </c>
      <c r="L177" s="2" t="str">
        <f t="shared" si="27"/>
        <v/>
      </c>
    </row>
    <row r="178" spans="1:12">
      <c r="A178" s="2">
        <v>166</v>
      </c>
      <c r="B178" s="4">
        <v>0.14499999999999999</v>
      </c>
      <c r="C178" s="4">
        <f t="shared" si="28"/>
        <v>0.11500000000000002</v>
      </c>
      <c r="D178" s="4">
        <f t="shared" si="21"/>
        <v>1.5554284590900538</v>
      </c>
      <c r="E178" s="4">
        <f t="shared" si="22"/>
        <v>0.57467378325694207</v>
      </c>
      <c r="F178" s="4">
        <f t="shared" si="29"/>
        <v>0</v>
      </c>
      <c r="G178" s="4">
        <f t="shared" si="30"/>
        <v>0.55655717529215432</v>
      </c>
      <c r="H178" s="4">
        <f t="shared" si="23"/>
        <v>0.17035726210350607</v>
      </c>
      <c r="I178" s="4">
        <f t="shared" si="24"/>
        <v>0</v>
      </c>
      <c r="J178" s="2" t="str">
        <f t="shared" si="25"/>
        <v/>
      </c>
      <c r="K178" s="2" t="str">
        <f t="shared" si="26"/>
        <v/>
      </c>
      <c r="L178" s="2" t="str">
        <f t="shared" si="27"/>
        <v/>
      </c>
    </row>
    <row r="179" spans="1:12">
      <c r="A179" s="2">
        <v>167</v>
      </c>
      <c r="B179" s="4">
        <v>0.20899999999999999</v>
      </c>
      <c r="C179" s="4">
        <f t="shared" si="28"/>
        <v>6.4000000000000001E-2</v>
      </c>
      <c r="D179" s="4">
        <f t="shared" si="21"/>
        <v>1.5554284590900538</v>
      </c>
      <c r="E179" s="4">
        <f t="shared" si="22"/>
        <v>0.57467378325694207</v>
      </c>
      <c r="F179" s="4">
        <f t="shared" si="29"/>
        <v>0</v>
      </c>
      <c r="G179" s="4">
        <f t="shared" si="30"/>
        <v>0.55655717529215432</v>
      </c>
      <c r="H179" s="4">
        <f t="shared" si="23"/>
        <v>0.17035726210350607</v>
      </c>
      <c r="I179" s="4">
        <f t="shared" si="24"/>
        <v>0</v>
      </c>
      <c r="J179" s="2" t="str">
        <f t="shared" si="25"/>
        <v/>
      </c>
      <c r="K179" s="2" t="str">
        <f t="shared" si="26"/>
        <v/>
      </c>
      <c r="L179" s="2" t="str">
        <f t="shared" si="27"/>
        <v/>
      </c>
    </row>
    <row r="180" spans="1:12">
      <c r="A180" s="2">
        <v>168</v>
      </c>
      <c r="B180" s="4">
        <v>0.216</v>
      </c>
      <c r="C180" s="4">
        <f t="shared" si="28"/>
        <v>7.0000000000000062E-3</v>
      </c>
      <c r="D180" s="4">
        <f t="shared" si="21"/>
        <v>1.5554284590900538</v>
      </c>
      <c r="E180" s="4">
        <f t="shared" si="22"/>
        <v>0.57467378325694207</v>
      </c>
      <c r="F180" s="4">
        <f t="shared" si="29"/>
        <v>0</v>
      </c>
      <c r="G180" s="4">
        <f t="shared" si="30"/>
        <v>0.55655717529215432</v>
      </c>
      <c r="H180" s="4">
        <f t="shared" si="23"/>
        <v>0.17035726210350607</v>
      </c>
      <c r="I180" s="4">
        <f t="shared" si="24"/>
        <v>0</v>
      </c>
      <c r="J180" s="2" t="str">
        <f t="shared" si="25"/>
        <v/>
      </c>
      <c r="K180" s="2" t="str">
        <f t="shared" si="26"/>
        <v/>
      </c>
      <c r="L180" s="2" t="str">
        <f t="shared" si="27"/>
        <v/>
      </c>
    </row>
    <row r="181" spans="1:12">
      <c r="A181" s="2">
        <v>169</v>
      </c>
      <c r="B181" s="4">
        <v>0.221</v>
      </c>
      <c r="C181" s="4">
        <f t="shared" si="28"/>
        <v>5.0000000000000044E-3</v>
      </c>
      <c r="D181" s="4">
        <f t="shared" si="21"/>
        <v>1.5554284590900538</v>
      </c>
      <c r="E181" s="4">
        <f t="shared" si="22"/>
        <v>0.57467378325694207</v>
      </c>
      <c r="F181" s="4">
        <f t="shared" si="29"/>
        <v>0</v>
      </c>
      <c r="G181" s="4">
        <f t="shared" si="30"/>
        <v>0.55655717529215432</v>
      </c>
      <c r="H181" s="4">
        <f t="shared" si="23"/>
        <v>0.17035726210350607</v>
      </c>
      <c r="I181" s="4">
        <f t="shared" si="24"/>
        <v>0</v>
      </c>
      <c r="J181" s="2" t="str">
        <f t="shared" si="25"/>
        <v/>
      </c>
      <c r="K181" s="2" t="str">
        <f t="shared" si="26"/>
        <v/>
      </c>
      <c r="L181" s="2" t="str">
        <f t="shared" si="27"/>
        <v/>
      </c>
    </row>
    <row r="182" spans="1:12">
      <c r="A182" s="2">
        <v>170</v>
      </c>
      <c r="B182" s="4">
        <v>0.34300000000000003</v>
      </c>
      <c r="C182" s="4">
        <f t="shared" si="28"/>
        <v>0.12200000000000003</v>
      </c>
      <c r="D182" s="4">
        <f t="shared" si="21"/>
        <v>1.5554284590900538</v>
      </c>
      <c r="E182" s="4">
        <f t="shared" si="22"/>
        <v>0.57467378325694207</v>
      </c>
      <c r="F182" s="4">
        <f t="shared" si="29"/>
        <v>0</v>
      </c>
      <c r="G182" s="4">
        <f t="shared" si="30"/>
        <v>0.55655717529215432</v>
      </c>
      <c r="H182" s="4">
        <f t="shared" si="23"/>
        <v>0.17035726210350607</v>
      </c>
      <c r="I182" s="4">
        <f t="shared" si="24"/>
        <v>0</v>
      </c>
      <c r="J182" s="2" t="str">
        <f t="shared" si="25"/>
        <v/>
      </c>
      <c r="K182" s="2" t="str">
        <f t="shared" si="26"/>
        <v/>
      </c>
      <c r="L182" s="2" t="str">
        <f t="shared" si="27"/>
        <v/>
      </c>
    </row>
    <row r="183" spans="1:12">
      <c r="A183" s="2">
        <v>171</v>
      </c>
      <c r="B183" s="4">
        <v>0.29499999999999998</v>
      </c>
      <c r="C183" s="4">
        <f t="shared" si="28"/>
        <v>4.8000000000000043E-2</v>
      </c>
      <c r="D183" s="4">
        <f t="shared" si="21"/>
        <v>1.5554284590900538</v>
      </c>
      <c r="E183" s="4">
        <f t="shared" si="22"/>
        <v>0.57467378325694207</v>
      </c>
      <c r="F183" s="4">
        <f t="shared" si="29"/>
        <v>0</v>
      </c>
      <c r="G183" s="4">
        <f t="shared" si="30"/>
        <v>0.55655717529215432</v>
      </c>
      <c r="H183" s="4">
        <f t="shared" si="23"/>
        <v>0.17035726210350607</v>
      </c>
      <c r="I183" s="4">
        <f t="shared" si="24"/>
        <v>0</v>
      </c>
      <c r="J183" s="2" t="str">
        <f t="shared" si="25"/>
        <v/>
      </c>
      <c r="K183" s="2" t="str">
        <f t="shared" si="26"/>
        <v/>
      </c>
      <c r="L183" s="2" t="str">
        <f t="shared" si="27"/>
        <v/>
      </c>
    </row>
    <row r="184" spans="1:12">
      <c r="A184" s="2">
        <v>172</v>
      </c>
      <c r="B184" s="4">
        <v>0.3</v>
      </c>
      <c r="C184" s="4">
        <f t="shared" si="28"/>
        <v>5.0000000000000044E-3</v>
      </c>
      <c r="D184" s="4">
        <f t="shared" si="21"/>
        <v>1.5554284590900538</v>
      </c>
      <c r="E184" s="4">
        <f t="shared" si="22"/>
        <v>0.57467378325694207</v>
      </c>
      <c r="F184" s="4">
        <f t="shared" si="29"/>
        <v>0</v>
      </c>
      <c r="G184" s="4">
        <f t="shared" si="30"/>
        <v>0.55655717529215432</v>
      </c>
      <c r="H184" s="4">
        <f t="shared" si="23"/>
        <v>0.17035726210350607</v>
      </c>
      <c r="I184" s="4">
        <f t="shared" si="24"/>
        <v>0</v>
      </c>
      <c r="J184" s="2" t="str">
        <f t="shared" si="25"/>
        <v/>
      </c>
      <c r="K184" s="2" t="str">
        <f t="shared" si="26"/>
        <v/>
      </c>
      <c r="L184" s="2" t="str">
        <f t="shared" si="27"/>
        <v/>
      </c>
    </row>
    <row r="185" spans="1:12">
      <c r="A185" s="2">
        <v>173</v>
      </c>
      <c r="B185" s="4">
        <v>0.17699999999999999</v>
      </c>
      <c r="C185" s="4">
        <f t="shared" si="28"/>
        <v>0.123</v>
      </c>
      <c r="D185" s="4">
        <f t="shared" si="21"/>
        <v>1.5554284590900538</v>
      </c>
      <c r="E185" s="4">
        <f t="shared" si="22"/>
        <v>0.57467378325694207</v>
      </c>
      <c r="F185" s="4">
        <f t="shared" si="29"/>
        <v>0</v>
      </c>
      <c r="G185" s="4">
        <f t="shared" si="30"/>
        <v>0.55655717529215432</v>
      </c>
      <c r="H185" s="4">
        <f t="shared" si="23"/>
        <v>0.17035726210350607</v>
      </c>
      <c r="I185" s="4">
        <f t="shared" si="24"/>
        <v>0</v>
      </c>
      <c r="J185" s="2" t="str">
        <f t="shared" si="25"/>
        <v/>
      </c>
      <c r="K185" s="2" t="str">
        <f t="shared" si="26"/>
        <v/>
      </c>
      <c r="L185" s="2" t="str">
        <f t="shared" si="27"/>
        <v/>
      </c>
    </row>
    <row r="186" spans="1:12">
      <c r="A186" s="2">
        <v>174</v>
      </c>
      <c r="B186" s="4">
        <v>0.159</v>
      </c>
      <c r="C186" s="4">
        <f t="shared" si="28"/>
        <v>1.7999999999999988E-2</v>
      </c>
      <c r="D186" s="4">
        <f t="shared" si="21"/>
        <v>1.5554284590900538</v>
      </c>
      <c r="E186" s="4">
        <f t="shared" si="22"/>
        <v>0.57467378325694207</v>
      </c>
      <c r="F186" s="4">
        <f t="shared" si="29"/>
        <v>0</v>
      </c>
      <c r="G186" s="4">
        <f t="shared" si="30"/>
        <v>0.55655717529215432</v>
      </c>
      <c r="H186" s="4">
        <f t="shared" si="23"/>
        <v>0.17035726210350607</v>
      </c>
      <c r="I186" s="4">
        <f t="shared" si="24"/>
        <v>0</v>
      </c>
      <c r="J186" s="2" t="str">
        <f t="shared" si="25"/>
        <v/>
      </c>
      <c r="K186" s="2" t="str">
        <f t="shared" si="26"/>
        <v/>
      </c>
      <c r="L186" s="2" t="str">
        <f t="shared" si="27"/>
        <v/>
      </c>
    </row>
    <row r="187" spans="1:12">
      <c r="A187" s="2">
        <v>175</v>
      </c>
      <c r="B187" s="4">
        <v>0.156</v>
      </c>
      <c r="C187" s="4">
        <f t="shared" si="28"/>
        <v>3.0000000000000027E-3</v>
      </c>
      <c r="D187" s="4">
        <f t="shared" si="21"/>
        <v>1.5554284590900538</v>
      </c>
      <c r="E187" s="4">
        <f t="shared" si="22"/>
        <v>0.57467378325694207</v>
      </c>
      <c r="F187" s="4">
        <f t="shared" si="29"/>
        <v>0</v>
      </c>
      <c r="G187" s="4">
        <f t="shared" si="30"/>
        <v>0.55655717529215432</v>
      </c>
      <c r="H187" s="4">
        <f t="shared" si="23"/>
        <v>0.17035726210350607</v>
      </c>
      <c r="I187" s="4">
        <f t="shared" si="24"/>
        <v>0</v>
      </c>
      <c r="J187" s="2" t="str">
        <f t="shared" si="25"/>
        <v/>
      </c>
      <c r="K187" s="2" t="str">
        <f t="shared" si="26"/>
        <v/>
      </c>
      <c r="L187" s="2" t="str">
        <f t="shared" si="27"/>
        <v/>
      </c>
    </row>
    <row r="188" spans="1:12">
      <c r="A188" s="2">
        <v>176</v>
      </c>
      <c r="B188" s="4">
        <v>1.1619999999999999</v>
      </c>
      <c r="C188" s="4">
        <f t="shared" si="28"/>
        <v>1.006</v>
      </c>
      <c r="D188" s="4">
        <f t="shared" si="21"/>
        <v>1.5554284590900538</v>
      </c>
      <c r="E188" s="4">
        <f t="shared" si="22"/>
        <v>0.57467378325694207</v>
      </c>
      <c r="F188" s="4">
        <f t="shared" si="29"/>
        <v>0</v>
      </c>
      <c r="G188" s="4">
        <f t="shared" si="30"/>
        <v>0.55655717529215432</v>
      </c>
      <c r="H188" s="4">
        <f t="shared" si="23"/>
        <v>0.17035726210350607</v>
      </c>
      <c r="I188" s="4">
        <f t="shared" si="24"/>
        <v>0</v>
      </c>
      <c r="J188" s="2" t="str">
        <f t="shared" si="25"/>
        <v/>
      </c>
      <c r="K188" s="2" t="str">
        <f t="shared" si="26"/>
        <v>Y</v>
      </c>
      <c r="L188" s="2" t="str">
        <f t="shared" si="27"/>
        <v/>
      </c>
    </row>
    <row r="189" spans="1:12">
      <c r="A189" s="2">
        <v>177</v>
      </c>
      <c r="B189" s="4">
        <v>0.47399999999999998</v>
      </c>
      <c r="C189" s="4">
        <f t="shared" si="28"/>
        <v>0.68799999999999994</v>
      </c>
      <c r="D189" s="4">
        <f t="shared" si="21"/>
        <v>1.5554284590900538</v>
      </c>
      <c r="E189" s="4">
        <f t="shared" si="22"/>
        <v>0.57467378325694207</v>
      </c>
      <c r="F189" s="4">
        <f t="shared" si="29"/>
        <v>0</v>
      </c>
      <c r="G189" s="4">
        <f t="shared" si="30"/>
        <v>0.55655717529215432</v>
      </c>
      <c r="H189" s="4">
        <f t="shared" si="23"/>
        <v>0.17035726210350607</v>
      </c>
      <c r="I189" s="4">
        <f t="shared" si="24"/>
        <v>0</v>
      </c>
      <c r="J189" s="2" t="str">
        <f t="shared" si="25"/>
        <v/>
      </c>
      <c r="K189" s="2" t="str">
        <f t="shared" si="26"/>
        <v>Y</v>
      </c>
      <c r="L189" s="2" t="str">
        <f t="shared" si="27"/>
        <v/>
      </c>
    </row>
    <row r="190" spans="1:12">
      <c r="A190" s="2">
        <v>178</v>
      </c>
      <c r="B190" s="4">
        <v>0.34599999999999997</v>
      </c>
      <c r="C190" s="4">
        <f t="shared" si="28"/>
        <v>0.128</v>
      </c>
      <c r="D190" s="4">
        <f t="shared" si="21"/>
        <v>1.5554284590900538</v>
      </c>
      <c r="E190" s="4">
        <f t="shared" si="22"/>
        <v>0.57467378325694207</v>
      </c>
      <c r="F190" s="4">
        <f t="shared" si="29"/>
        <v>0</v>
      </c>
      <c r="G190" s="4">
        <f t="shared" si="30"/>
        <v>0.55655717529215432</v>
      </c>
      <c r="H190" s="4">
        <f t="shared" si="23"/>
        <v>0.17035726210350607</v>
      </c>
      <c r="I190" s="4">
        <f t="shared" si="24"/>
        <v>0</v>
      </c>
      <c r="J190" s="2" t="str">
        <f t="shared" si="25"/>
        <v/>
      </c>
      <c r="K190" s="2" t="str">
        <f t="shared" si="26"/>
        <v/>
      </c>
      <c r="L190" s="2" t="str">
        <f t="shared" si="27"/>
        <v/>
      </c>
    </row>
    <row r="191" spans="1:12">
      <c r="A191" s="2">
        <v>179</v>
      </c>
      <c r="B191" s="4">
        <v>0.46</v>
      </c>
      <c r="C191" s="4">
        <f t="shared" si="28"/>
        <v>0.11400000000000005</v>
      </c>
      <c r="D191" s="4">
        <f t="shared" si="21"/>
        <v>1.5554284590900538</v>
      </c>
      <c r="E191" s="4">
        <f t="shared" si="22"/>
        <v>0.57467378325694207</v>
      </c>
      <c r="F191" s="4">
        <f t="shared" si="29"/>
        <v>0</v>
      </c>
      <c r="G191" s="4">
        <f t="shared" si="30"/>
        <v>0.55655717529215432</v>
      </c>
      <c r="H191" s="4">
        <f t="shared" si="23"/>
        <v>0.17035726210350607</v>
      </c>
      <c r="I191" s="4">
        <f t="shared" si="24"/>
        <v>0</v>
      </c>
      <c r="J191" s="2" t="str">
        <f t="shared" si="25"/>
        <v/>
      </c>
      <c r="K191" s="2" t="str">
        <f t="shared" si="26"/>
        <v/>
      </c>
      <c r="L191" s="2" t="str">
        <f t="shared" si="27"/>
        <v/>
      </c>
    </row>
    <row r="192" spans="1:12">
      <c r="A192" s="2">
        <v>180</v>
      </c>
      <c r="B192" s="4">
        <v>0.51</v>
      </c>
      <c r="C192" s="4">
        <f t="shared" si="28"/>
        <v>4.9999999999999989E-2</v>
      </c>
      <c r="D192" s="4">
        <f t="shared" si="21"/>
        <v>1.5554284590900538</v>
      </c>
      <c r="E192" s="4">
        <f t="shared" si="22"/>
        <v>0.57467378325694207</v>
      </c>
      <c r="F192" s="4">
        <f t="shared" si="29"/>
        <v>0</v>
      </c>
      <c r="G192" s="4">
        <f t="shared" si="30"/>
        <v>0.55655717529215432</v>
      </c>
      <c r="H192" s="4">
        <f t="shared" si="23"/>
        <v>0.17035726210350607</v>
      </c>
      <c r="I192" s="4">
        <f t="shared" si="24"/>
        <v>0</v>
      </c>
      <c r="J192" s="2" t="str">
        <f t="shared" si="25"/>
        <v/>
      </c>
      <c r="K192" s="2" t="str">
        <f t="shared" si="26"/>
        <v/>
      </c>
      <c r="L192" s="2" t="str">
        <f t="shared" si="27"/>
        <v/>
      </c>
    </row>
    <row r="193" spans="1:12">
      <c r="A193" s="2">
        <v>181</v>
      </c>
      <c r="B193" s="4">
        <v>0.32</v>
      </c>
      <c r="C193" s="4">
        <f t="shared" si="28"/>
        <v>0.19</v>
      </c>
      <c r="D193" s="4">
        <f t="shared" si="21"/>
        <v>1.5554284590900538</v>
      </c>
      <c r="E193" s="4">
        <f t="shared" si="22"/>
        <v>0.57467378325694207</v>
      </c>
      <c r="F193" s="4">
        <f t="shared" si="29"/>
        <v>0</v>
      </c>
      <c r="G193" s="4">
        <f t="shared" si="30"/>
        <v>0.55655717529215432</v>
      </c>
      <c r="H193" s="4">
        <f t="shared" si="23"/>
        <v>0.17035726210350607</v>
      </c>
      <c r="I193" s="4">
        <f t="shared" si="24"/>
        <v>0</v>
      </c>
      <c r="J193" s="2" t="str">
        <f t="shared" si="25"/>
        <v/>
      </c>
      <c r="K193" s="2" t="str">
        <f t="shared" si="26"/>
        <v/>
      </c>
      <c r="L193" s="2" t="str">
        <f t="shared" si="27"/>
        <v/>
      </c>
    </row>
    <row r="194" spans="1:12">
      <c r="A194" s="2">
        <v>182</v>
      </c>
      <c r="B194" s="4">
        <v>0.74099999999999999</v>
      </c>
      <c r="C194" s="4">
        <f t="shared" si="28"/>
        <v>0.42099999999999999</v>
      </c>
      <c r="D194" s="4">
        <f t="shared" si="21"/>
        <v>1.5554284590900538</v>
      </c>
      <c r="E194" s="4">
        <f t="shared" si="22"/>
        <v>0.57467378325694207</v>
      </c>
      <c r="F194" s="4">
        <f t="shared" si="29"/>
        <v>0</v>
      </c>
      <c r="G194" s="4">
        <f t="shared" si="30"/>
        <v>0.55655717529215432</v>
      </c>
      <c r="H194" s="4">
        <f t="shared" si="23"/>
        <v>0.17035726210350607</v>
      </c>
      <c r="I194" s="4">
        <f t="shared" si="24"/>
        <v>0</v>
      </c>
      <c r="J194" s="2" t="str">
        <f t="shared" si="25"/>
        <v/>
      </c>
      <c r="K194" s="2" t="str">
        <f t="shared" si="26"/>
        <v/>
      </c>
      <c r="L194" s="2" t="str">
        <f t="shared" si="27"/>
        <v/>
      </c>
    </row>
    <row r="195" spans="1:12">
      <c r="A195" s="2">
        <v>183</v>
      </c>
      <c r="B195" s="4">
        <v>0.312</v>
      </c>
      <c r="C195" s="4">
        <f t="shared" si="28"/>
        <v>0.42899999999999999</v>
      </c>
      <c r="D195" s="4">
        <f t="shared" si="21"/>
        <v>1.5554284590900538</v>
      </c>
      <c r="E195" s="4">
        <f t="shared" si="22"/>
        <v>0.57467378325694207</v>
      </c>
      <c r="F195" s="4">
        <f t="shared" si="29"/>
        <v>0</v>
      </c>
      <c r="G195" s="4">
        <f t="shared" si="30"/>
        <v>0.55655717529215432</v>
      </c>
      <c r="H195" s="4">
        <f t="shared" si="23"/>
        <v>0.17035726210350607</v>
      </c>
      <c r="I195" s="4">
        <f t="shared" si="24"/>
        <v>0</v>
      </c>
      <c r="J195" s="2" t="str">
        <f t="shared" si="25"/>
        <v/>
      </c>
      <c r="K195" s="2" t="str">
        <f t="shared" si="26"/>
        <v/>
      </c>
      <c r="L195" s="2" t="str">
        <f t="shared" si="27"/>
        <v/>
      </c>
    </row>
    <row r="196" spans="1:12">
      <c r="A196" s="2">
        <v>184</v>
      </c>
      <c r="B196" s="4">
        <v>0.80900000000000005</v>
      </c>
      <c r="C196" s="4">
        <f t="shared" si="28"/>
        <v>0.49700000000000005</v>
      </c>
      <c r="D196" s="4">
        <f t="shared" si="21"/>
        <v>1.5554284590900538</v>
      </c>
      <c r="E196" s="4">
        <f t="shared" si="22"/>
        <v>0.57467378325694207</v>
      </c>
      <c r="F196" s="4">
        <f t="shared" si="29"/>
        <v>0</v>
      </c>
      <c r="G196" s="4">
        <f t="shared" si="30"/>
        <v>0.55655717529215432</v>
      </c>
      <c r="H196" s="4">
        <f t="shared" si="23"/>
        <v>0.17035726210350607</v>
      </c>
      <c r="I196" s="4">
        <f t="shared" si="24"/>
        <v>0</v>
      </c>
      <c r="J196" s="2" t="str">
        <f t="shared" si="25"/>
        <v/>
      </c>
      <c r="K196" s="2" t="str">
        <f t="shared" si="26"/>
        <v/>
      </c>
      <c r="L196" s="2" t="str">
        <f t="shared" si="27"/>
        <v/>
      </c>
    </row>
    <row r="197" spans="1:12">
      <c r="A197" s="2">
        <v>185</v>
      </c>
      <c r="B197" s="4">
        <v>0.629</v>
      </c>
      <c r="C197" s="4">
        <f t="shared" si="28"/>
        <v>0.18000000000000005</v>
      </c>
      <c r="D197" s="4">
        <f t="shared" si="21"/>
        <v>1.5554284590900538</v>
      </c>
      <c r="E197" s="4">
        <f t="shared" si="22"/>
        <v>0.57467378325694207</v>
      </c>
      <c r="F197" s="4">
        <f t="shared" si="29"/>
        <v>0</v>
      </c>
      <c r="G197" s="4">
        <f t="shared" si="30"/>
        <v>0.55655717529215432</v>
      </c>
      <c r="H197" s="4">
        <f t="shared" si="23"/>
        <v>0.17035726210350607</v>
      </c>
      <c r="I197" s="4">
        <f t="shared" si="24"/>
        <v>0</v>
      </c>
      <c r="J197" s="2" t="str">
        <f t="shared" si="25"/>
        <v/>
      </c>
      <c r="K197" s="2" t="str">
        <f t="shared" si="26"/>
        <v/>
      </c>
      <c r="L197" s="2" t="str">
        <f t="shared" si="27"/>
        <v/>
      </c>
    </row>
    <row r="198" spans="1:12">
      <c r="A198" s="2">
        <v>186</v>
      </c>
      <c r="B198" s="4">
        <v>0.33600000000000002</v>
      </c>
      <c r="C198" s="4">
        <f t="shared" si="28"/>
        <v>0.29299999999999998</v>
      </c>
      <c r="D198" s="4">
        <f t="shared" si="21"/>
        <v>1.5554284590900538</v>
      </c>
      <c r="E198" s="4">
        <f t="shared" si="22"/>
        <v>0.57467378325694207</v>
      </c>
      <c r="F198" s="4">
        <f t="shared" si="29"/>
        <v>0</v>
      </c>
      <c r="G198" s="4">
        <f t="shared" si="30"/>
        <v>0.55655717529215432</v>
      </c>
      <c r="H198" s="4">
        <f t="shared" si="23"/>
        <v>0.17035726210350607</v>
      </c>
      <c r="I198" s="4">
        <f t="shared" si="24"/>
        <v>0</v>
      </c>
      <c r="J198" s="2" t="str">
        <f t="shared" si="25"/>
        <v/>
      </c>
      <c r="K198" s="2" t="str">
        <f t="shared" si="26"/>
        <v/>
      </c>
      <c r="L198" s="2" t="str">
        <f t="shared" si="27"/>
        <v/>
      </c>
    </row>
    <row r="199" spans="1:12">
      <c r="A199" s="2">
        <v>187</v>
      </c>
      <c r="B199" s="4">
        <v>0.32200000000000001</v>
      </c>
      <c r="C199" s="4">
        <f t="shared" si="28"/>
        <v>1.4000000000000012E-2</v>
      </c>
      <c r="D199" s="4">
        <f t="shared" si="21"/>
        <v>1.5554284590900538</v>
      </c>
      <c r="E199" s="4">
        <f t="shared" si="22"/>
        <v>0.57467378325694207</v>
      </c>
      <c r="F199" s="4">
        <f t="shared" si="29"/>
        <v>0</v>
      </c>
      <c r="G199" s="4">
        <f t="shared" si="30"/>
        <v>0.55655717529215432</v>
      </c>
      <c r="H199" s="4">
        <f t="shared" si="23"/>
        <v>0.17035726210350607</v>
      </c>
      <c r="I199" s="4">
        <f t="shared" si="24"/>
        <v>0</v>
      </c>
      <c r="J199" s="2" t="str">
        <f t="shared" si="25"/>
        <v/>
      </c>
      <c r="K199" s="2" t="str">
        <f t="shared" si="26"/>
        <v/>
      </c>
      <c r="L199" s="2" t="str">
        <f t="shared" si="27"/>
        <v/>
      </c>
    </row>
    <row r="200" spans="1:12">
      <c r="A200" s="2">
        <v>188</v>
      </c>
      <c r="B200" s="4">
        <v>0.14599999999999999</v>
      </c>
      <c r="C200" s="4">
        <f t="shared" si="28"/>
        <v>0.17600000000000002</v>
      </c>
      <c r="D200" s="4">
        <f t="shared" si="21"/>
        <v>1.5554284590900538</v>
      </c>
      <c r="E200" s="4">
        <f t="shared" si="22"/>
        <v>0.57467378325694207</v>
      </c>
      <c r="F200" s="4">
        <f t="shared" si="29"/>
        <v>0</v>
      </c>
      <c r="G200" s="4">
        <f t="shared" si="30"/>
        <v>0.55655717529215432</v>
      </c>
      <c r="H200" s="4">
        <f t="shared" si="23"/>
        <v>0.17035726210350607</v>
      </c>
      <c r="I200" s="4">
        <f t="shared" si="24"/>
        <v>0</v>
      </c>
      <c r="J200" s="2" t="str">
        <f t="shared" si="25"/>
        <v/>
      </c>
      <c r="K200" s="2" t="str">
        <f t="shared" si="26"/>
        <v/>
      </c>
      <c r="L200" s="2" t="str">
        <f t="shared" si="27"/>
        <v/>
      </c>
    </row>
    <row r="201" spans="1:12">
      <c r="A201" s="2">
        <v>189</v>
      </c>
      <c r="B201" s="4">
        <v>0.26</v>
      </c>
      <c r="C201" s="4">
        <f t="shared" si="28"/>
        <v>0.11400000000000002</v>
      </c>
      <c r="D201" s="4">
        <f t="shared" si="21"/>
        <v>1.5554284590900538</v>
      </c>
      <c r="E201" s="4">
        <f t="shared" si="22"/>
        <v>0.57467378325694207</v>
      </c>
      <c r="F201" s="4">
        <f t="shared" si="29"/>
        <v>0</v>
      </c>
      <c r="G201" s="4">
        <f t="shared" si="30"/>
        <v>0.55655717529215432</v>
      </c>
      <c r="H201" s="4">
        <f t="shared" si="23"/>
        <v>0.17035726210350607</v>
      </c>
      <c r="I201" s="4">
        <f t="shared" si="24"/>
        <v>0</v>
      </c>
      <c r="J201" s="2" t="str">
        <f t="shared" si="25"/>
        <v/>
      </c>
      <c r="K201" s="2" t="str">
        <f t="shared" si="26"/>
        <v/>
      </c>
      <c r="L201" s="2" t="str">
        <f t="shared" si="27"/>
        <v/>
      </c>
    </row>
    <row r="202" spans="1:12">
      <c r="A202" s="2">
        <v>190</v>
      </c>
      <c r="B202" s="4">
        <v>0.27700000000000002</v>
      </c>
      <c r="C202" s="4">
        <f t="shared" si="28"/>
        <v>1.7000000000000015E-2</v>
      </c>
      <c r="D202" s="4">
        <f t="shared" si="21"/>
        <v>1.5554284590900538</v>
      </c>
      <c r="E202" s="4">
        <f t="shared" si="22"/>
        <v>0.57467378325694207</v>
      </c>
      <c r="F202" s="4">
        <f t="shared" si="29"/>
        <v>0</v>
      </c>
      <c r="G202" s="4">
        <f t="shared" si="30"/>
        <v>0.55655717529215432</v>
      </c>
      <c r="H202" s="4">
        <f t="shared" si="23"/>
        <v>0.17035726210350607</v>
      </c>
      <c r="I202" s="4">
        <f t="shared" si="24"/>
        <v>0</v>
      </c>
      <c r="J202" s="2" t="str">
        <f t="shared" si="25"/>
        <v/>
      </c>
      <c r="K202" s="2" t="str">
        <f t="shared" si="26"/>
        <v/>
      </c>
      <c r="L202" s="2" t="str">
        <f t="shared" si="27"/>
        <v/>
      </c>
    </row>
    <row r="203" spans="1:12">
      <c r="A203" s="2">
        <v>191</v>
      </c>
      <c r="B203" s="4">
        <v>0.26300000000000001</v>
      </c>
      <c r="C203" s="4">
        <f t="shared" si="28"/>
        <v>1.4000000000000012E-2</v>
      </c>
      <c r="D203" s="4">
        <f t="shared" si="21"/>
        <v>1.5554284590900538</v>
      </c>
      <c r="E203" s="4">
        <f t="shared" si="22"/>
        <v>0.57467378325694207</v>
      </c>
      <c r="F203" s="4">
        <f t="shared" si="29"/>
        <v>0</v>
      </c>
      <c r="G203" s="4">
        <f t="shared" si="30"/>
        <v>0.55655717529215432</v>
      </c>
      <c r="H203" s="4">
        <f t="shared" si="23"/>
        <v>0.17035726210350607</v>
      </c>
      <c r="I203" s="4">
        <f t="shared" si="24"/>
        <v>0</v>
      </c>
      <c r="J203" s="2" t="str">
        <f t="shared" si="25"/>
        <v/>
      </c>
      <c r="K203" s="2" t="str">
        <f t="shared" si="26"/>
        <v/>
      </c>
      <c r="L203" s="2" t="str">
        <f t="shared" si="27"/>
        <v/>
      </c>
    </row>
    <row r="204" spans="1:12">
      <c r="A204" s="2">
        <v>192</v>
      </c>
      <c r="B204" s="4">
        <v>0.23499999999999999</v>
      </c>
      <c r="C204" s="4">
        <f t="shared" si="28"/>
        <v>2.8000000000000025E-2</v>
      </c>
      <c r="D204" s="4">
        <f t="shared" si="21"/>
        <v>1.5554284590900538</v>
      </c>
      <c r="E204" s="4">
        <f t="shared" si="22"/>
        <v>0.57467378325694207</v>
      </c>
      <c r="F204" s="4">
        <f t="shared" si="29"/>
        <v>0</v>
      </c>
      <c r="G204" s="4">
        <f t="shared" si="30"/>
        <v>0.55655717529215432</v>
      </c>
      <c r="H204" s="4">
        <f t="shared" si="23"/>
        <v>0.17035726210350607</v>
      </c>
      <c r="I204" s="4">
        <f t="shared" si="24"/>
        <v>0</v>
      </c>
      <c r="J204" s="2" t="str">
        <f t="shared" si="25"/>
        <v/>
      </c>
      <c r="K204" s="2" t="str">
        <f t="shared" si="26"/>
        <v/>
      </c>
      <c r="L204" s="2" t="str">
        <f t="shared" si="27"/>
        <v/>
      </c>
    </row>
    <row r="205" spans="1:12">
      <c r="A205" s="2">
        <v>193</v>
      </c>
      <c r="B205" s="4">
        <v>0.309</v>
      </c>
      <c r="C205" s="4">
        <f t="shared" si="28"/>
        <v>7.400000000000001E-2</v>
      </c>
      <c r="D205" s="4">
        <f t="shared" ref="D205:D268" si="31">$G$13</f>
        <v>1.5554284590900538</v>
      </c>
      <c r="E205" s="4">
        <f t="shared" ref="E205:E268" si="32">$G$14</f>
        <v>0.57467378325694207</v>
      </c>
      <c r="F205" s="4">
        <f t="shared" si="29"/>
        <v>0</v>
      </c>
      <c r="G205" s="4">
        <f t="shared" si="30"/>
        <v>0.55655717529215432</v>
      </c>
      <c r="H205" s="4">
        <f t="shared" ref="H205:H268" si="33">$G$17</f>
        <v>0.17035726210350607</v>
      </c>
      <c r="I205" s="4">
        <f t="shared" ref="I205:I268" si="34">$G$18</f>
        <v>0</v>
      </c>
      <c r="J205" s="2" t="str">
        <f t="shared" ref="J205:J268" si="35">IF(OR(B205&gt;D205,B205&lt;F205),"Y","")</f>
        <v/>
      </c>
      <c r="K205" s="2" t="str">
        <f t="shared" ref="K205:K268" si="36">IF(AND(C205&lt;&gt;"",C205&gt;G205),"Y","")</f>
        <v/>
      </c>
      <c r="L205" s="2" t="str">
        <f t="shared" ref="L205:L268" si="37">IF(OR(B205&lt;$B$5,B205&gt;$D$5),"Y","")</f>
        <v/>
      </c>
    </row>
    <row r="206" spans="1:12">
      <c r="A206" s="2">
        <v>194</v>
      </c>
      <c r="B206" s="4">
        <v>0.13900000000000001</v>
      </c>
      <c r="C206" s="4">
        <f t="shared" ref="C206:C269" si="38">ABS(B206-B205)</f>
        <v>0.16999999999999998</v>
      </c>
      <c r="D206" s="4">
        <f t="shared" si="31"/>
        <v>1.5554284590900538</v>
      </c>
      <c r="E206" s="4">
        <f t="shared" si="32"/>
        <v>0.57467378325694207</v>
      </c>
      <c r="F206" s="4">
        <f t="shared" si="29"/>
        <v>0</v>
      </c>
      <c r="G206" s="4">
        <f t="shared" si="30"/>
        <v>0.55655717529215432</v>
      </c>
      <c r="H206" s="4">
        <f t="shared" si="33"/>
        <v>0.17035726210350607</v>
      </c>
      <c r="I206" s="4">
        <f t="shared" si="34"/>
        <v>0</v>
      </c>
      <c r="J206" s="2" t="str">
        <f t="shared" si="35"/>
        <v/>
      </c>
      <c r="K206" s="2" t="str">
        <f t="shared" si="36"/>
        <v/>
      </c>
      <c r="L206" s="2" t="str">
        <f t="shared" si="37"/>
        <v/>
      </c>
    </row>
    <row r="207" spans="1:12">
      <c r="A207" s="2">
        <v>195</v>
      </c>
      <c r="B207" s="4">
        <v>0.35899999999999999</v>
      </c>
      <c r="C207" s="4">
        <f t="shared" si="38"/>
        <v>0.21999999999999997</v>
      </c>
      <c r="D207" s="4">
        <f t="shared" si="31"/>
        <v>1.5554284590900538</v>
      </c>
      <c r="E207" s="4">
        <f t="shared" si="32"/>
        <v>0.57467378325694207</v>
      </c>
      <c r="F207" s="4">
        <f t="shared" si="29"/>
        <v>0</v>
      </c>
      <c r="G207" s="4">
        <f t="shared" si="30"/>
        <v>0.55655717529215432</v>
      </c>
      <c r="H207" s="4">
        <f t="shared" si="33"/>
        <v>0.17035726210350607</v>
      </c>
      <c r="I207" s="4">
        <f t="shared" si="34"/>
        <v>0</v>
      </c>
      <c r="J207" s="2" t="str">
        <f t="shared" si="35"/>
        <v/>
      </c>
      <c r="K207" s="2" t="str">
        <f t="shared" si="36"/>
        <v/>
      </c>
      <c r="L207" s="2" t="str">
        <f t="shared" si="37"/>
        <v/>
      </c>
    </row>
    <row r="208" spans="1:12">
      <c r="A208" s="2">
        <v>196</v>
      </c>
      <c r="B208" s="4">
        <v>0.247</v>
      </c>
      <c r="C208" s="4">
        <f t="shared" si="38"/>
        <v>0.11199999999999999</v>
      </c>
      <c r="D208" s="4">
        <f t="shared" si="31"/>
        <v>1.5554284590900538</v>
      </c>
      <c r="E208" s="4">
        <f t="shared" si="32"/>
        <v>0.57467378325694207</v>
      </c>
      <c r="F208" s="4">
        <f t="shared" ref="F208:F271" si="39">$G$15</f>
        <v>0</v>
      </c>
      <c r="G208" s="4">
        <f t="shared" si="30"/>
        <v>0.55655717529215432</v>
      </c>
      <c r="H208" s="4">
        <f t="shared" si="33"/>
        <v>0.17035726210350607</v>
      </c>
      <c r="I208" s="4">
        <f t="shared" si="34"/>
        <v>0</v>
      </c>
      <c r="J208" s="2" t="str">
        <f t="shared" si="35"/>
        <v/>
      </c>
      <c r="K208" s="2" t="str">
        <f t="shared" si="36"/>
        <v/>
      </c>
      <c r="L208" s="2" t="str">
        <f t="shared" si="37"/>
        <v/>
      </c>
    </row>
    <row r="209" spans="1:12">
      <c r="A209" s="2">
        <v>197</v>
      </c>
      <c r="B209" s="4">
        <v>0.222</v>
      </c>
      <c r="C209" s="4">
        <f t="shared" si="38"/>
        <v>2.4999999999999994E-2</v>
      </c>
      <c r="D209" s="4">
        <f t="shared" si="31"/>
        <v>1.5554284590900538</v>
      </c>
      <c r="E209" s="4">
        <f t="shared" si="32"/>
        <v>0.57467378325694207</v>
      </c>
      <c r="F209" s="4">
        <f t="shared" si="39"/>
        <v>0</v>
      </c>
      <c r="G209" s="4">
        <f t="shared" si="30"/>
        <v>0.55655717529215432</v>
      </c>
      <c r="H209" s="4">
        <f t="shared" si="33"/>
        <v>0.17035726210350607</v>
      </c>
      <c r="I209" s="4">
        <f t="shared" si="34"/>
        <v>0</v>
      </c>
      <c r="J209" s="2" t="str">
        <f t="shared" si="35"/>
        <v/>
      </c>
      <c r="K209" s="2" t="str">
        <f t="shared" si="36"/>
        <v/>
      </c>
      <c r="L209" s="2" t="str">
        <f t="shared" si="37"/>
        <v/>
      </c>
    </row>
    <row r="210" spans="1:12">
      <c r="A210" s="2">
        <v>198</v>
      </c>
      <c r="B210" s="4">
        <v>1.1619999999999999</v>
      </c>
      <c r="C210" s="4">
        <f t="shared" si="38"/>
        <v>0.94</v>
      </c>
      <c r="D210" s="4">
        <f t="shared" si="31"/>
        <v>1.5554284590900538</v>
      </c>
      <c r="E210" s="4">
        <f t="shared" si="32"/>
        <v>0.57467378325694207</v>
      </c>
      <c r="F210" s="4">
        <f t="shared" si="39"/>
        <v>0</v>
      </c>
      <c r="G210" s="4">
        <f t="shared" si="30"/>
        <v>0.55655717529215432</v>
      </c>
      <c r="H210" s="4">
        <f t="shared" si="33"/>
        <v>0.17035726210350607</v>
      </c>
      <c r="I210" s="4">
        <f t="shared" si="34"/>
        <v>0</v>
      </c>
      <c r="J210" s="2" t="str">
        <f t="shared" si="35"/>
        <v/>
      </c>
      <c r="K210" s="2" t="str">
        <f t="shared" si="36"/>
        <v>Y</v>
      </c>
      <c r="L210" s="2" t="str">
        <f t="shared" si="37"/>
        <v/>
      </c>
    </row>
    <row r="211" spans="1:12">
      <c r="A211" s="2">
        <v>199</v>
      </c>
      <c r="B211" s="4">
        <v>0.45500000000000002</v>
      </c>
      <c r="C211" s="4">
        <f t="shared" si="38"/>
        <v>0.70699999999999985</v>
      </c>
      <c r="D211" s="4">
        <f t="shared" si="31"/>
        <v>1.5554284590900538</v>
      </c>
      <c r="E211" s="4">
        <f t="shared" si="32"/>
        <v>0.57467378325694207</v>
      </c>
      <c r="F211" s="4">
        <f t="shared" si="39"/>
        <v>0</v>
      </c>
      <c r="G211" s="4">
        <f t="shared" ref="G211:G274" si="40">$G$16</f>
        <v>0.55655717529215432</v>
      </c>
      <c r="H211" s="4">
        <f t="shared" si="33"/>
        <v>0.17035726210350607</v>
      </c>
      <c r="I211" s="4">
        <f t="shared" si="34"/>
        <v>0</v>
      </c>
      <c r="J211" s="2" t="str">
        <f t="shared" si="35"/>
        <v/>
      </c>
      <c r="K211" s="2" t="str">
        <f t="shared" si="36"/>
        <v>Y</v>
      </c>
      <c r="L211" s="2" t="str">
        <f t="shared" si="37"/>
        <v/>
      </c>
    </row>
    <row r="212" spans="1:12">
      <c r="A212" s="2">
        <v>200</v>
      </c>
      <c r="B212" s="4">
        <v>0.31</v>
      </c>
      <c r="C212" s="4">
        <f t="shared" si="38"/>
        <v>0.14500000000000002</v>
      </c>
      <c r="D212" s="4">
        <f t="shared" si="31"/>
        <v>1.5554284590900538</v>
      </c>
      <c r="E212" s="4">
        <f t="shared" si="32"/>
        <v>0.57467378325694207</v>
      </c>
      <c r="F212" s="4">
        <f t="shared" si="39"/>
        <v>0</v>
      </c>
      <c r="G212" s="4">
        <f t="shared" si="40"/>
        <v>0.55655717529215432</v>
      </c>
      <c r="H212" s="4">
        <f t="shared" si="33"/>
        <v>0.17035726210350607</v>
      </c>
      <c r="I212" s="4">
        <f t="shared" si="34"/>
        <v>0</v>
      </c>
      <c r="J212" s="2" t="str">
        <f t="shared" si="35"/>
        <v/>
      </c>
      <c r="K212" s="2" t="str">
        <f t="shared" si="36"/>
        <v/>
      </c>
      <c r="L212" s="2" t="str">
        <f t="shared" si="37"/>
        <v/>
      </c>
    </row>
    <row r="213" spans="1:12">
      <c r="A213" s="2">
        <v>201</v>
      </c>
      <c r="B213" s="4">
        <v>0.35099999999999998</v>
      </c>
      <c r="C213" s="4">
        <f t="shared" si="38"/>
        <v>4.0999999999999981E-2</v>
      </c>
      <c r="D213" s="4">
        <f t="shared" si="31"/>
        <v>1.5554284590900538</v>
      </c>
      <c r="E213" s="4">
        <f t="shared" si="32"/>
        <v>0.57467378325694207</v>
      </c>
      <c r="F213" s="4">
        <f t="shared" si="39"/>
        <v>0</v>
      </c>
      <c r="G213" s="4">
        <f t="shared" si="40"/>
        <v>0.55655717529215432</v>
      </c>
      <c r="H213" s="4">
        <f t="shared" si="33"/>
        <v>0.17035726210350607</v>
      </c>
      <c r="I213" s="4">
        <f t="shared" si="34"/>
        <v>0</v>
      </c>
      <c r="J213" s="2" t="str">
        <f t="shared" si="35"/>
        <v/>
      </c>
      <c r="K213" s="2" t="str">
        <f t="shared" si="36"/>
        <v/>
      </c>
      <c r="L213" s="2" t="str">
        <f t="shared" si="37"/>
        <v/>
      </c>
    </row>
    <row r="214" spans="1:12">
      <c r="A214" s="2">
        <v>202</v>
      </c>
      <c r="B214" s="4">
        <v>9.6000000000000002E-2</v>
      </c>
      <c r="C214" s="4">
        <f t="shared" si="38"/>
        <v>0.255</v>
      </c>
      <c r="D214" s="4">
        <f t="shared" si="31"/>
        <v>1.5554284590900538</v>
      </c>
      <c r="E214" s="4">
        <f t="shared" si="32"/>
        <v>0.57467378325694207</v>
      </c>
      <c r="F214" s="4">
        <f t="shared" si="39"/>
        <v>0</v>
      </c>
      <c r="G214" s="4">
        <f t="shared" si="40"/>
        <v>0.55655717529215432</v>
      </c>
      <c r="H214" s="4">
        <f t="shared" si="33"/>
        <v>0.17035726210350607</v>
      </c>
      <c r="I214" s="4">
        <f t="shared" si="34"/>
        <v>0</v>
      </c>
      <c r="J214" s="2" t="str">
        <f t="shared" si="35"/>
        <v/>
      </c>
      <c r="K214" s="2" t="str">
        <f t="shared" si="36"/>
        <v/>
      </c>
      <c r="L214" s="2" t="str">
        <f t="shared" si="37"/>
        <v/>
      </c>
    </row>
    <row r="215" spans="1:12">
      <c r="A215" s="2">
        <v>203</v>
      </c>
      <c r="B215" s="4">
        <v>0.13900000000000001</v>
      </c>
      <c r="C215" s="4">
        <f t="shared" si="38"/>
        <v>4.300000000000001E-2</v>
      </c>
      <c r="D215" s="4">
        <f t="shared" si="31"/>
        <v>1.5554284590900538</v>
      </c>
      <c r="E215" s="4">
        <f t="shared" si="32"/>
        <v>0.57467378325694207</v>
      </c>
      <c r="F215" s="4">
        <f t="shared" si="39"/>
        <v>0</v>
      </c>
      <c r="G215" s="4">
        <f t="shared" si="40"/>
        <v>0.55655717529215432</v>
      </c>
      <c r="H215" s="4">
        <f t="shared" si="33"/>
        <v>0.17035726210350607</v>
      </c>
      <c r="I215" s="4">
        <f t="shared" si="34"/>
        <v>0</v>
      </c>
      <c r="J215" s="2" t="str">
        <f t="shared" si="35"/>
        <v/>
      </c>
      <c r="K215" s="2" t="str">
        <f t="shared" si="36"/>
        <v/>
      </c>
      <c r="L215" s="2" t="str">
        <f t="shared" si="37"/>
        <v/>
      </c>
    </row>
    <row r="216" spans="1:12">
      <c r="A216" s="2">
        <v>204</v>
      </c>
      <c r="B216" s="4">
        <v>0.159</v>
      </c>
      <c r="C216" s="4">
        <f t="shared" si="38"/>
        <v>1.999999999999999E-2</v>
      </c>
      <c r="D216" s="4">
        <f t="shared" si="31"/>
        <v>1.5554284590900538</v>
      </c>
      <c r="E216" s="4">
        <f t="shared" si="32"/>
        <v>0.57467378325694207</v>
      </c>
      <c r="F216" s="4">
        <f t="shared" si="39"/>
        <v>0</v>
      </c>
      <c r="G216" s="4">
        <f t="shared" si="40"/>
        <v>0.55655717529215432</v>
      </c>
      <c r="H216" s="4">
        <f t="shared" si="33"/>
        <v>0.17035726210350607</v>
      </c>
      <c r="I216" s="4">
        <f t="shared" si="34"/>
        <v>0</v>
      </c>
      <c r="J216" s="2" t="str">
        <f t="shared" si="35"/>
        <v/>
      </c>
      <c r="K216" s="2" t="str">
        <f t="shared" si="36"/>
        <v/>
      </c>
      <c r="L216" s="2" t="str">
        <f t="shared" si="37"/>
        <v/>
      </c>
    </row>
    <row r="217" spans="1:12">
      <c r="A217" s="2">
        <v>205</v>
      </c>
      <c r="B217" s="4">
        <v>0.156</v>
      </c>
      <c r="C217" s="4">
        <f t="shared" si="38"/>
        <v>3.0000000000000027E-3</v>
      </c>
      <c r="D217" s="4">
        <f t="shared" si="31"/>
        <v>1.5554284590900538</v>
      </c>
      <c r="E217" s="4">
        <f t="shared" si="32"/>
        <v>0.57467378325694207</v>
      </c>
      <c r="F217" s="4">
        <f t="shared" si="39"/>
        <v>0</v>
      </c>
      <c r="G217" s="4">
        <f t="shared" si="40"/>
        <v>0.55655717529215432</v>
      </c>
      <c r="H217" s="4">
        <f t="shared" si="33"/>
        <v>0.17035726210350607</v>
      </c>
      <c r="I217" s="4">
        <f t="shared" si="34"/>
        <v>0</v>
      </c>
      <c r="J217" s="2" t="str">
        <f t="shared" si="35"/>
        <v/>
      </c>
      <c r="K217" s="2" t="str">
        <f t="shared" si="36"/>
        <v/>
      </c>
      <c r="L217" s="2" t="str">
        <f t="shared" si="37"/>
        <v/>
      </c>
    </row>
    <row r="218" spans="1:12">
      <c r="A218" s="2">
        <v>206</v>
      </c>
      <c r="B218" s="4">
        <v>0.19</v>
      </c>
      <c r="C218" s="4">
        <f t="shared" si="38"/>
        <v>3.4000000000000002E-2</v>
      </c>
      <c r="D218" s="4">
        <f t="shared" si="31"/>
        <v>1.5554284590900538</v>
      </c>
      <c r="E218" s="4">
        <f t="shared" si="32"/>
        <v>0.57467378325694207</v>
      </c>
      <c r="F218" s="4">
        <f t="shared" si="39"/>
        <v>0</v>
      </c>
      <c r="G218" s="4">
        <f t="shared" si="40"/>
        <v>0.55655717529215432</v>
      </c>
      <c r="H218" s="4">
        <f t="shared" si="33"/>
        <v>0.17035726210350607</v>
      </c>
      <c r="I218" s="4">
        <f t="shared" si="34"/>
        <v>0</v>
      </c>
      <c r="J218" s="2" t="str">
        <f t="shared" si="35"/>
        <v/>
      </c>
      <c r="K218" s="2" t="str">
        <f t="shared" si="36"/>
        <v/>
      </c>
      <c r="L218" s="2" t="str">
        <f t="shared" si="37"/>
        <v/>
      </c>
    </row>
    <row r="219" spans="1:12">
      <c r="A219" s="2">
        <v>207</v>
      </c>
      <c r="B219" s="4">
        <v>0.22700000000000001</v>
      </c>
      <c r="C219" s="4">
        <f t="shared" si="38"/>
        <v>3.7000000000000005E-2</v>
      </c>
      <c r="D219" s="4">
        <f t="shared" si="31"/>
        <v>1.5554284590900538</v>
      </c>
      <c r="E219" s="4">
        <f t="shared" si="32"/>
        <v>0.57467378325694207</v>
      </c>
      <c r="F219" s="4">
        <f t="shared" si="39"/>
        <v>0</v>
      </c>
      <c r="G219" s="4">
        <f t="shared" si="40"/>
        <v>0.55655717529215432</v>
      </c>
      <c r="H219" s="4">
        <f t="shared" si="33"/>
        <v>0.17035726210350607</v>
      </c>
      <c r="I219" s="4">
        <f t="shared" si="34"/>
        <v>0</v>
      </c>
      <c r="J219" s="2" t="str">
        <f t="shared" si="35"/>
        <v/>
      </c>
      <c r="K219" s="2" t="str">
        <f t="shared" si="36"/>
        <v/>
      </c>
      <c r="L219" s="2" t="str">
        <f t="shared" si="37"/>
        <v/>
      </c>
    </row>
    <row r="220" spans="1:12">
      <c r="A220" s="2">
        <v>208</v>
      </c>
      <c r="B220" s="4">
        <v>0.26200000000000001</v>
      </c>
      <c r="C220" s="4">
        <f t="shared" si="38"/>
        <v>3.5000000000000003E-2</v>
      </c>
      <c r="D220" s="4">
        <f t="shared" si="31"/>
        <v>1.5554284590900538</v>
      </c>
      <c r="E220" s="4">
        <f t="shared" si="32"/>
        <v>0.57467378325694207</v>
      </c>
      <c r="F220" s="4">
        <f t="shared" si="39"/>
        <v>0</v>
      </c>
      <c r="G220" s="4">
        <f t="shared" si="40"/>
        <v>0.55655717529215432</v>
      </c>
      <c r="H220" s="4">
        <f t="shared" si="33"/>
        <v>0.17035726210350607</v>
      </c>
      <c r="I220" s="4">
        <f t="shared" si="34"/>
        <v>0</v>
      </c>
      <c r="J220" s="2" t="str">
        <f t="shared" si="35"/>
        <v/>
      </c>
      <c r="K220" s="2" t="str">
        <f t="shared" si="36"/>
        <v/>
      </c>
      <c r="L220" s="2" t="str">
        <f t="shared" si="37"/>
        <v/>
      </c>
    </row>
    <row r="221" spans="1:12">
      <c r="A221" s="2">
        <v>209</v>
      </c>
      <c r="B221" s="4">
        <v>0.214</v>
      </c>
      <c r="C221" s="4">
        <f t="shared" si="38"/>
        <v>4.8000000000000015E-2</v>
      </c>
      <c r="D221" s="4">
        <f t="shared" si="31"/>
        <v>1.5554284590900538</v>
      </c>
      <c r="E221" s="4">
        <f t="shared" si="32"/>
        <v>0.57467378325694207</v>
      </c>
      <c r="F221" s="4">
        <f t="shared" si="39"/>
        <v>0</v>
      </c>
      <c r="G221" s="4">
        <f t="shared" si="40"/>
        <v>0.55655717529215432</v>
      </c>
      <c r="H221" s="4">
        <f t="shared" si="33"/>
        <v>0.17035726210350607</v>
      </c>
      <c r="I221" s="4">
        <f t="shared" si="34"/>
        <v>0</v>
      </c>
      <c r="J221" s="2" t="str">
        <f t="shared" si="35"/>
        <v/>
      </c>
      <c r="K221" s="2" t="str">
        <f t="shared" si="36"/>
        <v/>
      </c>
      <c r="L221" s="2" t="str">
        <f t="shared" si="37"/>
        <v/>
      </c>
    </row>
    <row r="222" spans="1:12">
      <c r="A222" s="2">
        <v>210</v>
      </c>
      <c r="B222" s="4">
        <v>0.115</v>
      </c>
      <c r="C222" s="4">
        <f t="shared" si="38"/>
        <v>9.8999999999999991E-2</v>
      </c>
      <c r="D222" s="4">
        <f t="shared" si="31"/>
        <v>1.5554284590900538</v>
      </c>
      <c r="E222" s="4">
        <f t="shared" si="32"/>
        <v>0.57467378325694207</v>
      </c>
      <c r="F222" s="4">
        <f t="shared" si="39"/>
        <v>0</v>
      </c>
      <c r="G222" s="4">
        <f t="shared" si="40"/>
        <v>0.55655717529215432</v>
      </c>
      <c r="H222" s="4">
        <f t="shared" si="33"/>
        <v>0.17035726210350607</v>
      </c>
      <c r="I222" s="4">
        <f t="shared" si="34"/>
        <v>0</v>
      </c>
      <c r="J222" s="2" t="str">
        <f t="shared" si="35"/>
        <v/>
      </c>
      <c r="K222" s="2" t="str">
        <f t="shared" si="36"/>
        <v/>
      </c>
      <c r="L222" s="2" t="str">
        <f t="shared" si="37"/>
        <v/>
      </c>
    </row>
    <row r="223" spans="1:12">
      <c r="A223" s="2">
        <v>211</v>
      </c>
      <c r="B223" s="4">
        <v>0.223</v>
      </c>
      <c r="C223" s="4">
        <f t="shared" si="38"/>
        <v>0.108</v>
      </c>
      <c r="D223" s="4">
        <f t="shared" si="31"/>
        <v>1.5554284590900538</v>
      </c>
      <c r="E223" s="4">
        <f t="shared" si="32"/>
        <v>0.57467378325694207</v>
      </c>
      <c r="F223" s="4">
        <f t="shared" si="39"/>
        <v>0</v>
      </c>
      <c r="G223" s="4">
        <f t="shared" si="40"/>
        <v>0.55655717529215432</v>
      </c>
      <c r="H223" s="4">
        <f t="shared" si="33"/>
        <v>0.17035726210350607</v>
      </c>
      <c r="I223" s="4">
        <f t="shared" si="34"/>
        <v>0</v>
      </c>
      <c r="J223" s="2" t="str">
        <f t="shared" si="35"/>
        <v/>
      </c>
      <c r="K223" s="2" t="str">
        <f t="shared" si="36"/>
        <v/>
      </c>
      <c r="L223" s="2" t="str">
        <f t="shared" si="37"/>
        <v/>
      </c>
    </row>
    <row r="224" spans="1:12">
      <c r="A224" s="2">
        <v>212</v>
      </c>
      <c r="B224" s="4">
        <v>6.0999999999999999E-2</v>
      </c>
      <c r="C224" s="4">
        <f t="shared" si="38"/>
        <v>0.16200000000000001</v>
      </c>
      <c r="D224" s="4">
        <f t="shared" si="31"/>
        <v>1.5554284590900538</v>
      </c>
      <c r="E224" s="4">
        <f t="shared" si="32"/>
        <v>0.57467378325694207</v>
      </c>
      <c r="F224" s="4">
        <f t="shared" si="39"/>
        <v>0</v>
      </c>
      <c r="G224" s="4">
        <f t="shared" si="40"/>
        <v>0.55655717529215432</v>
      </c>
      <c r="H224" s="4">
        <f t="shared" si="33"/>
        <v>0.17035726210350607</v>
      </c>
      <c r="I224" s="4">
        <f t="shared" si="34"/>
        <v>0</v>
      </c>
      <c r="J224" s="2" t="str">
        <f t="shared" si="35"/>
        <v/>
      </c>
      <c r="K224" s="2" t="str">
        <f t="shared" si="36"/>
        <v/>
      </c>
      <c r="L224" s="2" t="str">
        <f t="shared" si="37"/>
        <v/>
      </c>
    </row>
    <row r="225" spans="1:12">
      <c r="A225" s="2">
        <v>213</v>
      </c>
      <c r="B225" s="4">
        <v>0.14199999999999999</v>
      </c>
      <c r="C225" s="4">
        <f t="shared" si="38"/>
        <v>8.0999999999999989E-2</v>
      </c>
      <c r="D225" s="4">
        <f t="shared" si="31"/>
        <v>1.5554284590900538</v>
      </c>
      <c r="E225" s="4">
        <f t="shared" si="32"/>
        <v>0.57467378325694207</v>
      </c>
      <c r="F225" s="4">
        <f t="shared" si="39"/>
        <v>0</v>
      </c>
      <c r="G225" s="4">
        <f t="shared" si="40"/>
        <v>0.55655717529215432</v>
      </c>
      <c r="H225" s="4">
        <f t="shared" si="33"/>
        <v>0.17035726210350607</v>
      </c>
      <c r="I225" s="4">
        <f t="shared" si="34"/>
        <v>0</v>
      </c>
      <c r="J225" s="2" t="str">
        <f t="shared" si="35"/>
        <v/>
      </c>
      <c r="K225" s="2" t="str">
        <f t="shared" si="36"/>
        <v/>
      </c>
      <c r="L225" s="2" t="str">
        <f t="shared" si="37"/>
        <v/>
      </c>
    </row>
    <row r="226" spans="1:12">
      <c r="A226" s="2">
        <v>214</v>
      </c>
      <c r="B226" s="4">
        <v>0.23799999999999999</v>
      </c>
      <c r="C226" s="4">
        <f t="shared" si="38"/>
        <v>9.6000000000000002E-2</v>
      </c>
      <c r="D226" s="4">
        <f t="shared" si="31"/>
        <v>1.5554284590900538</v>
      </c>
      <c r="E226" s="4">
        <f t="shared" si="32"/>
        <v>0.57467378325694207</v>
      </c>
      <c r="F226" s="4">
        <f t="shared" si="39"/>
        <v>0</v>
      </c>
      <c r="G226" s="4">
        <f t="shared" si="40"/>
        <v>0.55655717529215432</v>
      </c>
      <c r="H226" s="4">
        <f t="shared" si="33"/>
        <v>0.17035726210350607</v>
      </c>
      <c r="I226" s="4">
        <f t="shared" si="34"/>
        <v>0</v>
      </c>
      <c r="J226" s="2" t="str">
        <f t="shared" si="35"/>
        <v/>
      </c>
      <c r="K226" s="2" t="str">
        <f t="shared" si="36"/>
        <v/>
      </c>
      <c r="L226" s="2" t="str">
        <f t="shared" si="37"/>
        <v/>
      </c>
    </row>
    <row r="227" spans="1:12">
      <c r="A227" s="2">
        <v>215</v>
      </c>
      <c r="B227" s="4">
        <v>0.17199999999999999</v>
      </c>
      <c r="C227" s="4">
        <f t="shared" si="38"/>
        <v>6.6000000000000003E-2</v>
      </c>
      <c r="D227" s="4">
        <f t="shared" si="31"/>
        <v>1.5554284590900538</v>
      </c>
      <c r="E227" s="4">
        <f t="shared" si="32"/>
        <v>0.57467378325694207</v>
      </c>
      <c r="F227" s="4">
        <f t="shared" si="39"/>
        <v>0</v>
      </c>
      <c r="G227" s="4">
        <f t="shared" si="40"/>
        <v>0.55655717529215432</v>
      </c>
      <c r="H227" s="4">
        <f t="shared" si="33"/>
        <v>0.17035726210350607</v>
      </c>
      <c r="I227" s="4">
        <f t="shared" si="34"/>
        <v>0</v>
      </c>
      <c r="J227" s="2" t="str">
        <f t="shared" si="35"/>
        <v/>
      </c>
      <c r="K227" s="2" t="str">
        <f t="shared" si="36"/>
        <v/>
      </c>
      <c r="L227" s="2" t="str">
        <f t="shared" si="37"/>
        <v/>
      </c>
    </row>
    <row r="228" spans="1:12">
      <c r="A228" s="2">
        <v>216</v>
      </c>
      <c r="B228" s="4">
        <v>0.111</v>
      </c>
      <c r="C228" s="4">
        <f t="shared" si="38"/>
        <v>6.0999999999999985E-2</v>
      </c>
      <c r="D228" s="4">
        <f t="shared" si="31"/>
        <v>1.5554284590900538</v>
      </c>
      <c r="E228" s="4">
        <f t="shared" si="32"/>
        <v>0.57467378325694207</v>
      </c>
      <c r="F228" s="4">
        <f t="shared" si="39"/>
        <v>0</v>
      </c>
      <c r="G228" s="4">
        <f t="shared" si="40"/>
        <v>0.55655717529215432</v>
      </c>
      <c r="H228" s="4">
        <f t="shared" si="33"/>
        <v>0.17035726210350607</v>
      </c>
      <c r="I228" s="4">
        <f t="shared" si="34"/>
        <v>0</v>
      </c>
      <c r="J228" s="2" t="str">
        <f t="shared" si="35"/>
        <v/>
      </c>
      <c r="K228" s="2" t="str">
        <f t="shared" si="36"/>
        <v/>
      </c>
      <c r="L228" s="2" t="str">
        <f t="shared" si="37"/>
        <v/>
      </c>
    </row>
    <row r="229" spans="1:12">
      <c r="A229" s="2">
        <v>217</v>
      </c>
      <c r="B229" s="4">
        <v>0.21199999999999999</v>
      </c>
      <c r="C229" s="4">
        <f t="shared" si="38"/>
        <v>0.10099999999999999</v>
      </c>
      <c r="D229" s="4">
        <f t="shared" si="31"/>
        <v>1.5554284590900538</v>
      </c>
      <c r="E229" s="4">
        <f t="shared" si="32"/>
        <v>0.57467378325694207</v>
      </c>
      <c r="F229" s="4">
        <f t="shared" si="39"/>
        <v>0</v>
      </c>
      <c r="G229" s="4">
        <f t="shared" si="40"/>
        <v>0.55655717529215432</v>
      </c>
      <c r="H229" s="4">
        <f t="shared" si="33"/>
        <v>0.17035726210350607</v>
      </c>
      <c r="I229" s="4">
        <f t="shared" si="34"/>
        <v>0</v>
      </c>
      <c r="J229" s="2" t="str">
        <f t="shared" si="35"/>
        <v/>
      </c>
      <c r="K229" s="2" t="str">
        <f t="shared" si="36"/>
        <v/>
      </c>
      <c r="L229" s="2" t="str">
        <f t="shared" si="37"/>
        <v/>
      </c>
    </row>
    <row r="230" spans="1:12">
      <c r="A230" s="2">
        <v>218</v>
      </c>
      <c r="B230" s="4">
        <v>0.20499999999999999</v>
      </c>
      <c r="C230" s="4">
        <f t="shared" si="38"/>
        <v>7.0000000000000062E-3</v>
      </c>
      <c r="D230" s="4">
        <f t="shared" si="31"/>
        <v>1.5554284590900538</v>
      </c>
      <c r="E230" s="4">
        <f t="shared" si="32"/>
        <v>0.57467378325694207</v>
      </c>
      <c r="F230" s="4">
        <f t="shared" si="39"/>
        <v>0</v>
      </c>
      <c r="G230" s="4">
        <f t="shared" si="40"/>
        <v>0.55655717529215432</v>
      </c>
      <c r="H230" s="4">
        <f t="shared" si="33"/>
        <v>0.17035726210350607</v>
      </c>
      <c r="I230" s="4">
        <f t="shared" si="34"/>
        <v>0</v>
      </c>
      <c r="J230" s="2" t="str">
        <f t="shared" si="35"/>
        <v/>
      </c>
      <c r="K230" s="2" t="str">
        <f t="shared" si="36"/>
        <v/>
      </c>
      <c r="L230" s="2" t="str">
        <f t="shared" si="37"/>
        <v/>
      </c>
    </row>
    <row r="231" spans="1:12">
      <c r="A231" s="2">
        <v>219</v>
      </c>
      <c r="B231" s="4">
        <v>0.19800000000000001</v>
      </c>
      <c r="C231" s="4">
        <f t="shared" si="38"/>
        <v>6.9999999999999785E-3</v>
      </c>
      <c r="D231" s="4">
        <f t="shared" si="31"/>
        <v>1.5554284590900538</v>
      </c>
      <c r="E231" s="4">
        <f t="shared" si="32"/>
        <v>0.57467378325694207</v>
      </c>
      <c r="F231" s="4">
        <f t="shared" si="39"/>
        <v>0</v>
      </c>
      <c r="G231" s="4">
        <f t="shared" si="40"/>
        <v>0.55655717529215432</v>
      </c>
      <c r="H231" s="4">
        <f t="shared" si="33"/>
        <v>0.17035726210350607</v>
      </c>
      <c r="I231" s="4">
        <f t="shared" si="34"/>
        <v>0</v>
      </c>
      <c r="J231" s="2" t="str">
        <f t="shared" si="35"/>
        <v/>
      </c>
      <c r="K231" s="2" t="str">
        <f t="shared" si="36"/>
        <v/>
      </c>
      <c r="L231" s="2" t="str">
        <f t="shared" si="37"/>
        <v/>
      </c>
    </row>
    <row r="232" spans="1:12">
      <c r="A232" s="2">
        <v>220</v>
      </c>
      <c r="B232" s="4">
        <v>0.193</v>
      </c>
      <c r="C232" s="4">
        <f t="shared" si="38"/>
        <v>5.0000000000000044E-3</v>
      </c>
      <c r="D232" s="4">
        <f t="shared" si="31"/>
        <v>1.5554284590900538</v>
      </c>
      <c r="E232" s="4">
        <f t="shared" si="32"/>
        <v>0.57467378325694207</v>
      </c>
      <c r="F232" s="4">
        <f t="shared" si="39"/>
        <v>0</v>
      </c>
      <c r="G232" s="4">
        <f t="shared" si="40"/>
        <v>0.55655717529215432</v>
      </c>
      <c r="H232" s="4">
        <f t="shared" si="33"/>
        <v>0.17035726210350607</v>
      </c>
      <c r="I232" s="4">
        <f t="shared" si="34"/>
        <v>0</v>
      </c>
      <c r="J232" s="2" t="str">
        <f t="shared" si="35"/>
        <v/>
      </c>
      <c r="K232" s="2" t="str">
        <f t="shared" si="36"/>
        <v/>
      </c>
      <c r="L232" s="2" t="str">
        <f t="shared" si="37"/>
        <v/>
      </c>
    </row>
    <row r="233" spans="1:12">
      <c r="A233" s="2">
        <v>221</v>
      </c>
      <c r="B233" s="4">
        <v>0.16700000000000001</v>
      </c>
      <c r="C233" s="4">
        <f t="shared" si="38"/>
        <v>2.5999999999999995E-2</v>
      </c>
      <c r="D233" s="4">
        <f t="shared" si="31"/>
        <v>1.5554284590900538</v>
      </c>
      <c r="E233" s="4">
        <f t="shared" si="32"/>
        <v>0.57467378325694207</v>
      </c>
      <c r="F233" s="4">
        <f t="shared" si="39"/>
        <v>0</v>
      </c>
      <c r="G233" s="4">
        <f t="shared" si="40"/>
        <v>0.55655717529215432</v>
      </c>
      <c r="H233" s="4">
        <f t="shared" si="33"/>
        <v>0.17035726210350607</v>
      </c>
      <c r="I233" s="4">
        <f t="shared" si="34"/>
        <v>0</v>
      </c>
      <c r="J233" s="2" t="str">
        <f t="shared" si="35"/>
        <v/>
      </c>
      <c r="K233" s="2" t="str">
        <f t="shared" si="36"/>
        <v/>
      </c>
      <c r="L233" s="2" t="str">
        <f t="shared" si="37"/>
        <v/>
      </c>
    </row>
    <row r="234" spans="1:12">
      <c r="A234" s="2">
        <v>222</v>
      </c>
      <c r="B234" s="4">
        <v>9.8000000000000004E-2</v>
      </c>
      <c r="C234" s="4">
        <f t="shared" si="38"/>
        <v>6.9000000000000006E-2</v>
      </c>
      <c r="D234" s="4">
        <f t="shared" si="31"/>
        <v>1.5554284590900538</v>
      </c>
      <c r="E234" s="4">
        <f t="shared" si="32"/>
        <v>0.57467378325694207</v>
      </c>
      <c r="F234" s="4">
        <f t="shared" si="39"/>
        <v>0</v>
      </c>
      <c r="G234" s="4">
        <f t="shared" si="40"/>
        <v>0.55655717529215432</v>
      </c>
      <c r="H234" s="4">
        <f t="shared" si="33"/>
        <v>0.17035726210350607</v>
      </c>
      <c r="I234" s="4">
        <f t="shared" si="34"/>
        <v>0</v>
      </c>
      <c r="J234" s="2" t="str">
        <f t="shared" si="35"/>
        <v/>
      </c>
      <c r="K234" s="2" t="str">
        <f t="shared" si="36"/>
        <v/>
      </c>
      <c r="L234" s="2" t="str">
        <f t="shared" si="37"/>
        <v/>
      </c>
    </row>
    <row r="235" spans="1:12">
      <c r="A235" s="2">
        <v>223</v>
      </c>
      <c r="B235" s="4">
        <v>0.15</v>
      </c>
      <c r="C235" s="4">
        <f t="shared" si="38"/>
        <v>5.1999999999999991E-2</v>
      </c>
      <c r="D235" s="4">
        <f t="shared" si="31"/>
        <v>1.5554284590900538</v>
      </c>
      <c r="E235" s="4">
        <f t="shared" si="32"/>
        <v>0.57467378325694207</v>
      </c>
      <c r="F235" s="4">
        <f t="shared" si="39"/>
        <v>0</v>
      </c>
      <c r="G235" s="4">
        <f t="shared" si="40"/>
        <v>0.55655717529215432</v>
      </c>
      <c r="H235" s="4">
        <f t="shared" si="33"/>
        <v>0.17035726210350607</v>
      </c>
      <c r="I235" s="4">
        <f t="shared" si="34"/>
        <v>0</v>
      </c>
      <c r="J235" s="2" t="str">
        <f t="shared" si="35"/>
        <v/>
      </c>
      <c r="K235" s="2" t="str">
        <f t="shared" si="36"/>
        <v/>
      </c>
      <c r="L235" s="2" t="str">
        <f t="shared" si="37"/>
        <v/>
      </c>
    </row>
    <row r="236" spans="1:12">
      <c r="A236" s="2">
        <v>224</v>
      </c>
      <c r="B236" s="4">
        <v>0.214</v>
      </c>
      <c r="C236" s="4">
        <f t="shared" si="38"/>
        <v>6.4000000000000001E-2</v>
      </c>
      <c r="D236" s="4">
        <f t="shared" si="31"/>
        <v>1.5554284590900538</v>
      </c>
      <c r="E236" s="4">
        <f t="shared" si="32"/>
        <v>0.57467378325694207</v>
      </c>
      <c r="F236" s="4">
        <f t="shared" si="39"/>
        <v>0</v>
      </c>
      <c r="G236" s="4">
        <f t="shared" si="40"/>
        <v>0.55655717529215432</v>
      </c>
      <c r="H236" s="4">
        <f t="shared" si="33"/>
        <v>0.17035726210350607</v>
      </c>
      <c r="I236" s="4">
        <f t="shared" si="34"/>
        <v>0</v>
      </c>
      <c r="J236" s="2" t="str">
        <f t="shared" si="35"/>
        <v/>
      </c>
      <c r="K236" s="2" t="str">
        <f t="shared" si="36"/>
        <v/>
      </c>
      <c r="L236" s="2" t="str">
        <f t="shared" si="37"/>
        <v/>
      </c>
    </row>
    <row r="237" spans="1:12">
      <c r="A237" s="2">
        <v>225</v>
      </c>
      <c r="B237" s="4">
        <v>0.495</v>
      </c>
      <c r="C237" s="4">
        <f t="shared" si="38"/>
        <v>0.28100000000000003</v>
      </c>
      <c r="D237" s="4">
        <f t="shared" si="31"/>
        <v>1.5554284590900538</v>
      </c>
      <c r="E237" s="4">
        <f t="shared" si="32"/>
        <v>0.57467378325694207</v>
      </c>
      <c r="F237" s="4">
        <f t="shared" si="39"/>
        <v>0</v>
      </c>
      <c r="G237" s="4">
        <f t="shared" si="40"/>
        <v>0.55655717529215432</v>
      </c>
      <c r="H237" s="4">
        <f t="shared" si="33"/>
        <v>0.17035726210350607</v>
      </c>
      <c r="I237" s="4">
        <f t="shared" si="34"/>
        <v>0</v>
      </c>
      <c r="J237" s="2" t="str">
        <f t="shared" si="35"/>
        <v/>
      </c>
      <c r="K237" s="2" t="str">
        <f t="shared" si="36"/>
        <v/>
      </c>
      <c r="L237" s="2" t="str">
        <f t="shared" si="37"/>
        <v/>
      </c>
    </row>
    <row r="238" spans="1:12">
      <c r="A238" s="2">
        <v>226</v>
      </c>
      <c r="B238" s="4">
        <v>0.22</v>
      </c>
      <c r="C238" s="4">
        <f t="shared" si="38"/>
        <v>0.27500000000000002</v>
      </c>
      <c r="D238" s="4">
        <f t="shared" si="31"/>
        <v>1.5554284590900538</v>
      </c>
      <c r="E238" s="4">
        <f t="shared" si="32"/>
        <v>0.57467378325694207</v>
      </c>
      <c r="F238" s="4">
        <f t="shared" si="39"/>
        <v>0</v>
      </c>
      <c r="G238" s="4">
        <f t="shared" si="40"/>
        <v>0.55655717529215432</v>
      </c>
      <c r="H238" s="4">
        <f t="shared" si="33"/>
        <v>0.17035726210350607</v>
      </c>
      <c r="I238" s="4">
        <f t="shared" si="34"/>
        <v>0</v>
      </c>
      <c r="J238" s="2" t="str">
        <f t="shared" si="35"/>
        <v/>
      </c>
      <c r="K238" s="2" t="str">
        <f t="shared" si="36"/>
        <v/>
      </c>
      <c r="L238" s="2" t="str">
        <f t="shared" si="37"/>
        <v/>
      </c>
    </row>
    <row r="239" spans="1:12">
      <c r="A239" s="2">
        <v>227</v>
      </c>
      <c r="B239" s="4">
        <v>0.38100000000000001</v>
      </c>
      <c r="C239" s="4">
        <f t="shared" si="38"/>
        <v>0.161</v>
      </c>
      <c r="D239" s="4">
        <f t="shared" si="31"/>
        <v>1.5554284590900538</v>
      </c>
      <c r="E239" s="4">
        <f t="shared" si="32"/>
        <v>0.57467378325694207</v>
      </c>
      <c r="F239" s="4">
        <f t="shared" si="39"/>
        <v>0</v>
      </c>
      <c r="G239" s="4">
        <f t="shared" si="40"/>
        <v>0.55655717529215432</v>
      </c>
      <c r="H239" s="4">
        <f t="shared" si="33"/>
        <v>0.17035726210350607</v>
      </c>
      <c r="I239" s="4">
        <f t="shared" si="34"/>
        <v>0</v>
      </c>
      <c r="J239" s="2" t="str">
        <f t="shared" si="35"/>
        <v/>
      </c>
      <c r="K239" s="2" t="str">
        <f t="shared" si="36"/>
        <v/>
      </c>
      <c r="L239" s="2" t="str">
        <f t="shared" si="37"/>
        <v/>
      </c>
    </row>
    <row r="240" spans="1:12">
      <c r="A240" s="2">
        <v>228</v>
      </c>
      <c r="B240" s="4">
        <v>0.35899999999999999</v>
      </c>
      <c r="C240" s="4">
        <f t="shared" si="38"/>
        <v>2.200000000000002E-2</v>
      </c>
      <c r="D240" s="4">
        <f t="shared" si="31"/>
        <v>1.5554284590900538</v>
      </c>
      <c r="E240" s="4">
        <f t="shared" si="32"/>
        <v>0.57467378325694207</v>
      </c>
      <c r="F240" s="4">
        <f t="shared" si="39"/>
        <v>0</v>
      </c>
      <c r="G240" s="4">
        <f t="shared" si="40"/>
        <v>0.55655717529215432</v>
      </c>
      <c r="H240" s="4">
        <f t="shared" si="33"/>
        <v>0.17035726210350607</v>
      </c>
      <c r="I240" s="4">
        <f t="shared" si="34"/>
        <v>0</v>
      </c>
      <c r="J240" s="2" t="str">
        <f t="shared" si="35"/>
        <v/>
      </c>
      <c r="K240" s="2" t="str">
        <f t="shared" si="36"/>
        <v/>
      </c>
      <c r="L240" s="2" t="str">
        <f t="shared" si="37"/>
        <v/>
      </c>
    </row>
    <row r="241" spans="1:12">
      <c r="A241" s="2">
        <v>229</v>
      </c>
      <c r="B241" s="4">
        <v>0.39700000000000002</v>
      </c>
      <c r="C241" s="4">
        <f t="shared" si="38"/>
        <v>3.8000000000000034E-2</v>
      </c>
      <c r="D241" s="4">
        <f t="shared" si="31"/>
        <v>1.5554284590900538</v>
      </c>
      <c r="E241" s="4">
        <f t="shared" si="32"/>
        <v>0.57467378325694207</v>
      </c>
      <c r="F241" s="4">
        <f t="shared" si="39"/>
        <v>0</v>
      </c>
      <c r="G241" s="4">
        <f t="shared" si="40"/>
        <v>0.55655717529215432</v>
      </c>
      <c r="H241" s="4">
        <f t="shared" si="33"/>
        <v>0.17035726210350607</v>
      </c>
      <c r="I241" s="4">
        <f t="shared" si="34"/>
        <v>0</v>
      </c>
      <c r="J241" s="2" t="str">
        <f t="shared" si="35"/>
        <v/>
      </c>
      <c r="K241" s="2" t="str">
        <f t="shared" si="36"/>
        <v/>
      </c>
      <c r="L241" s="2" t="str">
        <f t="shared" si="37"/>
        <v/>
      </c>
    </row>
    <row r="242" spans="1:12">
      <c r="A242" s="2">
        <v>230</v>
      </c>
      <c r="B242" s="4">
        <v>0.30199999999999999</v>
      </c>
      <c r="C242" s="4">
        <f t="shared" si="38"/>
        <v>9.5000000000000029E-2</v>
      </c>
      <c r="D242" s="4">
        <f t="shared" si="31"/>
        <v>1.5554284590900538</v>
      </c>
      <c r="E242" s="4">
        <f t="shared" si="32"/>
        <v>0.57467378325694207</v>
      </c>
      <c r="F242" s="4">
        <f t="shared" si="39"/>
        <v>0</v>
      </c>
      <c r="G242" s="4">
        <f t="shared" si="40"/>
        <v>0.55655717529215432</v>
      </c>
      <c r="H242" s="4">
        <f t="shared" si="33"/>
        <v>0.17035726210350607</v>
      </c>
      <c r="I242" s="4">
        <f t="shared" si="34"/>
        <v>0</v>
      </c>
      <c r="J242" s="2" t="str">
        <f t="shared" si="35"/>
        <v/>
      </c>
      <c r="K242" s="2" t="str">
        <f t="shared" si="36"/>
        <v/>
      </c>
      <c r="L242" s="2" t="str">
        <f t="shared" si="37"/>
        <v/>
      </c>
    </row>
    <row r="243" spans="1:12">
      <c r="A243" s="2">
        <v>231</v>
      </c>
      <c r="B243" s="4">
        <v>0.13300000000000001</v>
      </c>
      <c r="C243" s="4">
        <f t="shared" si="38"/>
        <v>0.16899999999999998</v>
      </c>
      <c r="D243" s="4">
        <f t="shared" si="31"/>
        <v>1.5554284590900538</v>
      </c>
      <c r="E243" s="4">
        <f t="shared" si="32"/>
        <v>0.57467378325694207</v>
      </c>
      <c r="F243" s="4">
        <f t="shared" si="39"/>
        <v>0</v>
      </c>
      <c r="G243" s="4">
        <f t="shared" si="40"/>
        <v>0.55655717529215432</v>
      </c>
      <c r="H243" s="4">
        <f t="shared" si="33"/>
        <v>0.17035726210350607</v>
      </c>
      <c r="I243" s="4">
        <f t="shared" si="34"/>
        <v>0</v>
      </c>
      <c r="J243" s="2" t="str">
        <f t="shared" si="35"/>
        <v/>
      </c>
      <c r="K243" s="2" t="str">
        <f t="shared" si="36"/>
        <v/>
      </c>
      <c r="L243" s="2" t="str">
        <f t="shared" si="37"/>
        <v/>
      </c>
    </row>
    <row r="244" spans="1:12">
      <c r="A244" s="2">
        <v>232</v>
      </c>
      <c r="B244" s="4">
        <v>0.496</v>
      </c>
      <c r="C244" s="4">
        <f t="shared" si="38"/>
        <v>0.36299999999999999</v>
      </c>
      <c r="D244" s="4">
        <f t="shared" si="31"/>
        <v>1.5554284590900538</v>
      </c>
      <c r="E244" s="4">
        <f t="shared" si="32"/>
        <v>0.57467378325694207</v>
      </c>
      <c r="F244" s="4">
        <f t="shared" si="39"/>
        <v>0</v>
      </c>
      <c r="G244" s="4">
        <f t="shared" si="40"/>
        <v>0.55655717529215432</v>
      </c>
      <c r="H244" s="4">
        <f t="shared" si="33"/>
        <v>0.17035726210350607</v>
      </c>
      <c r="I244" s="4">
        <f t="shared" si="34"/>
        <v>0</v>
      </c>
      <c r="J244" s="2" t="str">
        <f t="shared" si="35"/>
        <v/>
      </c>
      <c r="K244" s="2" t="str">
        <f t="shared" si="36"/>
        <v/>
      </c>
      <c r="L244" s="2" t="str">
        <f t="shared" si="37"/>
        <v/>
      </c>
    </row>
    <row r="245" spans="1:12">
      <c r="A245" s="2">
        <v>233</v>
      </c>
      <c r="B245" s="4">
        <v>0.28199999999999997</v>
      </c>
      <c r="C245" s="4">
        <f t="shared" si="38"/>
        <v>0.21400000000000002</v>
      </c>
      <c r="D245" s="4">
        <f t="shared" si="31"/>
        <v>1.5554284590900538</v>
      </c>
      <c r="E245" s="4">
        <f t="shared" si="32"/>
        <v>0.57467378325694207</v>
      </c>
      <c r="F245" s="4">
        <f t="shared" si="39"/>
        <v>0</v>
      </c>
      <c r="G245" s="4">
        <f t="shared" si="40"/>
        <v>0.55655717529215432</v>
      </c>
      <c r="H245" s="4">
        <f t="shared" si="33"/>
        <v>0.17035726210350607</v>
      </c>
      <c r="I245" s="4">
        <f t="shared" si="34"/>
        <v>0</v>
      </c>
      <c r="J245" s="2" t="str">
        <f t="shared" si="35"/>
        <v/>
      </c>
      <c r="K245" s="2" t="str">
        <f t="shared" si="36"/>
        <v/>
      </c>
      <c r="L245" s="2" t="str">
        <f t="shared" si="37"/>
        <v/>
      </c>
    </row>
    <row r="246" spans="1:12">
      <c r="A246" s="2">
        <v>234</v>
      </c>
      <c r="B246" s="4">
        <v>0.27400000000000002</v>
      </c>
      <c r="C246" s="4">
        <f t="shared" si="38"/>
        <v>7.9999999999999516E-3</v>
      </c>
      <c r="D246" s="4">
        <f t="shared" si="31"/>
        <v>1.5554284590900538</v>
      </c>
      <c r="E246" s="4">
        <f t="shared" si="32"/>
        <v>0.57467378325694207</v>
      </c>
      <c r="F246" s="4">
        <f t="shared" si="39"/>
        <v>0</v>
      </c>
      <c r="G246" s="4">
        <f t="shared" si="40"/>
        <v>0.55655717529215432</v>
      </c>
      <c r="H246" s="4">
        <f t="shared" si="33"/>
        <v>0.17035726210350607</v>
      </c>
      <c r="I246" s="4">
        <f t="shared" si="34"/>
        <v>0</v>
      </c>
      <c r="J246" s="2" t="str">
        <f t="shared" si="35"/>
        <v/>
      </c>
      <c r="K246" s="2" t="str">
        <f t="shared" si="36"/>
        <v/>
      </c>
      <c r="L246" s="2" t="str">
        <f t="shared" si="37"/>
        <v/>
      </c>
    </row>
    <row r="247" spans="1:12">
      <c r="A247" s="2">
        <v>235</v>
      </c>
      <c r="B247" s="4">
        <v>0.376</v>
      </c>
      <c r="C247" s="4">
        <f t="shared" si="38"/>
        <v>0.10199999999999998</v>
      </c>
      <c r="D247" s="4">
        <f t="shared" si="31"/>
        <v>1.5554284590900538</v>
      </c>
      <c r="E247" s="4">
        <f t="shared" si="32"/>
        <v>0.57467378325694207</v>
      </c>
      <c r="F247" s="4">
        <f t="shared" si="39"/>
        <v>0</v>
      </c>
      <c r="G247" s="4">
        <f t="shared" si="40"/>
        <v>0.55655717529215432</v>
      </c>
      <c r="H247" s="4">
        <f t="shared" si="33"/>
        <v>0.17035726210350607</v>
      </c>
      <c r="I247" s="4">
        <f t="shared" si="34"/>
        <v>0</v>
      </c>
      <c r="J247" s="2" t="str">
        <f t="shared" si="35"/>
        <v/>
      </c>
      <c r="K247" s="2" t="str">
        <f t="shared" si="36"/>
        <v/>
      </c>
      <c r="L247" s="2" t="str">
        <f t="shared" si="37"/>
        <v/>
      </c>
    </row>
    <row r="248" spans="1:12">
      <c r="A248" s="2">
        <v>236</v>
      </c>
      <c r="B248" s="4">
        <v>0.373</v>
      </c>
      <c r="C248" s="4">
        <f t="shared" si="38"/>
        <v>3.0000000000000027E-3</v>
      </c>
      <c r="D248" s="4">
        <f t="shared" si="31"/>
        <v>1.5554284590900538</v>
      </c>
      <c r="E248" s="4">
        <f t="shared" si="32"/>
        <v>0.57467378325694207</v>
      </c>
      <c r="F248" s="4">
        <f t="shared" si="39"/>
        <v>0</v>
      </c>
      <c r="G248" s="4">
        <f t="shared" si="40"/>
        <v>0.55655717529215432</v>
      </c>
      <c r="H248" s="4">
        <f t="shared" si="33"/>
        <v>0.17035726210350607</v>
      </c>
      <c r="I248" s="4">
        <f t="shared" si="34"/>
        <v>0</v>
      </c>
      <c r="J248" s="2" t="str">
        <f t="shared" si="35"/>
        <v/>
      </c>
      <c r="K248" s="2" t="str">
        <f t="shared" si="36"/>
        <v/>
      </c>
      <c r="L248" s="2" t="str">
        <f t="shared" si="37"/>
        <v/>
      </c>
    </row>
    <row r="249" spans="1:12">
      <c r="A249" s="2">
        <v>237</v>
      </c>
      <c r="B249" s="4">
        <v>0.253</v>
      </c>
      <c r="C249" s="4">
        <f t="shared" si="38"/>
        <v>0.12</v>
      </c>
      <c r="D249" s="4">
        <f t="shared" si="31"/>
        <v>1.5554284590900538</v>
      </c>
      <c r="E249" s="4">
        <f t="shared" si="32"/>
        <v>0.57467378325694207</v>
      </c>
      <c r="F249" s="4">
        <f t="shared" si="39"/>
        <v>0</v>
      </c>
      <c r="G249" s="4">
        <f t="shared" si="40"/>
        <v>0.55655717529215432</v>
      </c>
      <c r="H249" s="4">
        <f t="shared" si="33"/>
        <v>0.17035726210350607</v>
      </c>
      <c r="I249" s="4">
        <f t="shared" si="34"/>
        <v>0</v>
      </c>
      <c r="J249" s="2" t="str">
        <f t="shared" si="35"/>
        <v/>
      </c>
      <c r="K249" s="2" t="str">
        <f t="shared" si="36"/>
        <v/>
      </c>
      <c r="L249" s="2" t="str">
        <f t="shared" si="37"/>
        <v/>
      </c>
    </row>
    <row r="250" spans="1:12">
      <c r="A250" s="2">
        <v>238</v>
      </c>
      <c r="B250" s="4">
        <v>1.204</v>
      </c>
      <c r="C250" s="4">
        <f t="shared" si="38"/>
        <v>0.95099999999999996</v>
      </c>
      <c r="D250" s="4">
        <f t="shared" si="31"/>
        <v>1.5554284590900538</v>
      </c>
      <c r="E250" s="4">
        <f t="shared" si="32"/>
        <v>0.57467378325694207</v>
      </c>
      <c r="F250" s="4">
        <f t="shared" si="39"/>
        <v>0</v>
      </c>
      <c r="G250" s="4">
        <f t="shared" si="40"/>
        <v>0.55655717529215432</v>
      </c>
      <c r="H250" s="4">
        <f t="shared" si="33"/>
        <v>0.17035726210350607</v>
      </c>
      <c r="I250" s="4">
        <f t="shared" si="34"/>
        <v>0</v>
      </c>
      <c r="J250" s="2" t="str">
        <f t="shared" si="35"/>
        <v/>
      </c>
      <c r="K250" s="2" t="str">
        <f t="shared" si="36"/>
        <v>Y</v>
      </c>
      <c r="L250" s="2" t="str">
        <f t="shared" si="37"/>
        <v/>
      </c>
    </row>
    <row r="251" spans="1:12">
      <c r="A251" s="2">
        <v>239</v>
      </c>
      <c r="B251" s="4">
        <v>0.56699999999999995</v>
      </c>
      <c r="C251" s="4">
        <f t="shared" si="38"/>
        <v>0.63700000000000001</v>
      </c>
      <c r="D251" s="4">
        <f t="shared" si="31"/>
        <v>1.5554284590900538</v>
      </c>
      <c r="E251" s="4">
        <f t="shared" si="32"/>
        <v>0.57467378325694207</v>
      </c>
      <c r="F251" s="4">
        <f t="shared" si="39"/>
        <v>0</v>
      </c>
      <c r="G251" s="4">
        <f t="shared" si="40"/>
        <v>0.55655717529215432</v>
      </c>
      <c r="H251" s="4">
        <f t="shared" si="33"/>
        <v>0.17035726210350607</v>
      </c>
      <c r="I251" s="4">
        <f t="shared" si="34"/>
        <v>0</v>
      </c>
      <c r="J251" s="2" t="str">
        <f t="shared" si="35"/>
        <v/>
      </c>
      <c r="K251" s="2" t="str">
        <f t="shared" si="36"/>
        <v>Y</v>
      </c>
      <c r="L251" s="2" t="str">
        <f t="shared" si="37"/>
        <v/>
      </c>
    </row>
    <row r="252" spans="1:12">
      <c r="A252" s="2">
        <v>240</v>
      </c>
      <c r="B252" s="4">
        <v>0.221</v>
      </c>
      <c r="C252" s="4">
        <f t="shared" si="38"/>
        <v>0.34599999999999997</v>
      </c>
      <c r="D252" s="4">
        <f t="shared" si="31"/>
        <v>1.5554284590900538</v>
      </c>
      <c r="E252" s="4">
        <f t="shared" si="32"/>
        <v>0.57467378325694207</v>
      </c>
      <c r="F252" s="4">
        <f t="shared" si="39"/>
        <v>0</v>
      </c>
      <c r="G252" s="4">
        <f t="shared" si="40"/>
        <v>0.55655717529215432</v>
      </c>
      <c r="H252" s="4">
        <f t="shared" si="33"/>
        <v>0.17035726210350607</v>
      </c>
      <c r="I252" s="4">
        <f t="shared" si="34"/>
        <v>0</v>
      </c>
      <c r="J252" s="2" t="str">
        <f t="shared" si="35"/>
        <v/>
      </c>
      <c r="K252" s="2" t="str">
        <f t="shared" si="36"/>
        <v/>
      </c>
      <c r="L252" s="2" t="str">
        <f t="shared" si="37"/>
        <v/>
      </c>
    </row>
    <row r="253" spans="1:12">
      <c r="A253" s="2">
        <v>241</v>
      </c>
      <c r="B253" s="4">
        <v>0.442</v>
      </c>
      <c r="C253" s="4">
        <f t="shared" si="38"/>
        <v>0.221</v>
      </c>
      <c r="D253" s="4">
        <f t="shared" si="31"/>
        <v>1.5554284590900538</v>
      </c>
      <c r="E253" s="4">
        <f t="shared" si="32"/>
        <v>0.57467378325694207</v>
      </c>
      <c r="F253" s="4">
        <f t="shared" si="39"/>
        <v>0</v>
      </c>
      <c r="G253" s="4">
        <f t="shared" si="40"/>
        <v>0.55655717529215432</v>
      </c>
      <c r="H253" s="4">
        <f t="shared" si="33"/>
        <v>0.17035726210350607</v>
      </c>
      <c r="I253" s="4">
        <f t="shared" si="34"/>
        <v>0</v>
      </c>
      <c r="J253" s="2" t="str">
        <f t="shared" si="35"/>
        <v/>
      </c>
      <c r="K253" s="2" t="str">
        <f t="shared" si="36"/>
        <v/>
      </c>
      <c r="L253" s="2" t="str">
        <f t="shared" si="37"/>
        <v/>
      </c>
    </row>
    <row r="254" spans="1:12">
      <c r="A254" s="2">
        <v>242</v>
      </c>
      <c r="B254" s="4">
        <v>0.78800000000000003</v>
      </c>
      <c r="C254" s="4">
        <f t="shared" si="38"/>
        <v>0.34600000000000003</v>
      </c>
      <c r="D254" s="4">
        <f t="shared" si="31"/>
        <v>1.5554284590900538</v>
      </c>
      <c r="E254" s="4">
        <f t="shared" si="32"/>
        <v>0.57467378325694207</v>
      </c>
      <c r="F254" s="4">
        <f t="shared" si="39"/>
        <v>0</v>
      </c>
      <c r="G254" s="4">
        <f t="shared" si="40"/>
        <v>0.55655717529215432</v>
      </c>
      <c r="H254" s="4">
        <f t="shared" si="33"/>
        <v>0.17035726210350607</v>
      </c>
      <c r="I254" s="4">
        <f t="shared" si="34"/>
        <v>0</v>
      </c>
      <c r="J254" s="2" t="str">
        <f t="shared" si="35"/>
        <v/>
      </c>
      <c r="K254" s="2" t="str">
        <f t="shared" si="36"/>
        <v/>
      </c>
      <c r="L254" s="2" t="str">
        <f t="shared" si="37"/>
        <v/>
      </c>
    </row>
    <row r="255" spans="1:12">
      <c r="A255" s="2">
        <v>243</v>
      </c>
      <c r="B255" s="4">
        <v>0.14199999999999999</v>
      </c>
      <c r="C255" s="4">
        <f t="shared" si="38"/>
        <v>0.64600000000000002</v>
      </c>
      <c r="D255" s="4">
        <f t="shared" si="31"/>
        <v>1.5554284590900538</v>
      </c>
      <c r="E255" s="4">
        <f t="shared" si="32"/>
        <v>0.57467378325694207</v>
      </c>
      <c r="F255" s="4">
        <f t="shared" si="39"/>
        <v>0</v>
      </c>
      <c r="G255" s="4">
        <f t="shared" si="40"/>
        <v>0.55655717529215432</v>
      </c>
      <c r="H255" s="4">
        <f t="shared" si="33"/>
        <v>0.17035726210350607</v>
      </c>
      <c r="I255" s="4">
        <f t="shared" si="34"/>
        <v>0</v>
      </c>
      <c r="J255" s="2" t="str">
        <f t="shared" si="35"/>
        <v/>
      </c>
      <c r="K255" s="2" t="str">
        <f t="shared" si="36"/>
        <v>Y</v>
      </c>
      <c r="L255" s="2" t="str">
        <f t="shared" si="37"/>
        <v/>
      </c>
    </row>
    <row r="256" spans="1:12">
      <c r="A256" s="2">
        <v>244</v>
      </c>
      <c r="B256" s="4">
        <v>0.77900000000000003</v>
      </c>
      <c r="C256" s="4">
        <f t="shared" si="38"/>
        <v>0.63700000000000001</v>
      </c>
      <c r="D256" s="4">
        <f t="shared" si="31"/>
        <v>1.5554284590900538</v>
      </c>
      <c r="E256" s="4">
        <f t="shared" si="32"/>
        <v>0.57467378325694207</v>
      </c>
      <c r="F256" s="4">
        <f t="shared" si="39"/>
        <v>0</v>
      </c>
      <c r="G256" s="4">
        <f t="shared" si="40"/>
        <v>0.55655717529215432</v>
      </c>
      <c r="H256" s="4">
        <f t="shared" si="33"/>
        <v>0.17035726210350607</v>
      </c>
      <c r="I256" s="4">
        <f t="shared" si="34"/>
        <v>0</v>
      </c>
      <c r="J256" s="2" t="str">
        <f t="shared" si="35"/>
        <v/>
      </c>
      <c r="K256" s="2" t="str">
        <f t="shared" si="36"/>
        <v>Y</v>
      </c>
      <c r="L256" s="2" t="str">
        <f t="shared" si="37"/>
        <v/>
      </c>
    </row>
    <row r="257" spans="1:12">
      <c r="A257" s="2">
        <v>245</v>
      </c>
      <c r="B257" s="4">
        <v>0.23200000000000001</v>
      </c>
      <c r="C257" s="4">
        <f t="shared" si="38"/>
        <v>0.54700000000000004</v>
      </c>
      <c r="D257" s="4">
        <f t="shared" si="31"/>
        <v>1.5554284590900538</v>
      </c>
      <c r="E257" s="4">
        <f t="shared" si="32"/>
        <v>0.57467378325694207</v>
      </c>
      <c r="F257" s="4">
        <f t="shared" si="39"/>
        <v>0</v>
      </c>
      <c r="G257" s="4">
        <f t="shared" si="40"/>
        <v>0.55655717529215432</v>
      </c>
      <c r="H257" s="4">
        <f t="shared" si="33"/>
        <v>0.17035726210350607</v>
      </c>
      <c r="I257" s="4">
        <f t="shared" si="34"/>
        <v>0</v>
      </c>
      <c r="J257" s="2" t="str">
        <f t="shared" si="35"/>
        <v/>
      </c>
      <c r="K257" s="2" t="str">
        <f t="shared" si="36"/>
        <v/>
      </c>
      <c r="L257" s="2" t="str">
        <f t="shared" si="37"/>
        <v/>
      </c>
    </row>
    <row r="258" spans="1:12">
      <c r="A258" s="2">
        <v>246</v>
      </c>
      <c r="B258" s="4">
        <v>0.153</v>
      </c>
      <c r="C258" s="4">
        <f t="shared" si="38"/>
        <v>7.9000000000000015E-2</v>
      </c>
      <c r="D258" s="4">
        <f t="shared" si="31"/>
        <v>1.5554284590900538</v>
      </c>
      <c r="E258" s="4">
        <f t="shared" si="32"/>
        <v>0.57467378325694207</v>
      </c>
      <c r="F258" s="4">
        <f t="shared" si="39"/>
        <v>0</v>
      </c>
      <c r="G258" s="4">
        <f t="shared" si="40"/>
        <v>0.55655717529215432</v>
      </c>
      <c r="H258" s="4">
        <f t="shared" si="33"/>
        <v>0.17035726210350607</v>
      </c>
      <c r="I258" s="4">
        <f t="shared" si="34"/>
        <v>0</v>
      </c>
      <c r="J258" s="2" t="str">
        <f t="shared" si="35"/>
        <v/>
      </c>
      <c r="K258" s="2" t="str">
        <f t="shared" si="36"/>
        <v/>
      </c>
      <c r="L258" s="2" t="str">
        <f t="shared" si="37"/>
        <v/>
      </c>
    </row>
    <row r="259" spans="1:12">
      <c r="A259" s="2">
        <v>247</v>
      </c>
      <c r="B259" s="4">
        <v>0.67800000000000005</v>
      </c>
      <c r="C259" s="4">
        <f t="shared" si="38"/>
        <v>0.52500000000000002</v>
      </c>
      <c r="D259" s="4">
        <f t="shared" si="31"/>
        <v>1.5554284590900538</v>
      </c>
      <c r="E259" s="4">
        <f t="shared" si="32"/>
        <v>0.57467378325694207</v>
      </c>
      <c r="F259" s="4">
        <f t="shared" si="39"/>
        <v>0</v>
      </c>
      <c r="G259" s="4">
        <f t="shared" si="40"/>
        <v>0.55655717529215432</v>
      </c>
      <c r="H259" s="4">
        <f t="shared" si="33"/>
        <v>0.17035726210350607</v>
      </c>
      <c r="I259" s="4">
        <f t="shared" si="34"/>
        <v>0</v>
      </c>
      <c r="J259" s="2" t="str">
        <f t="shared" si="35"/>
        <v/>
      </c>
      <c r="K259" s="2" t="str">
        <f t="shared" si="36"/>
        <v/>
      </c>
      <c r="L259" s="2" t="str">
        <f t="shared" si="37"/>
        <v/>
      </c>
    </row>
    <row r="260" spans="1:12">
      <c r="A260" s="2">
        <v>248</v>
      </c>
      <c r="B260" s="4">
        <v>0.32900000000000001</v>
      </c>
      <c r="C260" s="4">
        <f t="shared" si="38"/>
        <v>0.34900000000000003</v>
      </c>
      <c r="D260" s="4">
        <f t="shared" si="31"/>
        <v>1.5554284590900538</v>
      </c>
      <c r="E260" s="4">
        <f t="shared" si="32"/>
        <v>0.57467378325694207</v>
      </c>
      <c r="F260" s="4">
        <f t="shared" si="39"/>
        <v>0</v>
      </c>
      <c r="G260" s="4">
        <f t="shared" si="40"/>
        <v>0.55655717529215432</v>
      </c>
      <c r="H260" s="4">
        <f t="shared" si="33"/>
        <v>0.17035726210350607</v>
      </c>
      <c r="I260" s="4">
        <f t="shared" si="34"/>
        <v>0</v>
      </c>
      <c r="J260" s="2" t="str">
        <f t="shared" si="35"/>
        <v/>
      </c>
      <c r="K260" s="2" t="str">
        <f t="shared" si="36"/>
        <v/>
      </c>
      <c r="L260" s="2" t="str">
        <f t="shared" si="37"/>
        <v/>
      </c>
    </row>
    <row r="261" spans="1:12">
      <c r="A261" s="2">
        <v>249</v>
      </c>
      <c r="B261" s="4">
        <v>0.46300000000000002</v>
      </c>
      <c r="C261" s="4">
        <f t="shared" si="38"/>
        <v>0.13400000000000001</v>
      </c>
      <c r="D261" s="4">
        <f t="shared" si="31"/>
        <v>1.5554284590900538</v>
      </c>
      <c r="E261" s="4">
        <f t="shared" si="32"/>
        <v>0.57467378325694207</v>
      </c>
      <c r="F261" s="4">
        <f t="shared" si="39"/>
        <v>0</v>
      </c>
      <c r="G261" s="4">
        <f t="shared" si="40"/>
        <v>0.55655717529215432</v>
      </c>
      <c r="H261" s="4">
        <f t="shared" si="33"/>
        <v>0.17035726210350607</v>
      </c>
      <c r="I261" s="4">
        <f t="shared" si="34"/>
        <v>0</v>
      </c>
      <c r="J261" s="2" t="str">
        <f t="shared" si="35"/>
        <v/>
      </c>
      <c r="K261" s="2" t="str">
        <f t="shared" si="36"/>
        <v/>
      </c>
      <c r="L261" s="2" t="str">
        <f t="shared" si="37"/>
        <v/>
      </c>
    </row>
    <row r="262" spans="1:12">
      <c r="A262" s="2">
        <v>250</v>
      </c>
      <c r="B262" s="4">
        <v>0.41</v>
      </c>
      <c r="C262" s="4">
        <f t="shared" si="38"/>
        <v>5.3000000000000047E-2</v>
      </c>
      <c r="D262" s="4">
        <f t="shared" si="31"/>
        <v>1.5554284590900538</v>
      </c>
      <c r="E262" s="4">
        <f t="shared" si="32"/>
        <v>0.57467378325694207</v>
      </c>
      <c r="F262" s="4">
        <f t="shared" si="39"/>
        <v>0</v>
      </c>
      <c r="G262" s="4">
        <f t="shared" si="40"/>
        <v>0.55655717529215432</v>
      </c>
      <c r="H262" s="4">
        <f t="shared" si="33"/>
        <v>0.17035726210350607</v>
      </c>
      <c r="I262" s="4">
        <f t="shared" si="34"/>
        <v>0</v>
      </c>
      <c r="J262" s="2" t="str">
        <f t="shared" si="35"/>
        <v/>
      </c>
      <c r="K262" s="2" t="str">
        <f t="shared" si="36"/>
        <v/>
      </c>
      <c r="L262" s="2" t="str">
        <f t="shared" si="37"/>
        <v/>
      </c>
    </row>
    <row r="263" spans="1:12">
      <c r="A263" s="2">
        <v>251</v>
      </c>
      <c r="B263" s="4">
        <v>0.29199999999999998</v>
      </c>
      <c r="C263" s="4">
        <f t="shared" si="38"/>
        <v>0.11799999999999999</v>
      </c>
      <c r="D263" s="4">
        <f t="shared" si="31"/>
        <v>1.5554284590900538</v>
      </c>
      <c r="E263" s="4">
        <f t="shared" si="32"/>
        <v>0.57467378325694207</v>
      </c>
      <c r="F263" s="4">
        <f t="shared" si="39"/>
        <v>0</v>
      </c>
      <c r="G263" s="4">
        <f t="shared" si="40"/>
        <v>0.55655717529215432</v>
      </c>
      <c r="H263" s="4">
        <f t="shared" si="33"/>
        <v>0.17035726210350607</v>
      </c>
      <c r="I263" s="4">
        <f t="shared" si="34"/>
        <v>0</v>
      </c>
      <c r="J263" s="2" t="str">
        <f t="shared" si="35"/>
        <v/>
      </c>
      <c r="K263" s="2" t="str">
        <f t="shared" si="36"/>
        <v/>
      </c>
      <c r="L263" s="2" t="str">
        <f t="shared" si="37"/>
        <v/>
      </c>
    </row>
    <row r="264" spans="1:12">
      <c r="A264" s="2">
        <v>252</v>
      </c>
      <c r="B264" s="4">
        <v>0.253</v>
      </c>
      <c r="C264" s="4">
        <f t="shared" si="38"/>
        <v>3.8999999999999979E-2</v>
      </c>
      <c r="D264" s="4">
        <f t="shared" si="31"/>
        <v>1.5554284590900538</v>
      </c>
      <c r="E264" s="4">
        <f t="shared" si="32"/>
        <v>0.57467378325694207</v>
      </c>
      <c r="F264" s="4">
        <f t="shared" si="39"/>
        <v>0</v>
      </c>
      <c r="G264" s="4">
        <f t="shared" si="40"/>
        <v>0.55655717529215432</v>
      </c>
      <c r="H264" s="4">
        <f t="shared" si="33"/>
        <v>0.17035726210350607</v>
      </c>
      <c r="I264" s="4">
        <f t="shared" si="34"/>
        <v>0</v>
      </c>
      <c r="J264" s="2" t="str">
        <f t="shared" si="35"/>
        <v/>
      </c>
      <c r="K264" s="2" t="str">
        <f t="shared" si="36"/>
        <v/>
      </c>
      <c r="L264" s="2" t="str">
        <f t="shared" si="37"/>
        <v/>
      </c>
    </row>
    <row r="265" spans="1:12">
      <c r="A265" s="2">
        <v>253</v>
      </c>
      <c r="B265" s="4">
        <v>0.58099999999999996</v>
      </c>
      <c r="C265" s="4">
        <f t="shared" si="38"/>
        <v>0.32799999999999996</v>
      </c>
      <c r="D265" s="4">
        <f t="shared" si="31"/>
        <v>1.5554284590900538</v>
      </c>
      <c r="E265" s="4">
        <f t="shared" si="32"/>
        <v>0.57467378325694207</v>
      </c>
      <c r="F265" s="4">
        <f t="shared" si="39"/>
        <v>0</v>
      </c>
      <c r="G265" s="4">
        <f t="shared" si="40"/>
        <v>0.55655717529215432</v>
      </c>
      <c r="H265" s="4">
        <f t="shared" si="33"/>
        <v>0.17035726210350607</v>
      </c>
      <c r="I265" s="4">
        <f t="shared" si="34"/>
        <v>0</v>
      </c>
      <c r="J265" s="2" t="str">
        <f t="shared" si="35"/>
        <v/>
      </c>
      <c r="K265" s="2" t="str">
        <f t="shared" si="36"/>
        <v/>
      </c>
      <c r="L265" s="2" t="str">
        <f t="shared" si="37"/>
        <v/>
      </c>
    </row>
    <row r="266" spans="1:12">
      <c r="A266" s="2">
        <v>254</v>
      </c>
      <c r="B266" s="4">
        <v>0.223</v>
      </c>
      <c r="C266" s="4">
        <f t="shared" si="38"/>
        <v>0.35799999999999998</v>
      </c>
      <c r="D266" s="4">
        <f t="shared" si="31"/>
        <v>1.5554284590900538</v>
      </c>
      <c r="E266" s="4">
        <f t="shared" si="32"/>
        <v>0.57467378325694207</v>
      </c>
      <c r="F266" s="4">
        <f t="shared" si="39"/>
        <v>0</v>
      </c>
      <c r="G266" s="4">
        <f t="shared" si="40"/>
        <v>0.55655717529215432</v>
      </c>
      <c r="H266" s="4">
        <f t="shared" si="33"/>
        <v>0.17035726210350607</v>
      </c>
      <c r="I266" s="4">
        <f t="shared" si="34"/>
        <v>0</v>
      </c>
      <c r="J266" s="2" t="str">
        <f t="shared" si="35"/>
        <v/>
      </c>
      <c r="K266" s="2" t="str">
        <f t="shared" si="36"/>
        <v/>
      </c>
      <c r="L266" s="2" t="str">
        <f t="shared" si="37"/>
        <v/>
      </c>
    </row>
    <row r="267" spans="1:12">
      <c r="A267" s="2">
        <v>255</v>
      </c>
      <c r="B267" s="4">
        <v>0.307</v>
      </c>
      <c r="C267" s="4">
        <f t="shared" si="38"/>
        <v>8.3999999999999991E-2</v>
      </c>
      <c r="D267" s="4">
        <f t="shared" si="31"/>
        <v>1.5554284590900538</v>
      </c>
      <c r="E267" s="4">
        <f t="shared" si="32"/>
        <v>0.57467378325694207</v>
      </c>
      <c r="F267" s="4">
        <f t="shared" si="39"/>
        <v>0</v>
      </c>
      <c r="G267" s="4">
        <f t="shared" si="40"/>
        <v>0.55655717529215432</v>
      </c>
      <c r="H267" s="4">
        <f t="shared" si="33"/>
        <v>0.17035726210350607</v>
      </c>
      <c r="I267" s="4">
        <f t="shared" si="34"/>
        <v>0</v>
      </c>
      <c r="J267" s="2" t="str">
        <f t="shared" si="35"/>
        <v/>
      </c>
      <c r="K267" s="2" t="str">
        <f t="shared" si="36"/>
        <v/>
      </c>
      <c r="L267" s="2" t="str">
        <f t="shared" si="37"/>
        <v/>
      </c>
    </row>
    <row r="268" spans="1:12">
      <c r="A268" s="2">
        <v>256</v>
      </c>
      <c r="B268" s="4">
        <v>0.19600000000000001</v>
      </c>
      <c r="C268" s="4">
        <f t="shared" si="38"/>
        <v>0.11099999999999999</v>
      </c>
      <c r="D268" s="4">
        <f t="shared" si="31"/>
        <v>1.5554284590900538</v>
      </c>
      <c r="E268" s="4">
        <f t="shared" si="32"/>
        <v>0.57467378325694207</v>
      </c>
      <c r="F268" s="4">
        <f t="shared" si="39"/>
        <v>0</v>
      </c>
      <c r="G268" s="4">
        <f t="shared" si="40"/>
        <v>0.55655717529215432</v>
      </c>
      <c r="H268" s="4">
        <f t="shared" si="33"/>
        <v>0.17035726210350607</v>
      </c>
      <c r="I268" s="4">
        <f t="shared" si="34"/>
        <v>0</v>
      </c>
      <c r="J268" s="2" t="str">
        <f t="shared" si="35"/>
        <v/>
      </c>
      <c r="K268" s="2" t="str">
        <f t="shared" si="36"/>
        <v/>
      </c>
      <c r="L268" s="2" t="str">
        <f t="shared" si="37"/>
        <v/>
      </c>
    </row>
    <row r="269" spans="1:12">
      <c r="A269" s="2">
        <v>257</v>
      </c>
      <c r="B269" s="4">
        <v>0.54900000000000004</v>
      </c>
      <c r="C269" s="4">
        <f t="shared" si="38"/>
        <v>0.35300000000000004</v>
      </c>
      <c r="D269" s="4">
        <f t="shared" ref="D269:D332" si="41">$G$13</f>
        <v>1.5554284590900538</v>
      </c>
      <c r="E269" s="4">
        <f t="shared" ref="E269:E332" si="42">$G$14</f>
        <v>0.57467378325694207</v>
      </c>
      <c r="F269" s="4">
        <f t="shared" si="39"/>
        <v>0</v>
      </c>
      <c r="G269" s="4">
        <f t="shared" si="40"/>
        <v>0.55655717529215432</v>
      </c>
      <c r="H269" s="4">
        <f t="shared" ref="H269:H332" si="43">$G$17</f>
        <v>0.17035726210350607</v>
      </c>
      <c r="I269" s="4">
        <f t="shared" ref="I269:I332" si="44">$G$18</f>
        <v>0</v>
      </c>
      <c r="J269" s="2" t="str">
        <f t="shared" ref="J269:J332" si="45">IF(OR(B269&gt;D269,B269&lt;F269),"Y","")</f>
        <v/>
      </c>
      <c r="K269" s="2" t="str">
        <f t="shared" ref="K269:K332" si="46">IF(AND(C269&lt;&gt;"",C269&gt;G269),"Y","")</f>
        <v/>
      </c>
      <c r="L269" s="2" t="str">
        <f t="shared" ref="L269:L332" si="47">IF(OR(B269&lt;$B$5,B269&gt;$D$5),"Y","")</f>
        <v/>
      </c>
    </row>
    <row r="270" spans="1:12">
      <c r="A270" s="2">
        <v>258</v>
      </c>
      <c r="B270" s="4">
        <v>0.52100000000000002</v>
      </c>
      <c r="C270" s="4">
        <f t="shared" ref="C270:C333" si="48">ABS(B270-B269)</f>
        <v>2.8000000000000025E-2</v>
      </c>
      <c r="D270" s="4">
        <f t="shared" si="41"/>
        <v>1.5554284590900538</v>
      </c>
      <c r="E270" s="4">
        <f t="shared" si="42"/>
        <v>0.57467378325694207</v>
      </c>
      <c r="F270" s="4">
        <f t="shared" si="39"/>
        <v>0</v>
      </c>
      <c r="G270" s="4">
        <f t="shared" si="40"/>
        <v>0.55655717529215432</v>
      </c>
      <c r="H270" s="4">
        <f t="shared" si="43"/>
        <v>0.17035726210350607</v>
      </c>
      <c r="I270" s="4">
        <f t="shared" si="44"/>
        <v>0</v>
      </c>
      <c r="J270" s="2" t="str">
        <f t="shared" si="45"/>
        <v/>
      </c>
      <c r="K270" s="2" t="str">
        <f t="shared" si="46"/>
        <v/>
      </c>
      <c r="L270" s="2" t="str">
        <f t="shared" si="47"/>
        <v/>
      </c>
    </row>
    <row r="271" spans="1:12">
      <c r="A271" s="2">
        <v>259</v>
      </c>
      <c r="B271" s="4">
        <v>0.221</v>
      </c>
      <c r="C271" s="4">
        <f t="shared" si="48"/>
        <v>0.30000000000000004</v>
      </c>
      <c r="D271" s="4">
        <f t="shared" si="41"/>
        <v>1.5554284590900538</v>
      </c>
      <c r="E271" s="4">
        <f t="shared" si="42"/>
        <v>0.57467378325694207</v>
      </c>
      <c r="F271" s="4">
        <f t="shared" si="39"/>
        <v>0</v>
      </c>
      <c r="G271" s="4">
        <f t="shared" si="40"/>
        <v>0.55655717529215432</v>
      </c>
      <c r="H271" s="4">
        <f t="shared" si="43"/>
        <v>0.17035726210350607</v>
      </c>
      <c r="I271" s="4">
        <f t="shared" si="44"/>
        <v>0</v>
      </c>
      <c r="J271" s="2" t="str">
        <f t="shared" si="45"/>
        <v/>
      </c>
      <c r="K271" s="2" t="str">
        <f t="shared" si="46"/>
        <v/>
      </c>
      <c r="L271" s="2" t="str">
        <f t="shared" si="47"/>
        <v/>
      </c>
    </row>
    <row r="272" spans="1:12">
      <c r="A272" s="2">
        <v>260</v>
      </c>
      <c r="B272" s="4">
        <v>0.34799999999999998</v>
      </c>
      <c r="C272" s="4">
        <f t="shared" si="48"/>
        <v>0.12699999999999997</v>
      </c>
      <c r="D272" s="4">
        <f t="shared" si="41"/>
        <v>1.5554284590900538</v>
      </c>
      <c r="E272" s="4">
        <f t="shared" si="42"/>
        <v>0.57467378325694207</v>
      </c>
      <c r="F272" s="4">
        <f t="shared" ref="F272:F335" si="49">$G$15</f>
        <v>0</v>
      </c>
      <c r="G272" s="4">
        <f t="shared" si="40"/>
        <v>0.55655717529215432</v>
      </c>
      <c r="H272" s="4">
        <f t="shared" si="43"/>
        <v>0.17035726210350607</v>
      </c>
      <c r="I272" s="4">
        <f t="shared" si="44"/>
        <v>0</v>
      </c>
      <c r="J272" s="2" t="str">
        <f t="shared" si="45"/>
        <v/>
      </c>
      <c r="K272" s="2" t="str">
        <f t="shared" si="46"/>
        <v/>
      </c>
      <c r="L272" s="2" t="str">
        <f t="shared" si="47"/>
        <v/>
      </c>
    </row>
    <row r="273" spans="1:12">
      <c r="A273" s="2">
        <v>261</v>
      </c>
      <c r="B273" s="4">
        <v>0.23599999999999999</v>
      </c>
      <c r="C273" s="4">
        <f t="shared" si="48"/>
        <v>0.11199999999999999</v>
      </c>
      <c r="D273" s="4">
        <f t="shared" si="41"/>
        <v>1.5554284590900538</v>
      </c>
      <c r="E273" s="4">
        <f t="shared" si="42"/>
        <v>0.57467378325694207</v>
      </c>
      <c r="F273" s="4">
        <f t="shared" si="49"/>
        <v>0</v>
      </c>
      <c r="G273" s="4">
        <f t="shared" si="40"/>
        <v>0.55655717529215432</v>
      </c>
      <c r="H273" s="4">
        <f t="shared" si="43"/>
        <v>0.17035726210350607</v>
      </c>
      <c r="I273" s="4">
        <f t="shared" si="44"/>
        <v>0</v>
      </c>
      <c r="J273" s="2" t="str">
        <f t="shared" si="45"/>
        <v/>
      </c>
      <c r="K273" s="2" t="str">
        <f t="shared" si="46"/>
        <v/>
      </c>
      <c r="L273" s="2" t="str">
        <f t="shared" si="47"/>
        <v/>
      </c>
    </row>
    <row r="274" spans="1:12">
      <c r="A274" s="2">
        <v>262</v>
      </c>
      <c r="B274" s="4">
        <v>0.32600000000000001</v>
      </c>
      <c r="C274" s="4">
        <f t="shared" si="48"/>
        <v>9.0000000000000024E-2</v>
      </c>
      <c r="D274" s="4">
        <f t="shared" si="41"/>
        <v>1.5554284590900538</v>
      </c>
      <c r="E274" s="4">
        <f t="shared" si="42"/>
        <v>0.57467378325694207</v>
      </c>
      <c r="F274" s="4">
        <f t="shared" si="49"/>
        <v>0</v>
      </c>
      <c r="G274" s="4">
        <f t="shared" si="40"/>
        <v>0.55655717529215432</v>
      </c>
      <c r="H274" s="4">
        <f t="shared" si="43"/>
        <v>0.17035726210350607</v>
      </c>
      <c r="I274" s="4">
        <f t="shared" si="44"/>
        <v>0</v>
      </c>
      <c r="J274" s="2" t="str">
        <f t="shared" si="45"/>
        <v/>
      </c>
      <c r="K274" s="2" t="str">
        <f t="shared" si="46"/>
        <v/>
      </c>
      <c r="L274" s="2" t="str">
        <f t="shared" si="47"/>
        <v/>
      </c>
    </row>
    <row r="275" spans="1:12">
      <c r="A275" s="2">
        <v>263</v>
      </c>
      <c r="B275" s="4">
        <v>0.38700000000000001</v>
      </c>
      <c r="C275" s="4">
        <f t="shared" si="48"/>
        <v>6.0999999999999999E-2</v>
      </c>
      <c r="D275" s="4">
        <f t="shared" si="41"/>
        <v>1.5554284590900538</v>
      </c>
      <c r="E275" s="4">
        <f t="shared" si="42"/>
        <v>0.57467378325694207</v>
      </c>
      <c r="F275" s="4">
        <f t="shared" si="49"/>
        <v>0</v>
      </c>
      <c r="G275" s="4">
        <f t="shared" ref="G275:G338" si="50">$G$16</f>
        <v>0.55655717529215432</v>
      </c>
      <c r="H275" s="4">
        <f t="shared" si="43"/>
        <v>0.17035726210350607</v>
      </c>
      <c r="I275" s="4">
        <f t="shared" si="44"/>
        <v>0</v>
      </c>
      <c r="J275" s="2" t="str">
        <f t="shared" si="45"/>
        <v/>
      </c>
      <c r="K275" s="2" t="str">
        <f t="shared" si="46"/>
        <v/>
      </c>
      <c r="L275" s="2" t="str">
        <f t="shared" si="47"/>
        <v/>
      </c>
    </row>
    <row r="276" spans="1:12">
      <c r="A276" s="2">
        <v>264</v>
      </c>
      <c r="B276" s="4">
        <v>0.42199999999999999</v>
      </c>
      <c r="C276" s="4">
        <f t="shared" si="48"/>
        <v>3.4999999999999976E-2</v>
      </c>
      <c r="D276" s="4">
        <f t="shared" si="41"/>
        <v>1.5554284590900538</v>
      </c>
      <c r="E276" s="4">
        <f t="shared" si="42"/>
        <v>0.57467378325694207</v>
      </c>
      <c r="F276" s="4">
        <f t="shared" si="49"/>
        <v>0</v>
      </c>
      <c r="G276" s="4">
        <f t="shared" si="50"/>
        <v>0.55655717529215432</v>
      </c>
      <c r="H276" s="4">
        <f t="shared" si="43"/>
        <v>0.17035726210350607</v>
      </c>
      <c r="I276" s="4">
        <f t="shared" si="44"/>
        <v>0</v>
      </c>
      <c r="J276" s="2" t="str">
        <f t="shared" si="45"/>
        <v/>
      </c>
      <c r="K276" s="2" t="str">
        <f t="shared" si="46"/>
        <v/>
      </c>
      <c r="L276" s="2" t="str">
        <f t="shared" si="47"/>
        <v/>
      </c>
    </row>
    <row r="277" spans="1:12">
      <c r="A277" s="2">
        <v>265</v>
      </c>
      <c r="B277" s="4">
        <v>0.442</v>
      </c>
      <c r="C277" s="4">
        <f t="shared" si="48"/>
        <v>2.0000000000000018E-2</v>
      </c>
      <c r="D277" s="4">
        <f t="shared" si="41"/>
        <v>1.5554284590900538</v>
      </c>
      <c r="E277" s="4">
        <f t="shared" si="42"/>
        <v>0.57467378325694207</v>
      </c>
      <c r="F277" s="4">
        <f t="shared" si="49"/>
        <v>0</v>
      </c>
      <c r="G277" s="4">
        <f t="shared" si="50"/>
        <v>0.55655717529215432</v>
      </c>
      <c r="H277" s="4">
        <f t="shared" si="43"/>
        <v>0.17035726210350607</v>
      </c>
      <c r="I277" s="4">
        <f t="shared" si="44"/>
        <v>0</v>
      </c>
      <c r="J277" s="2" t="str">
        <f t="shared" si="45"/>
        <v/>
      </c>
      <c r="K277" s="2" t="str">
        <f t="shared" si="46"/>
        <v/>
      </c>
      <c r="L277" s="2" t="str">
        <f t="shared" si="47"/>
        <v/>
      </c>
    </row>
    <row r="278" spans="1:12">
      <c r="A278" s="2">
        <v>266</v>
      </c>
      <c r="B278" s="4">
        <v>0.254</v>
      </c>
      <c r="C278" s="4">
        <f t="shared" si="48"/>
        <v>0.188</v>
      </c>
      <c r="D278" s="4">
        <f t="shared" si="41"/>
        <v>1.5554284590900538</v>
      </c>
      <c r="E278" s="4">
        <f t="shared" si="42"/>
        <v>0.57467378325694207</v>
      </c>
      <c r="F278" s="4">
        <f t="shared" si="49"/>
        <v>0</v>
      </c>
      <c r="G278" s="4">
        <f t="shared" si="50"/>
        <v>0.55655717529215432</v>
      </c>
      <c r="H278" s="4">
        <f t="shared" si="43"/>
        <v>0.17035726210350607</v>
      </c>
      <c r="I278" s="4">
        <f t="shared" si="44"/>
        <v>0</v>
      </c>
      <c r="J278" s="2" t="str">
        <f t="shared" si="45"/>
        <v/>
      </c>
      <c r="K278" s="2" t="str">
        <f t="shared" si="46"/>
        <v/>
      </c>
      <c r="L278" s="2" t="str">
        <f t="shared" si="47"/>
        <v/>
      </c>
    </row>
    <row r="279" spans="1:12">
      <c r="A279" s="2">
        <v>267</v>
      </c>
      <c r="B279" s="4">
        <v>0.27300000000000002</v>
      </c>
      <c r="C279" s="4">
        <f t="shared" si="48"/>
        <v>1.9000000000000017E-2</v>
      </c>
      <c r="D279" s="4">
        <f t="shared" si="41"/>
        <v>1.5554284590900538</v>
      </c>
      <c r="E279" s="4">
        <f t="shared" si="42"/>
        <v>0.57467378325694207</v>
      </c>
      <c r="F279" s="4">
        <f t="shared" si="49"/>
        <v>0</v>
      </c>
      <c r="G279" s="4">
        <f t="shared" si="50"/>
        <v>0.55655717529215432</v>
      </c>
      <c r="H279" s="4">
        <f t="shared" si="43"/>
        <v>0.17035726210350607</v>
      </c>
      <c r="I279" s="4">
        <f t="shared" si="44"/>
        <v>0</v>
      </c>
      <c r="J279" s="2" t="str">
        <f t="shared" si="45"/>
        <v/>
      </c>
      <c r="K279" s="2" t="str">
        <f t="shared" si="46"/>
        <v/>
      </c>
      <c r="L279" s="2" t="str">
        <f t="shared" si="47"/>
        <v/>
      </c>
    </row>
    <row r="280" spans="1:12">
      <c r="A280" s="2">
        <v>268</v>
      </c>
      <c r="B280" s="4">
        <v>0.33100000000000002</v>
      </c>
      <c r="C280" s="4">
        <f t="shared" si="48"/>
        <v>5.7999999999999996E-2</v>
      </c>
      <c r="D280" s="4">
        <f t="shared" si="41"/>
        <v>1.5554284590900538</v>
      </c>
      <c r="E280" s="4">
        <f t="shared" si="42"/>
        <v>0.57467378325694207</v>
      </c>
      <c r="F280" s="4">
        <f t="shared" si="49"/>
        <v>0</v>
      </c>
      <c r="G280" s="4">
        <f t="shared" si="50"/>
        <v>0.55655717529215432</v>
      </c>
      <c r="H280" s="4">
        <f t="shared" si="43"/>
        <v>0.17035726210350607</v>
      </c>
      <c r="I280" s="4">
        <f t="shared" si="44"/>
        <v>0</v>
      </c>
      <c r="J280" s="2" t="str">
        <f t="shared" si="45"/>
        <v/>
      </c>
      <c r="K280" s="2" t="str">
        <f t="shared" si="46"/>
        <v/>
      </c>
      <c r="L280" s="2" t="str">
        <f t="shared" si="47"/>
        <v/>
      </c>
    </row>
    <row r="281" spans="1:12">
      <c r="A281" s="2">
        <v>269</v>
      </c>
      <c r="B281" s="4">
        <v>0.34399999999999997</v>
      </c>
      <c r="C281" s="4">
        <f t="shared" si="48"/>
        <v>1.2999999999999956E-2</v>
      </c>
      <c r="D281" s="4">
        <f t="shared" si="41"/>
        <v>1.5554284590900538</v>
      </c>
      <c r="E281" s="4">
        <f t="shared" si="42"/>
        <v>0.57467378325694207</v>
      </c>
      <c r="F281" s="4">
        <f t="shared" si="49"/>
        <v>0</v>
      </c>
      <c r="G281" s="4">
        <f t="shared" si="50"/>
        <v>0.55655717529215432</v>
      </c>
      <c r="H281" s="4">
        <f t="shared" si="43"/>
        <v>0.17035726210350607</v>
      </c>
      <c r="I281" s="4">
        <f t="shared" si="44"/>
        <v>0</v>
      </c>
      <c r="J281" s="2" t="str">
        <f t="shared" si="45"/>
        <v/>
      </c>
      <c r="K281" s="2" t="str">
        <f t="shared" si="46"/>
        <v/>
      </c>
      <c r="L281" s="2" t="str">
        <f t="shared" si="47"/>
        <v/>
      </c>
    </row>
    <row r="282" spans="1:12">
      <c r="A282" s="2">
        <v>270</v>
      </c>
      <c r="B282" s="4">
        <v>0.16</v>
      </c>
      <c r="C282" s="4">
        <f t="shared" si="48"/>
        <v>0.18399999999999997</v>
      </c>
      <c r="D282" s="4">
        <f t="shared" si="41"/>
        <v>1.5554284590900538</v>
      </c>
      <c r="E282" s="4">
        <f t="shared" si="42"/>
        <v>0.57467378325694207</v>
      </c>
      <c r="F282" s="4">
        <f t="shared" si="49"/>
        <v>0</v>
      </c>
      <c r="G282" s="4">
        <f t="shared" si="50"/>
        <v>0.55655717529215432</v>
      </c>
      <c r="H282" s="4">
        <f t="shared" si="43"/>
        <v>0.17035726210350607</v>
      </c>
      <c r="I282" s="4">
        <f t="shared" si="44"/>
        <v>0</v>
      </c>
      <c r="J282" s="2" t="str">
        <f t="shared" si="45"/>
        <v/>
      </c>
      <c r="K282" s="2" t="str">
        <f t="shared" si="46"/>
        <v/>
      </c>
      <c r="L282" s="2" t="str">
        <f t="shared" si="47"/>
        <v/>
      </c>
    </row>
    <row r="283" spans="1:12">
      <c r="A283" s="2">
        <v>271</v>
      </c>
      <c r="B283" s="4">
        <v>0.42799999999999999</v>
      </c>
      <c r="C283" s="4">
        <f t="shared" si="48"/>
        <v>0.26800000000000002</v>
      </c>
      <c r="D283" s="4">
        <f t="shared" si="41"/>
        <v>1.5554284590900538</v>
      </c>
      <c r="E283" s="4">
        <f t="shared" si="42"/>
        <v>0.57467378325694207</v>
      </c>
      <c r="F283" s="4">
        <f t="shared" si="49"/>
        <v>0</v>
      </c>
      <c r="G283" s="4">
        <f t="shared" si="50"/>
        <v>0.55655717529215432</v>
      </c>
      <c r="H283" s="4">
        <f t="shared" si="43"/>
        <v>0.17035726210350607</v>
      </c>
      <c r="I283" s="4">
        <f t="shared" si="44"/>
        <v>0</v>
      </c>
      <c r="J283" s="2" t="str">
        <f t="shared" si="45"/>
        <v/>
      </c>
      <c r="K283" s="2" t="str">
        <f t="shared" si="46"/>
        <v/>
      </c>
      <c r="L283" s="2" t="str">
        <f t="shared" si="47"/>
        <v/>
      </c>
    </row>
    <row r="284" spans="1:12">
      <c r="A284" s="2">
        <v>272</v>
      </c>
      <c r="B284" s="4">
        <v>0.42099999999999999</v>
      </c>
      <c r="C284" s="4">
        <f t="shared" si="48"/>
        <v>7.0000000000000062E-3</v>
      </c>
      <c r="D284" s="4">
        <f t="shared" si="41"/>
        <v>1.5554284590900538</v>
      </c>
      <c r="E284" s="4">
        <f t="shared" si="42"/>
        <v>0.57467378325694207</v>
      </c>
      <c r="F284" s="4">
        <f t="shared" si="49"/>
        <v>0</v>
      </c>
      <c r="G284" s="4">
        <f t="shared" si="50"/>
        <v>0.55655717529215432</v>
      </c>
      <c r="H284" s="4">
        <f t="shared" si="43"/>
        <v>0.17035726210350607</v>
      </c>
      <c r="I284" s="4">
        <f t="shared" si="44"/>
        <v>0</v>
      </c>
      <c r="J284" s="2" t="str">
        <f t="shared" si="45"/>
        <v/>
      </c>
      <c r="K284" s="2" t="str">
        <f t="shared" si="46"/>
        <v/>
      </c>
      <c r="L284" s="2" t="str">
        <f t="shared" si="47"/>
        <v/>
      </c>
    </row>
    <row r="285" spans="1:12">
      <c r="A285" s="2">
        <v>273</v>
      </c>
      <c r="B285" s="4">
        <v>0.41299999999999998</v>
      </c>
      <c r="C285" s="4">
        <f t="shared" si="48"/>
        <v>8.0000000000000071E-3</v>
      </c>
      <c r="D285" s="4">
        <f t="shared" si="41"/>
        <v>1.5554284590900538</v>
      </c>
      <c r="E285" s="4">
        <f t="shared" si="42"/>
        <v>0.57467378325694207</v>
      </c>
      <c r="F285" s="4">
        <f t="shared" si="49"/>
        <v>0</v>
      </c>
      <c r="G285" s="4">
        <f t="shared" si="50"/>
        <v>0.55655717529215432</v>
      </c>
      <c r="H285" s="4">
        <f t="shared" si="43"/>
        <v>0.17035726210350607</v>
      </c>
      <c r="I285" s="4">
        <f t="shared" si="44"/>
        <v>0</v>
      </c>
      <c r="J285" s="2" t="str">
        <f t="shared" si="45"/>
        <v/>
      </c>
      <c r="K285" s="2" t="str">
        <f t="shared" si="46"/>
        <v/>
      </c>
      <c r="L285" s="2" t="str">
        <f t="shared" si="47"/>
        <v/>
      </c>
    </row>
    <row r="286" spans="1:12">
      <c r="A286" s="2">
        <v>274</v>
      </c>
      <c r="B286" s="4">
        <v>0.41299999999999998</v>
      </c>
      <c r="C286" s="4">
        <f t="shared" si="48"/>
        <v>0</v>
      </c>
      <c r="D286" s="4">
        <f t="shared" si="41"/>
        <v>1.5554284590900538</v>
      </c>
      <c r="E286" s="4">
        <f t="shared" si="42"/>
        <v>0.57467378325694207</v>
      </c>
      <c r="F286" s="4">
        <f t="shared" si="49"/>
        <v>0</v>
      </c>
      <c r="G286" s="4">
        <f t="shared" si="50"/>
        <v>0.55655717529215432</v>
      </c>
      <c r="H286" s="4">
        <f t="shared" si="43"/>
        <v>0.17035726210350607</v>
      </c>
      <c r="I286" s="4">
        <f t="shared" si="44"/>
        <v>0</v>
      </c>
      <c r="J286" s="2" t="str">
        <f t="shared" si="45"/>
        <v/>
      </c>
      <c r="K286" s="2" t="str">
        <f t="shared" si="46"/>
        <v/>
      </c>
      <c r="L286" s="2" t="str">
        <f t="shared" si="47"/>
        <v/>
      </c>
    </row>
    <row r="287" spans="1:12">
      <c r="A287" s="2">
        <v>275</v>
      </c>
      <c r="B287" s="4">
        <v>0.31</v>
      </c>
      <c r="C287" s="4">
        <f t="shared" si="48"/>
        <v>0.10299999999999998</v>
      </c>
      <c r="D287" s="4">
        <f t="shared" si="41"/>
        <v>1.5554284590900538</v>
      </c>
      <c r="E287" s="4">
        <f t="shared" si="42"/>
        <v>0.57467378325694207</v>
      </c>
      <c r="F287" s="4">
        <f t="shared" si="49"/>
        <v>0</v>
      </c>
      <c r="G287" s="4">
        <f t="shared" si="50"/>
        <v>0.55655717529215432</v>
      </c>
      <c r="H287" s="4">
        <f t="shared" si="43"/>
        <v>0.17035726210350607</v>
      </c>
      <c r="I287" s="4">
        <f t="shared" si="44"/>
        <v>0</v>
      </c>
      <c r="J287" s="2" t="str">
        <f t="shared" si="45"/>
        <v/>
      </c>
      <c r="K287" s="2" t="str">
        <f t="shared" si="46"/>
        <v/>
      </c>
      <c r="L287" s="2" t="str">
        <f t="shared" si="47"/>
        <v/>
      </c>
    </row>
    <row r="288" spans="1:12">
      <c r="A288" s="2">
        <v>276</v>
      </c>
      <c r="B288" s="4">
        <v>0.36099999999999999</v>
      </c>
      <c r="C288" s="4">
        <f t="shared" si="48"/>
        <v>5.099999999999999E-2</v>
      </c>
      <c r="D288" s="4">
        <f t="shared" si="41"/>
        <v>1.5554284590900538</v>
      </c>
      <c r="E288" s="4">
        <f t="shared" si="42"/>
        <v>0.57467378325694207</v>
      </c>
      <c r="F288" s="4">
        <f t="shared" si="49"/>
        <v>0</v>
      </c>
      <c r="G288" s="4">
        <f t="shared" si="50"/>
        <v>0.55655717529215432</v>
      </c>
      <c r="H288" s="4">
        <f t="shared" si="43"/>
        <v>0.17035726210350607</v>
      </c>
      <c r="I288" s="4">
        <f t="shared" si="44"/>
        <v>0</v>
      </c>
      <c r="J288" s="2" t="str">
        <f t="shared" si="45"/>
        <v/>
      </c>
      <c r="K288" s="2" t="str">
        <f t="shared" si="46"/>
        <v/>
      </c>
      <c r="L288" s="2" t="str">
        <f t="shared" si="47"/>
        <v/>
      </c>
    </row>
    <row r="289" spans="1:12">
      <c r="A289" s="2">
        <v>277</v>
      </c>
      <c r="B289" s="4">
        <v>0.39600000000000002</v>
      </c>
      <c r="C289" s="4">
        <f t="shared" si="48"/>
        <v>3.5000000000000031E-2</v>
      </c>
      <c r="D289" s="4">
        <f t="shared" si="41"/>
        <v>1.5554284590900538</v>
      </c>
      <c r="E289" s="4">
        <f t="shared" si="42"/>
        <v>0.57467378325694207</v>
      </c>
      <c r="F289" s="4">
        <f t="shared" si="49"/>
        <v>0</v>
      </c>
      <c r="G289" s="4">
        <f t="shared" si="50"/>
        <v>0.55655717529215432</v>
      </c>
      <c r="H289" s="4">
        <f t="shared" si="43"/>
        <v>0.17035726210350607</v>
      </c>
      <c r="I289" s="4">
        <f t="shared" si="44"/>
        <v>0</v>
      </c>
      <c r="J289" s="2" t="str">
        <f t="shared" si="45"/>
        <v/>
      </c>
      <c r="K289" s="2" t="str">
        <f t="shared" si="46"/>
        <v/>
      </c>
      <c r="L289" s="2" t="str">
        <f t="shared" si="47"/>
        <v/>
      </c>
    </row>
    <row r="290" spans="1:12">
      <c r="A290" s="2">
        <v>278</v>
      </c>
      <c r="B290" s="4">
        <v>0.23699999999999999</v>
      </c>
      <c r="C290" s="4">
        <f t="shared" si="48"/>
        <v>0.15900000000000003</v>
      </c>
      <c r="D290" s="4">
        <f t="shared" si="41"/>
        <v>1.5554284590900538</v>
      </c>
      <c r="E290" s="4">
        <f t="shared" si="42"/>
        <v>0.57467378325694207</v>
      </c>
      <c r="F290" s="4">
        <f t="shared" si="49"/>
        <v>0</v>
      </c>
      <c r="G290" s="4">
        <f t="shared" si="50"/>
        <v>0.55655717529215432</v>
      </c>
      <c r="H290" s="4">
        <f t="shared" si="43"/>
        <v>0.17035726210350607</v>
      </c>
      <c r="I290" s="4">
        <f t="shared" si="44"/>
        <v>0</v>
      </c>
      <c r="J290" s="2" t="str">
        <f t="shared" si="45"/>
        <v/>
      </c>
      <c r="K290" s="2" t="str">
        <f t="shared" si="46"/>
        <v/>
      </c>
      <c r="L290" s="2" t="str">
        <f t="shared" si="47"/>
        <v/>
      </c>
    </row>
    <row r="291" spans="1:12">
      <c r="A291" s="2">
        <v>279</v>
      </c>
      <c r="B291" s="4">
        <v>0.29799999999999999</v>
      </c>
      <c r="C291" s="4">
        <f t="shared" si="48"/>
        <v>6.0999999999999999E-2</v>
      </c>
      <c r="D291" s="4">
        <f t="shared" si="41"/>
        <v>1.5554284590900538</v>
      </c>
      <c r="E291" s="4">
        <f t="shared" si="42"/>
        <v>0.57467378325694207</v>
      </c>
      <c r="F291" s="4">
        <f t="shared" si="49"/>
        <v>0</v>
      </c>
      <c r="G291" s="4">
        <f t="shared" si="50"/>
        <v>0.55655717529215432</v>
      </c>
      <c r="H291" s="4">
        <f t="shared" si="43"/>
        <v>0.17035726210350607</v>
      </c>
      <c r="I291" s="4">
        <f t="shared" si="44"/>
        <v>0</v>
      </c>
      <c r="J291" s="2" t="str">
        <f t="shared" si="45"/>
        <v/>
      </c>
      <c r="K291" s="2" t="str">
        <f t="shared" si="46"/>
        <v/>
      </c>
      <c r="L291" s="2" t="str">
        <f t="shared" si="47"/>
        <v/>
      </c>
    </row>
    <row r="292" spans="1:12">
      <c r="A292" s="2">
        <v>280</v>
      </c>
      <c r="B292" s="4">
        <v>0.372</v>
      </c>
      <c r="C292" s="4">
        <f t="shared" si="48"/>
        <v>7.400000000000001E-2</v>
      </c>
      <c r="D292" s="4">
        <f t="shared" si="41"/>
        <v>1.5554284590900538</v>
      </c>
      <c r="E292" s="4">
        <f t="shared" si="42"/>
        <v>0.57467378325694207</v>
      </c>
      <c r="F292" s="4">
        <f t="shared" si="49"/>
        <v>0</v>
      </c>
      <c r="G292" s="4">
        <f t="shared" si="50"/>
        <v>0.55655717529215432</v>
      </c>
      <c r="H292" s="4">
        <f t="shared" si="43"/>
        <v>0.17035726210350607</v>
      </c>
      <c r="I292" s="4">
        <f t="shared" si="44"/>
        <v>0</v>
      </c>
      <c r="J292" s="2" t="str">
        <f t="shared" si="45"/>
        <v/>
      </c>
      <c r="K292" s="2" t="str">
        <f t="shared" si="46"/>
        <v/>
      </c>
      <c r="L292" s="2" t="str">
        <f t="shared" si="47"/>
        <v/>
      </c>
    </row>
    <row r="293" spans="1:12">
      <c r="A293" s="2">
        <v>281</v>
      </c>
      <c r="B293" s="4">
        <v>0.26800000000000002</v>
      </c>
      <c r="C293" s="4">
        <f t="shared" si="48"/>
        <v>0.10399999999999998</v>
      </c>
      <c r="D293" s="4">
        <f t="shared" si="41"/>
        <v>1.5554284590900538</v>
      </c>
      <c r="E293" s="4">
        <f t="shared" si="42"/>
        <v>0.57467378325694207</v>
      </c>
      <c r="F293" s="4">
        <f t="shared" si="49"/>
        <v>0</v>
      </c>
      <c r="G293" s="4">
        <f t="shared" si="50"/>
        <v>0.55655717529215432</v>
      </c>
      <c r="H293" s="4">
        <f t="shared" si="43"/>
        <v>0.17035726210350607</v>
      </c>
      <c r="I293" s="4">
        <f t="shared" si="44"/>
        <v>0</v>
      </c>
      <c r="J293" s="2" t="str">
        <f t="shared" si="45"/>
        <v/>
      </c>
      <c r="K293" s="2" t="str">
        <f t="shared" si="46"/>
        <v/>
      </c>
      <c r="L293" s="2" t="str">
        <f t="shared" si="47"/>
        <v/>
      </c>
    </row>
    <row r="294" spans="1:12">
      <c r="A294" s="2">
        <v>282</v>
      </c>
      <c r="B294" s="4">
        <v>0.27400000000000002</v>
      </c>
      <c r="C294" s="4">
        <f t="shared" si="48"/>
        <v>6.0000000000000053E-3</v>
      </c>
      <c r="D294" s="4">
        <f t="shared" si="41"/>
        <v>1.5554284590900538</v>
      </c>
      <c r="E294" s="4">
        <f t="shared" si="42"/>
        <v>0.57467378325694207</v>
      </c>
      <c r="F294" s="4">
        <f t="shared" si="49"/>
        <v>0</v>
      </c>
      <c r="G294" s="4">
        <f t="shared" si="50"/>
        <v>0.55655717529215432</v>
      </c>
      <c r="H294" s="4">
        <f t="shared" si="43"/>
        <v>0.17035726210350607</v>
      </c>
      <c r="I294" s="4">
        <f t="shared" si="44"/>
        <v>0</v>
      </c>
      <c r="J294" s="2" t="str">
        <f t="shared" si="45"/>
        <v/>
      </c>
      <c r="K294" s="2" t="str">
        <f t="shared" si="46"/>
        <v/>
      </c>
      <c r="L294" s="2" t="str">
        <f t="shared" si="47"/>
        <v/>
      </c>
    </row>
    <row r="295" spans="1:12">
      <c r="A295" s="2">
        <v>283</v>
      </c>
      <c r="B295" s="4">
        <v>0.42499999999999999</v>
      </c>
      <c r="C295" s="4">
        <f t="shared" si="48"/>
        <v>0.15099999999999997</v>
      </c>
      <c r="D295" s="4">
        <f t="shared" si="41"/>
        <v>1.5554284590900538</v>
      </c>
      <c r="E295" s="4">
        <f t="shared" si="42"/>
        <v>0.57467378325694207</v>
      </c>
      <c r="F295" s="4">
        <f t="shared" si="49"/>
        <v>0</v>
      </c>
      <c r="G295" s="4">
        <f t="shared" si="50"/>
        <v>0.55655717529215432</v>
      </c>
      <c r="H295" s="4">
        <f t="shared" si="43"/>
        <v>0.17035726210350607</v>
      </c>
      <c r="I295" s="4">
        <f t="shared" si="44"/>
        <v>0</v>
      </c>
      <c r="J295" s="2" t="str">
        <f t="shared" si="45"/>
        <v/>
      </c>
      <c r="K295" s="2" t="str">
        <f t="shared" si="46"/>
        <v/>
      </c>
      <c r="L295" s="2" t="str">
        <f t="shared" si="47"/>
        <v/>
      </c>
    </row>
    <row r="296" spans="1:12">
      <c r="A296" s="2">
        <v>284</v>
      </c>
      <c r="B296" s="4">
        <v>0.56499999999999995</v>
      </c>
      <c r="C296" s="4">
        <f t="shared" si="48"/>
        <v>0.13999999999999996</v>
      </c>
      <c r="D296" s="4">
        <f t="shared" si="41"/>
        <v>1.5554284590900538</v>
      </c>
      <c r="E296" s="4">
        <f t="shared" si="42"/>
        <v>0.57467378325694207</v>
      </c>
      <c r="F296" s="4">
        <f t="shared" si="49"/>
        <v>0</v>
      </c>
      <c r="G296" s="4">
        <f t="shared" si="50"/>
        <v>0.55655717529215432</v>
      </c>
      <c r="H296" s="4">
        <f t="shared" si="43"/>
        <v>0.17035726210350607</v>
      </c>
      <c r="I296" s="4">
        <f t="shared" si="44"/>
        <v>0</v>
      </c>
      <c r="J296" s="2" t="str">
        <f t="shared" si="45"/>
        <v/>
      </c>
      <c r="K296" s="2" t="str">
        <f t="shared" si="46"/>
        <v/>
      </c>
      <c r="L296" s="2" t="str">
        <f t="shared" si="47"/>
        <v/>
      </c>
    </row>
    <row r="297" spans="1:12">
      <c r="A297" s="2">
        <v>285</v>
      </c>
      <c r="B297" s="4">
        <v>0.78</v>
      </c>
      <c r="C297" s="4">
        <f t="shared" si="48"/>
        <v>0.21500000000000008</v>
      </c>
      <c r="D297" s="4">
        <f t="shared" si="41"/>
        <v>1.5554284590900538</v>
      </c>
      <c r="E297" s="4">
        <f t="shared" si="42"/>
        <v>0.57467378325694207</v>
      </c>
      <c r="F297" s="4">
        <f t="shared" si="49"/>
        <v>0</v>
      </c>
      <c r="G297" s="4">
        <f t="shared" si="50"/>
        <v>0.55655717529215432</v>
      </c>
      <c r="H297" s="4">
        <f t="shared" si="43"/>
        <v>0.17035726210350607</v>
      </c>
      <c r="I297" s="4">
        <f t="shared" si="44"/>
        <v>0</v>
      </c>
      <c r="J297" s="2" t="str">
        <f t="shared" si="45"/>
        <v/>
      </c>
      <c r="K297" s="2" t="str">
        <f t="shared" si="46"/>
        <v/>
      </c>
      <c r="L297" s="2" t="str">
        <f t="shared" si="47"/>
        <v/>
      </c>
    </row>
    <row r="298" spans="1:12">
      <c r="A298" s="2">
        <v>286</v>
      </c>
      <c r="B298" s="4">
        <v>0.108</v>
      </c>
      <c r="C298" s="4">
        <f t="shared" si="48"/>
        <v>0.67200000000000004</v>
      </c>
      <c r="D298" s="4">
        <f t="shared" si="41"/>
        <v>1.5554284590900538</v>
      </c>
      <c r="E298" s="4">
        <f t="shared" si="42"/>
        <v>0.57467378325694207</v>
      </c>
      <c r="F298" s="4">
        <f t="shared" si="49"/>
        <v>0</v>
      </c>
      <c r="G298" s="4">
        <f t="shared" si="50"/>
        <v>0.55655717529215432</v>
      </c>
      <c r="H298" s="4">
        <f t="shared" si="43"/>
        <v>0.17035726210350607</v>
      </c>
      <c r="I298" s="4">
        <f t="shared" si="44"/>
        <v>0</v>
      </c>
      <c r="J298" s="2" t="str">
        <f t="shared" si="45"/>
        <v/>
      </c>
      <c r="K298" s="2" t="str">
        <f t="shared" si="46"/>
        <v>Y</v>
      </c>
      <c r="L298" s="2" t="str">
        <f t="shared" si="47"/>
        <v/>
      </c>
    </row>
    <row r="299" spans="1:12">
      <c r="A299" s="2">
        <v>287</v>
      </c>
      <c r="B299" s="4">
        <v>0.64700000000000002</v>
      </c>
      <c r="C299" s="4">
        <f t="shared" si="48"/>
        <v>0.53900000000000003</v>
      </c>
      <c r="D299" s="4">
        <f t="shared" si="41"/>
        <v>1.5554284590900538</v>
      </c>
      <c r="E299" s="4">
        <f t="shared" si="42"/>
        <v>0.57467378325694207</v>
      </c>
      <c r="F299" s="4">
        <f t="shared" si="49"/>
        <v>0</v>
      </c>
      <c r="G299" s="4">
        <f t="shared" si="50"/>
        <v>0.55655717529215432</v>
      </c>
      <c r="H299" s="4">
        <f t="shared" si="43"/>
        <v>0.17035726210350607</v>
      </c>
      <c r="I299" s="4">
        <f t="shared" si="44"/>
        <v>0</v>
      </c>
      <c r="J299" s="2" t="str">
        <f t="shared" si="45"/>
        <v/>
      </c>
      <c r="K299" s="2" t="str">
        <f t="shared" si="46"/>
        <v/>
      </c>
      <c r="L299" s="2" t="str">
        <f t="shared" si="47"/>
        <v/>
      </c>
    </row>
    <row r="300" spans="1:12">
      <c r="A300" s="2">
        <v>288</v>
      </c>
      <c r="B300" s="4">
        <v>0.27300000000000002</v>
      </c>
      <c r="C300" s="4">
        <f t="shared" si="48"/>
        <v>0.374</v>
      </c>
      <c r="D300" s="4">
        <f t="shared" si="41"/>
        <v>1.5554284590900538</v>
      </c>
      <c r="E300" s="4">
        <f t="shared" si="42"/>
        <v>0.57467378325694207</v>
      </c>
      <c r="F300" s="4">
        <f t="shared" si="49"/>
        <v>0</v>
      </c>
      <c r="G300" s="4">
        <f t="shared" si="50"/>
        <v>0.55655717529215432</v>
      </c>
      <c r="H300" s="4">
        <f t="shared" si="43"/>
        <v>0.17035726210350607</v>
      </c>
      <c r="I300" s="4">
        <f t="shared" si="44"/>
        <v>0</v>
      </c>
      <c r="J300" s="2" t="str">
        <f t="shared" si="45"/>
        <v/>
      </c>
      <c r="K300" s="2" t="str">
        <f t="shared" si="46"/>
        <v/>
      </c>
      <c r="L300" s="2" t="str">
        <f t="shared" si="47"/>
        <v/>
      </c>
    </row>
    <row r="301" spans="1:12">
      <c r="A301" s="2">
        <v>289</v>
      </c>
      <c r="B301" s="4">
        <v>0.80900000000000005</v>
      </c>
      <c r="C301" s="4">
        <f t="shared" si="48"/>
        <v>0.53600000000000003</v>
      </c>
      <c r="D301" s="4">
        <f t="shared" si="41"/>
        <v>1.5554284590900538</v>
      </c>
      <c r="E301" s="4">
        <f t="shared" si="42"/>
        <v>0.57467378325694207</v>
      </c>
      <c r="F301" s="4">
        <f t="shared" si="49"/>
        <v>0</v>
      </c>
      <c r="G301" s="4">
        <f t="shared" si="50"/>
        <v>0.55655717529215432</v>
      </c>
      <c r="H301" s="4">
        <f t="shared" si="43"/>
        <v>0.17035726210350607</v>
      </c>
      <c r="I301" s="4">
        <f t="shared" si="44"/>
        <v>0</v>
      </c>
      <c r="J301" s="2" t="str">
        <f t="shared" si="45"/>
        <v/>
      </c>
      <c r="K301" s="2" t="str">
        <f t="shared" si="46"/>
        <v/>
      </c>
      <c r="L301" s="2" t="str">
        <f t="shared" si="47"/>
        <v/>
      </c>
    </row>
    <row r="302" spans="1:12">
      <c r="A302" s="2">
        <v>290</v>
      </c>
      <c r="B302" s="4">
        <v>0.161</v>
      </c>
      <c r="C302" s="4">
        <f t="shared" si="48"/>
        <v>0.64800000000000002</v>
      </c>
      <c r="D302" s="4">
        <f t="shared" si="41"/>
        <v>1.5554284590900538</v>
      </c>
      <c r="E302" s="4">
        <f t="shared" si="42"/>
        <v>0.57467378325694207</v>
      </c>
      <c r="F302" s="4">
        <f t="shared" si="49"/>
        <v>0</v>
      </c>
      <c r="G302" s="4">
        <f t="shared" si="50"/>
        <v>0.55655717529215432</v>
      </c>
      <c r="H302" s="4">
        <f t="shared" si="43"/>
        <v>0.17035726210350607</v>
      </c>
      <c r="I302" s="4">
        <f t="shared" si="44"/>
        <v>0</v>
      </c>
      <c r="J302" s="2" t="str">
        <f t="shared" si="45"/>
        <v/>
      </c>
      <c r="K302" s="2" t="str">
        <f t="shared" si="46"/>
        <v>Y</v>
      </c>
      <c r="L302" s="2" t="str">
        <f t="shared" si="47"/>
        <v/>
      </c>
    </row>
    <row r="303" spans="1:12">
      <c r="A303" s="2">
        <v>291</v>
      </c>
      <c r="B303" s="4">
        <v>0.435</v>
      </c>
      <c r="C303" s="4">
        <f t="shared" si="48"/>
        <v>0.27400000000000002</v>
      </c>
      <c r="D303" s="4">
        <f t="shared" si="41"/>
        <v>1.5554284590900538</v>
      </c>
      <c r="E303" s="4">
        <f t="shared" si="42"/>
        <v>0.57467378325694207</v>
      </c>
      <c r="F303" s="4">
        <f t="shared" si="49"/>
        <v>0</v>
      </c>
      <c r="G303" s="4">
        <f t="shared" si="50"/>
        <v>0.55655717529215432</v>
      </c>
      <c r="H303" s="4">
        <f t="shared" si="43"/>
        <v>0.17035726210350607</v>
      </c>
      <c r="I303" s="4">
        <f t="shared" si="44"/>
        <v>0</v>
      </c>
      <c r="J303" s="2" t="str">
        <f t="shared" si="45"/>
        <v/>
      </c>
      <c r="K303" s="2" t="str">
        <f t="shared" si="46"/>
        <v/>
      </c>
      <c r="L303" s="2" t="str">
        <f t="shared" si="47"/>
        <v/>
      </c>
    </row>
    <row r="304" spans="1:12">
      <c r="A304" s="2">
        <v>292</v>
      </c>
      <c r="B304" s="4">
        <v>0.254</v>
      </c>
      <c r="C304" s="4">
        <f t="shared" si="48"/>
        <v>0.18099999999999999</v>
      </c>
      <c r="D304" s="4">
        <f t="shared" si="41"/>
        <v>1.5554284590900538</v>
      </c>
      <c r="E304" s="4">
        <f t="shared" si="42"/>
        <v>0.57467378325694207</v>
      </c>
      <c r="F304" s="4">
        <f t="shared" si="49"/>
        <v>0</v>
      </c>
      <c r="G304" s="4">
        <f t="shared" si="50"/>
        <v>0.55655717529215432</v>
      </c>
      <c r="H304" s="4">
        <f t="shared" si="43"/>
        <v>0.17035726210350607</v>
      </c>
      <c r="I304" s="4">
        <f t="shared" si="44"/>
        <v>0</v>
      </c>
      <c r="J304" s="2" t="str">
        <f t="shared" si="45"/>
        <v/>
      </c>
      <c r="K304" s="2" t="str">
        <f t="shared" si="46"/>
        <v/>
      </c>
      <c r="L304" s="2" t="str">
        <f t="shared" si="47"/>
        <v/>
      </c>
    </row>
    <row r="305" spans="1:12">
      <c r="A305" s="2">
        <v>293</v>
      </c>
      <c r="B305" s="4">
        <v>0.22500000000000001</v>
      </c>
      <c r="C305" s="4">
        <f t="shared" si="48"/>
        <v>2.8999999999999998E-2</v>
      </c>
      <c r="D305" s="4">
        <f t="shared" si="41"/>
        <v>1.5554284590900538</v>
      </c>
      <c r="E305" s="4">
        <f t="shared" si="42"/>
        <v>0.57467378325694207</v>
      </c>
      <c r="F305" s="4">
        <f t="shared" si="49"/>
        <v>0</v>
      </c>
      <c r="G305" s="4">
        <f t="shared" si="50"/>
        <v>0.55655717529215432</v>
      </c>
      <c r="H305" s="4">
        <f t="shared" si="43"/>
        <v>0.17035726210350607</v>
      </c>
      <c r="I305" s="4">
        <f t="shared" si="44"/>
        <v>0</v>
      </c>
      <c r="J305" s="2" t="str">
        <f t="shared" si="45"/>
        <v/>
      </c>
      <c r="K305" s="2" t="str">
        <f t="shared" si="46"/>
        <v/>
      </c>
      <c r="L305" s="2" t="str">
        <f t="shared" si="47"/>
        <v/>
      </c>
    </row>
    <row r="306" spans="1:12">
      <c r="A306" s="2">
        <v>294</v>
      </c>
      <c r="B306" s="4">
        <v>0.247</v>
      </c>
      <c r="C306" s="4">
        <f t="shared" si="48"/>
        <v>2.1999999999999992E-2</v>
      </c>
      <c r="D306" s="4">
        <f t="shared" si="41"/>
        <v>1.5554284590900538</v>
      </c>
      <c r="E306" s="4">
        <f t="shared" si="42"/>
        <v>0.57467378325694207</v>
      </c>
      <c r="F306" s="4">
        <f t="shared" si="49"/>
        <v>0</v>
      </c>
      <c r="G306" s="4">
        <f t="shared" si="50"/>
        <v>0.55655717529215432</v>
      </c>
      <c r="H306" s="4">
        <f t="shared" si="43"/>
        <v>0.17035726210350607</v>
      </c>
      <c r="I306" s="4">
        <f t="shared" si="44"/>
        <v>0</v>
      </c>
      <c r="J306" s="2" t="str">
        <f t="shared" si="45"/>
        <v/>
      </c>
      <c r="K306" s="2" t="str">
        <f t="shared" si="46"/>
        <v/>
      </c>
      <c r="L306" s="2" t="str">
        <f t="shared" si="47"/>
        <v/>
      </c>
    </row>
    <row r="307" spans="1:12">
      <c r="A307" s="2">
        <v>295</v>
      </c>
      <c r="B307" s="4">
        <v>0.753</v>
      </c>
      <c r="C307" s="4">
        <f t="shared" si="48"/>
        <v>0.50600000000000001</v>
      </c>
      <c r="D307" s="4">
        <f t="shared" si="41"/>
        <v>1.5554284590900538</v>
      </c>
      <c r="E307" s="4">
        <f t="shared" si="42"/>
        <v>0.57467378325694207</v>
      </c>
      <c r="F307" s="4">
        <f t="shared" si="49"/>
        <v>0</v>
      </c>
      <c r="G307" s="4">
        <f t="shared" si="50"/>
        <v>0.55655717529215432</v>
      </c>
      <c r="H307" s="4">
        <f t="shared" si="43"/>
        <v>0.17035726210350607</v>
      </c>
      <c r="I307" s="4">
        <f t="shared" si="44"/>
        <v>0</v>
      </c>
      <c r="J307" s="2" t="str">
        <f t="shared" si="45"/>
        <v/>
      </c>
      <c r="K307" s="2" t="str">
        <f t="shared" si="46"/>
        <v/>
      </c>
      <c r="L307" s="2" t="str">
        <f t="shared" si="47"/>
        <v/>
      </c>
    </row>
    <row r="308" spans="1:12">
      <c r="A308" s="2">
        <v>296</v>
      </c>
      <c r="B308" s="4">
        <v>1.5289999999999999</v>
      </c>
      <c r="C308" s="4">
        <f t="shared" si="48"/>
        <v>0.77599999999999991</v>
      </c>
      <c r="D308" s="4">
        <f t="shared" si="41"/>
        <v>1.5554284590900538</v>
      </c>
      <c r="E308" s="4">
        <f t="shared" si="42"/>
        <v>0.57467378325694207</v>
      </c>
      <c r="F308" s="4">
        <f t="shared" si="49"/>
        <v>0</v>
      </c>
      <c r="G308" s="4">
        <f t="shared" si="50"/>
        <v>0.55655717529215432</v>
      </c>
      <c r="H308" s="4">
        <f t="shared" si="43"/>
        <v>0.17035726210350607</v>
      </c>
      <c r="I308" s="4">
        <f t="shared" si="44"/>
        <v>0</v>
      </c>
      <c r="J308" s="2" t="str">
        <f t="shared" si="45"/>
        <v/>
      </c>
      <c r="K308" s="2" t="str">
        <f t="shared" si="46"/>
        <v>Y</v>
      </c>
      <c r="L308" s="2" t="str">
        <f t="shared" si="47"/>
        <v/>
      </c>
    </row>
    <row r="309" spans="1:12">
      <c r="A309" s="2">
        <v>297</v>
      </c>
      <c r="B309" s="4">
        <v>0.38600000000000001</v>
      </c>
      <c r="C309" s="4">
        <f t="shared" si="48"/>
        <v>1.1429999999999998</v>
      </c>
      <c r="D309" s="4">
        <f t="shared" si="41"/>
        <v>1.5554284590900538</v>
      </c>
      <c r="E309" s="4">
        <f t="shared" si="42"/>
        <v>0.57467378325694207</v>
      </c>
      <c r="F309" s="4">
        <f t="shared" si="49"/>
        <v>0</v>
      </c>
      <c r="G309" s="4">
        <f t="shared" si="50"/>
        <v>0.55655717529215432</v>
      </c>
      <c r="H309" s="4">
        <f t="shared" si="43"/>
        <v>0.17035726210350607</v>
      </c>
      <c r="I309" s="4">
        <f t="shared" si="44"/>
        <v>0</v>
      </c>
      <c r="J309" s="2" t="str">
        <f t="shared" si="45"/>
        <v/>
      </c>
      <c r="K309" s="2" t="str">
        <f t="shared" si="46"/>
        <v>Y</v>
      </c>
      <c r="L309" s="2" t="str">
        <f t="shared" si="47"/>
        <v/>
      </c>
    </row>
    <row r="310" spans="1:12">
      <c r="A310" s="2">
        <v>298</v>
      </c>
      <c r="B310" s="4">
        <v>0.432</v>
      </c>
      <c r="C310" s="4">
        <f t="shared" si="48"/>
        <v>4.5999999999999985E-2</v>
      </c>
      <c r="D310" s="4">
        <f t="shared" si="41"/>
        <v>1.5554284590900538</v>
      </c>
      <c r="E310" s="4">
        <f t="shared" si="42"/>
        <v>0.57467378325694207</v>
      </c>
      <c r="F310" s="4">
        <f t="shared" si="49"/>
        <v>0</v>
      </c>
      <c r="G310" s="4">
        <f t="shared" si="50"/>
        <v>0.55655717529215432</v>
      </c>
      <c r="H310" s="4">
        <f t="shared" si="43"/>
        <v>0.17035726210350607</v>
      </c>
      <c r="I310" s="4">
        <f t="shared" si="44"/>
        <v>0</v>
      </c>
      <c r="J310" s="2" t="str">
        <f t="shared" si="45"/>
        <v/>
      </c>
      <c r="K310" s="2" t="str">
        <f t="shared" si="46"/>
        <v/>
      </c>
      <c r="L310" s="2" t="str">
        <f t="shared" si="47"/>
        <v/>
      </c>
    </row>
    <row r="311" spans="1:12">
      <c r="A311" s="2">
        <v>299</v>
      </c>
      <c r="B311" s="4">
        <v>0.73299999999999998</v>
      </c>
      <c r="C311" s="4">
        <f t="shared" si="48"/>
        <v>0.30099999999999999</v>
      </c>
      <c r="D311" s="4">
        <f t="shared" si="41"/>
        <v>1.5554284590900538</v>
      </c>
      <c r="E311" s="4">
        <f t="shared" si="42"/>
        <v>0.57467378325694207</v>
      </c>
      <c r="F311" s="4">
        <f t="shared" si="49"/>
        <v>0</v>
      </c>
      <c r="G311" s="4">
        <f t="shared" si="50"/>
        <v>0.55655717529215432</v>
      </c>
      <c r="H311" s="4">
        <f t="shared" si="43"/>
        <v>0.17035726210350607</v>
      </c>
      <c r="I311" s="4">
        <f t="shared" si="44"/>
        <v>0</v>
      </c>
      <c r="J311" s="2" t="str">
        <f t="shared" si="45"/>
        <v/>
      </c>
      <c r="K311" s="2" t="str">
        <f t="shared" si="46"/>
        <v/>
      </c>
      <c r="L311" s="2" t="str">
        <f t="shared" si="47"/>
        <v/>
      </c>
    </row>
    <row r="312" spans="1:12">
      <c r="A312" s="2">
        <v>300</v>
      </c>
      <c r="B312" s="4">
        <v>0.51500000000000001</v>
      </c>
      <c r="C312" s="4">
        <f t="shared" si="48"/>
        <v>0.21799999999999997</v>
      </c>
      <c r="D312" s="4">
        <f t="shared" si="41"/>
        <v>1.5554284590900538</v>
      </c>
      <c r="E312" s="4">
        <f t="shared" si="42"/>
        <v>0.57467378325694207</v>
      </c>
      <c r="F312" s="4">
        <f t="shared" si="49"/>
        <v>0</v>
      </c>
      <c r="G312" s="4">
        <f t="shared" si="50"/>
        <v>0.55655717529215432</v>
      </c>
      <c r="H312" s="4">
        <f t="shared" si="43"/>
        <v>0.17035726210350607</v>
      </c>
      <c r="I312" s="4">
        <f t="shared" si="44"/>
        <v>0</v>
      </c>
      <c r="J312" s="2" t="str">
        <f t="shared" si="45"/>
        <v/>
      </c>
      <c r="K312" s="2" t="str">
        <f t="shared" si="46"/>
        <v/>
      </c>
      <c r="L312" s="2" t="str">
        <f t="shared" si="47"/>
        <v/>
      </c>
    </row>
    <row r="313" spans="1:12">
      <c r="A313" s="2">
        <v>301</v>
      </c>
      <c r="B313" s="4">
        <v>9.9000000000000005E-2</v>
      </c>
      <c r="C313" s="4">
        <f t="shared" si="48"/>
        <v>0.41600000000000004</v>
      </c>
      <c r="D313" s="4">
        <f t="shared" si="41"/>
        <v>1.5554284590900538</v>
      </c>
      <c r="E313" s="4">
        <f t="shared" si="42"/>
        <v>0.57467378325694207</v>
      </c>
      <c r="F313" s="4">
        <f t="shared" si="49"/>
        <v>0</v>
      </c>
      <c r="G313" s="4">
        <f t="shared" si="50"/>
        <v>0.55655717529215432</v>
      </c>
      <c r="H313" s="4">
        <f t="shared" si="43"/>
        <v>0.17035726210350607</v>
      </c>
      <c r="I313" s="4">
        <f t="shared" si="44"/>
        <v>0</v>
      </c>
      <c r="J313" s="2" t="str">
        <f t="shared" si="45"/>
        <v/>
      </c>
      <c r="K313" s="2" t="str">
        <f t="shared" si="46"/>
        <v/>
      </c>
      <c r="L313" s="2" t="str">
        <f t="shared" si="47"/>
        <v/>
      </c>
    </row>
    <row r="314" spans="1:12">
      <c r="A314" s="2">
        <v>302</v>
      </c>
      <c r="B314" s="4">
        <v>0.59599999999999997</v>
      </c>
      <c r="C314" s="4">
        <f t="shared" si="48"/>
        <v>0.497</v>
      </c>
      <c r="D314" s="4">
        <f t="shared" si="41"/>
        <v>1.5554284590900538</v>
      </c>
      <c r="E314" s="4">
        <f t="shared" si="42"/>
        <v>0.57467378325694207</v>
      </c>
      <c r="F314" s="4">
        <f t="shared" si="49"/>
        <v>0</v>
      </c>
      <c r="G314" s="4">
        <f t="shared" si="50"/>
        <v>0.55655717529215432</v>
      </c>
      <c r="H314" s="4">
        <f t="shared" si="43"/>
        <v>0.17035726210350607</v>
      </c>
      <c r="I314" s="4">
        <f t="shared" si="44"/>
        <v>0</v>
      </c>
      <c r="J314" s="2" t="str">
        <f t="shared" si="45"/>
        <v/>
      </c>
      <c r="K314" s="2" t="str">
        <f t="shared" si="46"/>
        <v/>
      </c>
      <c r="L314" s="2" t="str">
        <f t="shared" si="47"/>
        <v/>
      </c>
    </row>
    <row r="315" spans="1:12">
      <c r="A315" s="2">
        <v>303</v>
      </c>
      <c r="B315" s="4">
        <v>0.218</v>
      </c>
      <c r="C315" s="4">
        <f t="shared" si="48"/>
        <v>0.378</v>
      </c>
      <c r="D315" s="4">
        <f t="shared" si="41"/>
        <v>1.5554284590900538</v>
      </c>
      <c r="E315" s="4">
        <f t="shared" si="42"/>
        <v>0.57467378325694207</v>
      </c>
      <c r="F315" s="4">
        <f t="shared" si="49"/>
        <v>0</v>
      </c>
      <c r="G315" s="4">
        <f t="shared" si="50"/>
        <v>0.55655717529215432</v>
      </c>
      <c r="H315" s="4">
        <f t="shared" si="43"/>
        <v>0.17035726210350607</v>
      </c>
      <c r="I315" s="4">
        <f t="shared" si="44"/>
        <v>0</v>
      </c>
      <c r="J315" s="2" t="str">
        <f t="shared" si="45"/>
        <v/>
      </c>
      <c r="K315" s="2" t="str">
        <f t="shared" si="46"/>
        <v/>
      </c>
      <c r="L315" s="2" t="str">
        <f t="shared" si="47"/>
        <v/>
      </c>
    </row>
    <row r="316" spans="1:12">
      <c r="A316" s="2">
        <v>304</v>
      </c>
      <c r="B316" s="4">
        <v>0.311</v>
      </c>
      <c r="C316" s="4">
        <f t="shared" si="48"/>
        <v>9.2999999999999999E-2</v>
      </c>
      <c r="D316" s="4">
        <f t="shared" si="41"/>
        <v>1.5554284590900538</v>
      </c>
      <c r="E316" s="4">
        <f t="shared" si="42"/>
        <v>0.57467378325694207</v>
      </c>
      <c r="F316" s="4">
        <f t="shared" si="49"/>
        <v>0</v>
      </c>
      <c r="G316" s="4">
        <f t="shared" si="50"/>
        <v>0.55655717529215432</v>
      </c>
      <c r="H316" s="4">
        <f t="shared" si="43"/>
        <v>0.17035726210350607</v>
      </c>
      <c r="I316" s="4">
        <f t="shared" si="44"/>
        <v>0</v>
      </c>
      <c r="J316" s="2" t="str">
        <f t="shared" si="45"/>
        <v/>
      </c>
      <c r="K316" s="2" t="str">
        <f t="shared" si="46"/>
        <v/>
      </c>
      <c r="L316" s="2" t="str">
        <f t="shared" si="47"/>
        <v/>
      </c>
    </row>
    <row r="317" spans="1:12">
      <c r="A317" s="2">
        <v>305</v>
      </c>
      <c r="B317" s="4">
        <v>0.24299999999999999</v>
      </c>
      <c r="C317" s="4">
        <f t="shared" si="48"/>
        <v>6.8000000000000005E-2</v>
      </c>
      <c r="D317" s="4">
        <f t="shared" si="41"/>
        <v>1.5554284590900538</v>
      </c>
      <c r="E317" s="4">
        <f t="shared" si="42"/>
        <v>0.57467378325694207</v>
      </c>
      <c r="F317" s="4">
        <f t="shared" si="49"/>
        <v>0</v>
      </c>
      <c r="G317" s="4">
        <f t="shared" si="50"/>
        <v>0.55655717529215432</v>
      </c>
      <c r="H317" s="4">
        <f t="shared" si="43"/>
        <v>0.17035726210350607</v>
      </c>
      <c r="I317" s="4">
        <f t="shared" si="44"/>
        <v>0</v>
      </c>
      <c r="J317" s="2" t="str">
        <f t="shared" si="45"/>
        <v/>
      </c>
      <c r="K317" s="2" t="str">
        <f t="shared" si="46"/>
        <v/>
      </c>
      <c r="L317" s="2" t="str">
        <f t="shared" si="47"/>
        <v/>
      </c>
    </row>
    <row r="318" spans="1:12">
      <c r="A318" s="2">
        <v>306</v>
      </c>
      <c r="B318" s="4">
        <v>0.17</v>
      </c>
      <c r="C318" s="4">
        <f t="shared" si="48"/>
        <v>7.2999999999999982E-2</v>
      </c>
      <c r="D318" s="4">
        <f t="shared" si="41"/>
        <v>1.5554284590900538</v>
      </c>
      <c r="E318" s="4">
        <f t="shared" si="42"/>
        <v>0.57467378325694207</v>
      </c>
      <c r="F318" s="4">
        <f t="shared" si="49"/>
        <v>0</v>
      </c>
      <c r="G318" s="4">
        <f t="shared" si="50"/>
        <v>0.55655717529215432</v>
      </c>
      <c r="H318" s="4">
        <f t="shared" si="43"/>
        <v>0.17035726210350607</v>
      </c>
      <c r="I318" s="4">
        <f t="shared" si="44"/>
        <v>0</v>
      </c>
      <c r="J318" s="2" t="str">
        <f t="shared" si="45"/>
        <v/>
      </c>
      <c r="K318" s="2" t="str">
        <f t="shared" si="46"/>
        <v/>
      </c>
      <c r="L318" s="2" t="str">
        <f t="shared" si="47"/>
        <v/>
      </c>
    </row>
    <row r="319" spans="1:12">
      <c r="A319" s="2">
        <v>307</v>
      </c>
      <c r="B319" s="4">
        <v>0.223</v>
      </c>
      <c r="C319" s="4">
        <f t="shared" si="48"/>
        <v>5.2999999999999992E-2</v>
      </c>
      <c r="D319" s="4">
        <f t="shared" si="41"/>
        <v>1.5554284590900538</v>
      </c>
      <c r="E319" s="4">
        <f t="shared" si="42"/>
        <v>0.57467378325694207</v>
      </c>
      <c r="F319" s="4">
        <f t="shared" si="49"/>
        <v>0</v>
      </c>
      <c r="G319" s="4">
        <f t="shared" si="50"/>
        <v>0.55655717529215432</v>
      </c>
      <c r="H319" s="4">
        <f t="shared" si="43"/>
        <v>0.17035726210350607</v>
      </c>
      <c r="I319" s="4">
        <f t="shared" si="44"/>
        <v>0</v>
      </c>
      <c r="J319" s="2" t="str">
        <f t="shared" si="45"/>
        <v/>
      </c>
      <c r="K319" s="2" t="str">
        <f t="shared" si="46"/>
        <v/>
      </c>
      <c r="L319" s="2" t="str">
        <f t="shared" si="47"/>
        <v/>
      </c>
    </row>
    <row r="320" spans="1:12">
      <c r="A320" s="2">
        <v>308</v>
      </c>
      <c r="B320" s="4">
        <v>0.11600000000000001</v>
      </c>
      <c r="C320" s="4">
        <f t="shared" si="48"/>
        <v>0.107</v>
      </c>
      <c r="D320" s="4">
        <f t="shared" si="41"/>
        <v>1.5554284590900538</v>
      </c>
      <c r="E320" s="4">
        <f t="shared" si="42"/>
        <v>0.57467378325694207</v>
      </c>
      <c r="F320" s="4">
        <f t="shared" si="49"/>
        <v>0</v>
      </c>
      <c r="G320" s="4">
        <f t="shared" si="50"/>
        <v>0.55655717529215432</v>
      </c>
      <c r="H320" s="4">
        <f t="shared" si="43"/>
        <v>0.17035726210350607</v>
      </c>
      <c r="I320" s="4">
        <f t="shared" si="44"/>
        <v>0</v>
      </c>
      <c r="J320" s="2" t="str">
        <f t="shared" si="45"/>
        <v/>
      </c>
      <c r="K320" s="2" t="str">
        <f t="shared" si="46"/>
        <v/>
      </c>
      <c r="L320" s="2" t="str">
        <f t="shared" si="47"/>
        <v/>
      </c>
    </row>
    <row r="321" spans="1:12">
      <c r="A321" s="2">
        <v>309</v>
      </c>
      <c r="B321" s="4">
        <v>0.21299999999999999</v>
      </c>
      <c r="C321" s="4">
        <f t="shared" si="48"/>
        <v>9.6999999999999989E-2</v>
      </c>
      <c r="D321" s="4">
        <f t="shared" si="41"/>
        <v>1.5554284590900538</v>
      </c>
      <c r="E321" s="4">
        <f t="shared" si="42"/>
        <v>0.57467378325694207</v>
      </c>
      <c r="F321" s="4">
        <f t="shared" si="49"/>
        <v>0</v>
      </c>
      <c r="G321" s="4">
        <f t="shared" si="50"/>
        <v>0.55655717529215432</v>
      </c>
      <c r="H321" s="4">
        <f t="shared" si="43"/>
        <v>0.17035726210350607</v>
      </c>
      <c r="I321" s="4">
        <f t="shared" si="44"/>
        <v>0</v>
      </c>
      <c r="J321" s="2" t="str">
        <f t="shared" si="45"/>
        <v/>
      </c>
      <c r="K321" s="2" t="str">
        <f t="shared" si="46"/>
        <v/>
      </c>
      <c r="L321" s="2" t="str">
        <f t="shared" si="47"/>
        <v/>
      </c>
    </row>
    <row r="322" spans="1:12">
      <c r="A322" s="2">
        <v>310</v>
      </c>
      <c r="B322" s="4">
        <v>0.34399999999999997</v>
      </c>
      <c r="C322" s="4">
        <f t="shared" si="48"/>
        <v>0.13099999999999998</v>
      </c>
      <c r="D322" s="4">
        <f t="shared" si="41"/>
        <v>1.5554284590900538</v>
      </c>
      <c r="E322" s="4">
        <f t="shared" si="42"/>
        <v>0.57467378325694207</v>
      </c>
      <c r="F322" s="4">
        <f t="shared" si="49"/>
        <v>0</v>
      </c>
      <c r="G322" s="4">
        <f t="shared" si="50"/>
        <v>0.55655717529215432</v>
      </c>
      <c r="H322" s="4">
        <f t="shared" si="43"/>
        <v>0.17035726210350607</v>
      </c>
      <c r="I322" s="4">
        <f t="shared" si="44"/>
        <v>0</v>
      </c>
      <c r="J322" s="2" t="str">
        <f t="shared" si="45"/>
        <v/>
      </c>
      <c r="K322" s="2" t="str">
        <f t="shared" si="46"/>
        <v/>
      </c>
      <c r="L322" s="2" t="str">
        <f t="shared" si="47"/>
        <v/>
      </c>
    </row>
    <row r="323" spans="1:12">
      <c r="A323" s="2">
        <v>311</v>
      </c>
      <c r="B323" s="4">
        <v>0.128</v>
      </c>
      <c r="C323" s="4">
        <f t="shared" si="48"/>
        <v>0.21599999999999997</v>
      </c>
      <c r="D323" s="4">
        <f t="shared" si="41"/>
        <v>1.5554284590900538</v>
      </c>
      <c r="E323" s="4">
        <f t="shared" si="42"/>
        <v>0.57467378325694207</v>
      </c>
      <c r="F323" s="4">
        <f t="shared" si="49"/>
        <v>0</v>
      </c>
      <c r="G323" s="4">
        <f t="shared" si="50"/>
        <v>0.55655717529215432</v>
      </c>
      <c r="H323" s="4">
        <f t="shared" si="43"/>
        <v>0.17035726210350607</v>
      </c>
      <c r="I323" s="4">
        <f t="shared" si="44"/>
        <v>0</v>
      </c>
      <c r="J323" s="2" t="str">
        <f t="shared" si="45"/>
        <v/>
      </c>
      <c r="K323" s="2" t="str">
        <f t="shared" si="46"/>
        <v/>
      </c>
      <c r="L323" s="2" t="str">
        <f t="shared" si="47"/>
        <v/>
      </c>
    </row>
    <row r="324" spans="1:12">
      <c r="A324" s="2">
        <v>312</v>
      </c>
      <c r="B324" s="4">
        <v>0.21199999999999999</v>
      </c>
      <c r="C324" s="4">
        <f t="shared" si="48"/>
        <v>8.3999999999999991E-2</v>
      </c>
      <c r="D324" s="4">
        <f t="shared" si="41"/>
        <v>1.5554284590900538</v>
      </c>
      <c r="E324" s="4">
        <f t="shared" si="42"/>
        <v>0.57467378325694207</v>
      </c>
      <c r="F324" s="4">
        <f t="shared" si="49"/>
        <v>0</v>
      </c>
      <c r="G324" s="4">
        <f t="shared" si="50"/>
        <v>0.55655717529215432</v>
      </c>
      <c r="H324" s="4">
        <f t="shared" si="43"/>
        <v>0.17035726210350607</v>
      </c>
      <c r="I324" s="4">
        <f t="shared" si="44"/>
        <v>0</v>
      </c>
      <c r="J324" s="2" t="str">
        <f t="shared" si="45"/>
        <v/>
      </c>
      <c r="K324" s="2" t="str">
        <f t="shared" si="46"/>
        <v/>
      </c>
      <c r="L324" s="2" t="str">
        <f t="shared" si="47"/>
        <v/>
      </c>
    </row>
    <row r="325" spans="1:12">
      <c r="A325" s="2">
        <v>313</v>
      </c>
      <c r="B325" s="4">
        <v>0.188</v>
      </c>
      <c r="C325" s="4">
        <f t="shared" si="48"/>
        <v>2.3999999999999994E-2</v>
      </c>
      <c r="D325" s="4">
        <f t="shared" si="41"/>
        <v>1.5554284590900538</v>
      </c>
      <c r="E325" s="4">
        <f t="shared" si="42"/>
        <v>0.57467378325694207</v>
      </c>
      <c r="F325" s="4">
        <f t="shared" si="49"/>
        <v>0</v>
      </c>
      <c r="G325" s="4">
        <f t="shared" si="50"/>
        <v>0.55655717529215432</v>
      </c>
      <c r="H325" s="4">
        <f t="shared" si="43"/>
        <v>0.17035726210350607</v>
      </c>
      <c r="I325" s="4">
        <f t="shared" si="44"/>
        <v>0</v>
      </c>
      <c r="J325" s="2" t="str">
        <f t="shared" si="45"/>
        <v/>
      </c>
      <c r="K325" s="2" t="str">
        <f t="shared" si="46"/>
        <v/>
      </c>
      <c r="L325" s="2" t="str">
        <f t="shared" si="47"/>
        <v/>
      </c>
    </row>
    <row r="326" spans="1:12">
      <c r="A326" s="2">
        <v>314</v>
      </c>
      <c r="B326" s="4">
        <v>0.27700000000000002</v>
      </c>
      <c r="C326" s="4">
        <f t="shared" si="48"/>
        <v>8.9000000000000024E-2</v>
      </c>
      <c r="D326" s="4">
        <f t="shared" si="41"/>
        <v>1.5554284590900538</v>
      </c>
      <c r="E326" s="4">
        <f t="shared" si="42"/>
        <v>0.57467378325694207</v>
      </c>
      <c r="F326" s="4">
        <f t="shared" si="49"/>
        <v>0</v>
      </c>
      <c r="G326" s="4">
        <f t="shared" si="50"/>
        <v>0.55655717529215432</v>
      </c>
      <c r="H326" s="4">
        <f t="shared" si="43"/>
        <v>0.17035726210350607</v>
      </c>
      <c r="I326" s="4">
        <f t="shared" si="44"/>
        <v>0</v>
      </c>
      <c r="J326" s="2" t="str">
        <f t="shared" si="45"/>
        <v/>
      </c>
      <c r="K326" s="2" t="str">
        <f t="shared" si="46"/>
        <v/>
      </c>
      <c r="L326" s="2" t="str">
        <f t="shared" si="47"/>
        <v/>
      </c>
    </row>
    <row r="327" spans="1:12">
      <c r="A327" s="2">
        <v>315</v>
      </c>
      <c r="B327" s="4">
        <v>0.29699999999999999</v>
      </c>
      <c r="C327" s="4">
        <f t="shared" si="48"/>
        <v>1.9999999999999962E-2</v>
      </c>
      <c r="D327" s="4">
        <f t="shared" si="41"/>
        <v>1.5554284590900538</v>
      </c>
      <c r="E327" s="4">
        <f t="shared" si="42"/>
        <v>0.57467378325694207</v>
      </c>
      <c r="F327" s="4">
        <f t="shared" si="49"/>
        <v>0</v>
      </c>
      <c r="G327" s="4">
        <f t="shared" si="50"/>
        <v>0.55655717529215432</v>
      </c>
      <c r="H327" s="4">
        <f t="shared" si="43"/>
        <v>0.17035726210350607</v>
      </c>
      <c r="I327" s="4">
        <f t="shared" si="44"/>
        <v>0</v>
      </c>
      <c r="J327" s="2" t="str">
        <f t="shared" si="45"/>
        <v/>
      </c>
      <c r="K327" s="2" t="str">
        <f t="shared" si="46"/>
        <v/>
      </c>
      <c r="L327" s="2" t="str">
        <f t="shared" si="47"/>
        <v/>
      </c>
    </row>
    <row r="328" spans="1:12">
      <c r="A328" s="2">
        <v>316</v>
      </c>
      <c r="B328" s="4">
        <v>0.57599999999999996</v>
      </c>
      <c r="C328" s="4">
        <f t="shared" si="48"/>
        <v>0.27899999999999997</v>
      </c>
      <c r="D328" s="4">
        <f t="shared" si="41"/>
        <v>1.5554284590900538</v>
      </c>
      <c r="E328" s="4">
        <f t="shared" si="42"/>
        <v>0.57467378325694207</v>
      </c>
      <c r="F328" s="4">
        <f t="shared" si="49"/>
        <v>0</v>
      </c>
      <c r="G328" s="4">
        <f t="shared" si="50"/>
        <v>0.55655717529215432</v>
      </c>
      <c r="H328" s="4">
        <f t="shared" si="43"/>
        <v>0.17035726210350607</v>
      </c>
      <c r="I328" s="4">
        <f t="shared" si="44"/>
        <v>0</v>
      </c>
      <c r="J328" s="2" t="str">
        <f t="shared" si="45"/>
        <v/>
      </c>
      <c r="K328" s="2" t="str">
        <f t="shared" si="46"/>
        <v/>
      </c>
      <c r="L328" s="2" t="str">
        <f t="shared" si="47"/>
        <v/>
      </c>
    </row>
    <row r="329" spans="1:12">
      <c r="A329" s="2">
        <v>317</v>
      </c>
      <c r="B329" s="4">
        <v>0.30499999999999999</v>
      </c>
      <c r="C329" s="4">
        <f t="shared" si="48"/>
        <v>0.27099999999999996</v>
      </c>
      <c r="D329" s="4">
        <f t="shared" si="41"/>
        <v>1.5554284590900538</v>
      </c>
      <c r="E329" s="4">
        <f t="shared" si="42"/>
        <v>0.57467378325694207</v>
      </c>
      <c r="F329" s="4">
        <f t="shared" si="49"/>
        <v>0</v>
      </c>
      <c r="G329" s="4">
        <f t="shared" si="50"/>
        <v>0.55655717529215432</v>
      </c>
      <c r="H329" s="4">
        <f t="shared" si="43"/>
        <v>0.17035726210350607</v>
      </c>
      <c r="I329" s="4">
        <f t="shared" si="44"/>
        <v>0</v>
      </c>
      <c r="J329" s="2" t="str">
        <f t="shared" si="45"/>
        <v/>
      </c>
      <c r="K329" s="2" t="str">
        <f t="shared" si="46"/>
        <v/>
      </c>
      <c r="L329" s="2" t="str">
        <f t="shared" si="47"/>
        <v/>
      </c>
    </row>
    <row r="330" spans="1:12">
      <c r="A330" s="2">
        <v>318</v>
      </c>
      <c r="B330" s="4">
        <v>0.433</v>
      </c>
      <c r="C330" s="4">
        <f t="shared" si="48"/>
        <v>0.128</v>
      </c>
      <c r="D330" s="4">
        <f t="shared" si="41"/>
        <v>1.5554284590900538</v>
      </c>
      <c r="E330" s="4">
        <f t="shared" si="42"/>
        <v>0.57467378325694207</v>
      </c>
      <c r="F330" s="4">
        <f t="shared" si="49"/>
        <v>0</v>
      </c>
      <c r="G330" s="4">
        <f t="shared" si="50"/>
        <v>0.55655717529215432</v>
      </c>
      <c r="H330" s="4">
        <f t="shared" si="43"/>
        <v>0.17035726210350607</v>
      </c>
      <c r="I330" s="4">
        <f t="shared" si="44"/>
        <v>0</v>
      </c>
      <c r="J330" s="2" t="str">
        <f t="shared" si="45"/>
        <v/>
      </c>
      <c r="K330" s="2" t="str">
        <f t="shared" si="46"/>
        <v/>
      </c>
      <c r="L330" s="2" t="str">
        <f t="shared" si="47"/>
        <v/>
      </c>
    </row>
    <row r="331" spans="1:12">
      <c r="A331" s="2">
        <v>319</v>
      </c>
      <c r="B331" s="4">
        <v>0.14199999999999999</v>
      </c>
      <c r="C331" s="4">
        <f t="shared" si="48"/>
        <v>0.29100000000000004</v>
      </c>
      <c r="D331" s="4">
        <f t="shared" si="41"/>
        <v>1.5554284590900538</v>
      </c>
      <c r="E331" s="4">
        <f t="shared" si="42"/>
        <v>0.57467378325694207</v>
      </c>
      <c r="F331" s="4">
        <f t="shared" si="49"/>
        <v>0</v>
      </c>
      <c r="G331" s="4">
        <f t="shared" si="50"/>
        <v>0.55655717529215432</v>
      </c>
      <c r="H331" s="4">
        <f t="shared" si="43"/>
        <v>0.17035726210350607</v>
      </c>
      <c r="I331" s="4">
        <f t="shared" si="44"/>
        <v>0</v>
      </c>
      <c r="J331" s="2" t="str">
        <f t="shared" si="45"/>
        <v/>
      </c>
      <c r="K331" s="2" t="str">
        <f t="shared" si="46"/>
        <v/>
      </c>
      <c r="L331" s="2" t="str">
        <f t="shared" si="47"/>
        <v/>
      </c>
    </row>
    <row r="332" spans="1:12">
      <c r="A332" s="2">
        <v>320</v>
      </c>
      <c r="B332" s="4">
        <v>0.27700000000000002</v>
      </c>
      <c r="C332" s="4">
        <f t="shared" si="48"/>
        <v>0.13500000000000004</v>
      </c>
      <c r="D332" s="4">
        <f t="shared" si="41"/>
        <v>1.5554284590900538</v>
      </c>
      <c r="E332" s="4">
        <f t="shared" si="42"/>
        <v>0.57467378325694207</v>
      </c>
      <c r="F332" s="4">
        <f t="shared" si="49"/>
        <v>0</v>
      </c>
      <c r="G332" s="4">
        <f t="shared" si="50"/>
        <v>0.55655717529215432</v>
      </c>
      <c r="H332" s="4">
        <f t="shared" si="43"/>
        <v>0.17035726210350607</v>
      </c>
      <c r="I332" s="4">
        <f t="shared" si="44"/>
        <v>0</v>
      </c>
      <c r="J332" s="2" t="str">
        <f t="shared" si="45"/>
        <v/>
      </c>
      <c r="K332" s="2" t="str">
        <f t="shared" si="46"/>
        <v/>
      </c>
      <c r="L332" s="2" t="str">
        <f t="shared" si="47"/>
        <v/>
      </c>
    </row>
    <row r="333" spans="1:12">
      <c r="A333" s="2">
        <v>321</v>
      </c>
      <c r="B333" s="4">
        <v>0.18</v>
      </c>
      <c r="C333" s="4">
        <f t="shared" si="48"/>
        <v>9.7000000000000031E-2</v>
      </c>
      <c r="D333" s="4">
        <f t="shared" ref="D333:D396" si="51">$G$13</f>
        <v>1.5554284590900538</v>
      </c>
      <c r="E333" s="4">
        <f t="shared" ref="E333:E396" si="52">$G$14</f>
        <v>0.57467378325694207</v>
      </c>
      <c r="F333" s="4">
        <f t="shared" si="49"/>
        <v>0</v>
      </c>
      <c r="G333" s="4">
        <f t="shared" si="50"/>
        <v>0.55655717529215432</v>
      </c>
      <c r="H333" s="4">
        <f t="shared" ref="H333:H396" si="53">$G$17</f>
        <v>0.17035726210350607</v>
      </c>
      <c r="I333" s="4">
        <f t="shared" ref="I333:I396" si="54">$G$18</f>
        <v>0</v>
      </c>
      <c r="J333" s="2" t="str">
        <f t="shared" ref="J333:J396" si="55">IF(OR(B333&gt;D333,B333&lt;F333),"Y","")</f>
        <v/>
      </c>
      <c r="K333" s="2" t="str">
        <f t="shared" ref="K333:K396" si="56">IF(AND(C333&lt;&gt;"",C333&gt;G333),"Y","")</f>
        <v/>
      </c>
      <c r="L333" s="2" t="str">
        <f t="shared" ref="L333:L396" si="57">IF(OR(B333&lt;$B$5,B333&gt;$D$5),"Y","")</f>
        <v/>
      </c>
    </row>
    <row r="334" spans="1:12">
      <c r="A334" s="2">
        <v>322</v>
      </c>
      <c r="B334" s="4">
        <v>0.26800000000000002</v>
      </c>
      <c r="C334" s="4">
        <f t="shared" ref="C334:C397" si="58">ABS(B334-B333)</f>
        <v>8.8000000000000023E-2</v>
      </c>
      <c r="D334" s="4">
        <f t="shared" si="51"/>
        <v>1.5554284590900538</v>
      </c>
      <c r="E334" s="4">
        <f t="shared" si="52"/>
        <v>0.57467378325694207</v>
      </c>
      <c r="F334" s="4">
        <f t="shared" si="49"/>
        <v>0</v>
      </c>
      <c r="G334" s="4">
        <f t="shared" si="50"/>
        <v>0.55655717529215432</v>
      </c>
      <c r="H334" s="4">
        <f t="shared" si="53"/>
        <v>0.17035726210350607</v>
      </c>
      <c r="I334" s="4">
        <f t="shared" si="54"/>
        <v>0</v>
      </c>
      <c r="J334" s="2" t="str">
        <f t="shared" si="55"/>
        <v/>
      </c>
      <c r="K334" s="2" t="str">
        <f t="shared" si="56"/>
        <v/>
      </c>
      <c r="L334" s="2" t="str">
        <f t="shared" si="57"/>
        <v/>
      </c>
    </row>
    <row r="335" spans="1:12">
      <c r="A335" s="2">
        <v>323</v>
      </c>
      <c r="B335" s="4">
        <v>0.23899999999999999</v>
      </c>
      <c r="C335" s="4">
        <f t="shared" si="58"/>
        <v>2.9000000000000026E-2</v>
      </c>
      <c r="D335" s="4">
        <f t="shared" si="51"/>
        <v>1.5554284590900538</v>
      </c>
      <c r="E335" s="4">
        <f t="shared" si="52"/>
        <v>0.57467378325694207</v>
      </c>
      <c r="F335" s="4">
        <f t="shared" si="49"/>
        <v>0</v>
      </c>
      <c r="G335" s="4">
        <f t="shared" si="50"/>
        <v>0.55655717529215432</v>
      </c>
      <c r="H335" s="4">
        <f t="shared" si="53"/>
        <v>0.17035726210350607</v>
      </c>
      <c r="I335" s="4">
        <f t="shared" si="54"/>
        <v>0</v>
      </c>
      <c r="J335" s="2" t="str">
        <f t="shared" si="55"/>
        <v/>
      </c>
      <c r="K335" s="2" t="str">
        <f t="shared" si="56"/>
        <v/>
      </c>
      <c r="L335" s="2" t="str">
        <f t="shared" si="57"/>
        <v/>
      </c>
    </row>
    <row r="336" spans="1:12">
      <c r="A336" s="2">
        <v>324</v>
      </c>
      <c r="B336" s="4">
        <v>0.41199999999999998</v>
      </c>
      <c r="C336" s="4">
        <f t="shared" si="58"/>
        <v>0.17299999999999999</v>
      </c>
      <c r="D336" s="4">
        <f t="shared" si="51"/>
        <v>1.5554284590900538</v>
      </c>
      <c r="E336" s="4">
        <f t="shared" si="52"/>
        <v>0.57467378325694207</v>
      </c>
      <c r="F336" s="4">
        <f t="shared" ref="F336:F399" si="59">$G$15</f>
        <v>0</v>
      </c>
      <c r="G336" s="4">
        <f t="shared" si="50"/>
        <v>0.55655717529215432</v>
      </c>
      <c r="H336" s="4">
        <f t="shared" si="53"/>
        <v>0.17035726210350607</v>
      </c>
      <c r="I336" s="4">
        <f t="shared" si="54"/>
        <v>0</v>
      </c>
      <c r="J336" s="2" t="str">
        <f t="shared" si="55"/>
        <v/>
      </c>
      <c r="K336" s="2" t="str">
        <f t="shared" si="56"/>
        <v/>
      </c>
      <c r="L336" s="2" t="str">
        <f t="shared" si="57"/>
        <v/>
      </c>
    </row>
    <row r="337" spans="1:12">
      <c r="A337" s="2">
        <v>325</v>
      </c>
      <c r="B337" s="4">
        <v>0.23200000000000001</v>
      </c>
      <c r="C337" s="4">
        <f t="shared" si="58"/>
        <v>0.17999999999999997</v>
      </c>
      <c r="D337" s="4">
        <f t="shared" si="51"/>
        <v>1.5554284590900538</v>
      </c>
      <c r="E337" s="4">
        <f t="shared" si="52"/>
        <v>0.57467378325694207</v>
      </c>
      <c r="F337" s="4">
        <f t="shared" si="59"/>
        <v>0</v>
      </c>
      <c r="G337" s="4">
        <f t="shared" si="50"/>
        <v>0.55655717529215432</v>
      </c>
      <c r="H337" s="4">
        <f t="shared" si="53"/>
        <v>0.17035726210350607</v>
      </c>
      <c r="I337" s="4">
        <f t="shared" si="54"/>
        <v>0</v>
      </c>
      <c r="J337" s="2" t="str">
        <f t="shared" si="55"/>
        <v/>
      </c>
      <c r="K337" s="2" t="str">
        <f t="shared" si="56"/>
        <v/>
      </c>
      <c r="L337" s="2" t="str">
        <f t="shared" si="57"/>
        <v/>
      </c>
    </row>
    <row r="338" spans="1:12">
      <c r="A338" s="2">
        <v>326</v>
      </c>
      <c r="B338" s="4">
        <v>0.30199999999999999</v>
      </c>
      <c r="C338" s="4">
        <f t="shared" si="58"/>
        <v>6.9999999999999979E-2</v>
      </c>
      <c r="D338" s="4">
        <f t="shared" si="51"/>
        <v>1.5554284590900538</v>
      </c>
      <c r="E338" s="4">
        <f t="shared" si="52"/>
        <v>0.57467378325694207</v>
      </c>
      <c r="F338" s="4">
        <f t="shared" si="59"/>
        <v>0</v>
      </c>
      <c r="G338" s="4">
        <f t="shared" si="50"/>
        <v>0.55655717529215432</v>
      </c>
      <c r="H338" s="4">
        <f t="shared" si="53"/>
        <v>0.17035726210350607</v>
      </c>
      <c r="I338" s="4">
        <f t="shared" si="54"/>
        <v>0</v>
      </c>
      <c r="J338" s="2" t="str">
        <f t="shared" si="55"/>
        <v/>
      </c>
      <c r="K338" s="2" t="str">
        <f t="shared" si="56"/>
        <v/>
      </c>
      <c r="L338" s="2" t="str">
        <f t="shared" si="57"/>
        <v/>
      </c>
    </row>
    <row r="339" spans="1:12">
      <c r="A339" s="2">
        <v>327</v>
      </c>
      <c r="B339" s="4">
        <v>0.438</v>
      </c>
      <c r="C339" s="4">
        <f t="shared" si="58"/>
        <v>0.13600000000000001</v>
      </c>
      <c r="D339" s="4">
        <f t="shared" si="51"/>
        <v>1.5554284590900538</v>
      </c>
      <c r="E339" s="4">
        <f t="shared" si="52"/>
        <v>0.57467378325694207</v>
      </c>
      <c r="F339" s="4">
        <f t="shared" si="59"/>
        <v>0</v>
      </c>
      <c r="G339" s="4">
        <f t="shared" ref="G339:G402" si="60">$G$16</f>
        <v>0.55655717529215432</v>
      </c>
      <c r="H339" s="4">
        <f t="shared" si="53"/>
        <v>0.17035726210350607</v>
      </c>
      <c r="I339" s="4">
        <f t="shared" si="54"/>
        <v>0</v>
      </c>
      <c r="J339" s="2" t="str">
        <f t="shared" si="55"/>
        <v/>
      </c>
      <c r="K339" s="2" t="str">
        <f t="shared" si="56"/>
        <v/>
      </c>
      <c r="L339" s="2" t="str">
        <f t="shared" si="57"/>
        <v/>
      </c>
    </row>
    <row r="340" spans="1:12">
      <c r="A340" s="2">
        <v>328</v>
      </c>
      <c r="B340" s="4">
        <v>0.39800000000000002</v>
      </c>
      <c r="C340" s="4">
        <f t="shared" si="58"/>
        <v>3.999999999999998E-2</v>
      </c>
      <c r="D340" s="4">
        <f t="shared" si="51"/>
        <v>1.5554284590900538</v>
      </c>
      <c r="E340" s="4">
        <f t="shared" si="52"/>
        <v>0.57467378325694207</v>
      </c>
      <c r="F340" s="4">
        <f t="shared" si="59"/>
        <v>0</v>
      </c>
      <c r="G340" s="4">
        <f t="shared" si="60"/>
        <v>0.55655717529215432</v>
      </c>
      <c r="H340" s="4">
        <f t="shared" si="53"/>
        <v>0.17035726210350607</v>
      </c>
      <c r="I340" s="4">
        <f t="shared" si="54"/>
        <v>0</v>
      </c>
      <c r="J340" s="2" t="str">
        <f t="shared" si="55"/>
        <v/>
      </c>
      <c r="K340" s="2" t="str">
        <f t="shared" si="56"/>
        <v/>
      </c>
      <c r="L340" s="2" t="str">
        <f t="shared" si="57"/>
        <v/>
      </c>
    </row>
    <row r="341" spans="1:12">
      <c r="A341" s="2">
        <v>329</v>
      </c>
      <c r="B341" s="4">
        <v>9.0999999999999998E-2</v>
      </c>
      <c r="C341" s="4">
        <f t="shared" si="58"/>
        <v>0.30700000000000005</v>
      </c>
      <c r="D341" s="4">
        <f t="shared" si="51"/>
        <v>1.5554284590900538</v>
      </c>
      <c r="E341" s="4">
        <f t="shared" si="52"/>
        <v>0.57467378325694207</v>
      </c>
      <c r="F341" s="4">
        <f t="shared" si="59"/>
        <v>0</v>
      </c>
      <c r="G341" s="4">
        <f t="shared" si="60"/>
        <v>0.55655717529215432</v>
      </c>
      <c r="H341" s="4">
        <f t="shared" si="53"/>
        <v>0.17035726210350607</v>
      </c>
      <c r="I341" s="4">
        <f t="shared" si="54"/>
        <v>0</v>
      </c>
      <c r="J341" s="2" t="str">
        <f t="shared" si="55"/>
        <v/>
      </c>
      <c r="K341" s="2" t="str">
        <f t="shared" si="56"/>
        <v/>
      </c>
      <c r="L341" s="2" t="str">
        <f t="shared" si="57"/>
        <v/>
      </c>
    </row>
    <row r="342" spans="1:12">
      <c r="A342" s="2">
        <v>330</v>
      </c>
      <c r="B342" s="4">
        <v>0.182</v>
      </c>
      <c r="C342" s="4">
        <f t="shared" si="58"/>
        <v>9.0999999999999998E-2</v>
      </c>
      <c r="D342" s="4">
        <f t="shared" si="51"/>
        <v>1.5554284590900538</v>
      </c>
      <c r="E342" s="4">
        <f t="shared" si="52"/>
        <v>0.57467378325694207</v>
      </c>
      <c r="F342" s="4">
        <f t="shared" si="59"/>
        <v>0</v>
      </c>
      <c r="G342" s="4">
        <f t="shared" si="60"/>
        <v>0.55655717529215432</v>
      </c>
      <c r="H342" s="4">
        <f t="shared" si="53"/>
        <v>0.17035726210350607</v>
      </c>
      <c r="I342" s="4">
        <f t="shared" si="54"/>
        <v>0</v>
      </c>
      <c r="J342" s="2" t="str">
        <f t="shared" si="55"/>
        <v/>
      </c>
      <c r="K342" s="2" t="str">
        <f t="shared" si="56"/>
        <v/>
      </c>
      <c r="L342" s="2" t="str">
        <f t="shared" si="57"/>
        <v/>
      </c>
    </row>
    <row r="343" spans="1:12">
      <c r="A343" s="2">
        <v>331</v>
      </c>
      <c r="B343" s="4">
        <v>0.34200000000000003</v>
      </c>
      <c r="C343" s="4">
        <f t="shared" si="58"/>
        <v>0.16000000000000003</v>
      </c>
      <c r="D343" s="4">
        <f t="shared" si="51"/>
        <v>1.5554284590900538</v>
      </c>
      <c r="E343" s="4">
        <f t="shared" si="52"/>
        <v>0.57467378325694207</v>
      </c>
      <c r="F343" s="4">
        <f t="shared" si="59"/>
        <v>0</v>
      </c>
      <c r="G343" s="4">
        <f t="shared" si="60"/>
        <v>0.55655717529215432</v>
      </c>
      <c r="H343" s="4">
        <f t="shared" si="53"/>
        <v>0.17035726210350607</v>
      </c>
      <c r="I343" s="4">
        <f t="shared" si="54"/>
        <v>0</v>
      </c>
      <c r="J343" s="2" t="str">
        <f t="shared" si="55"/>
        <v/>
      </c>
      <c r="K343" s="2" t="str">
        <f t="shared" si="56"/>
        <v/>
      </c>
      <c r="L343" s="2" t="str">
        <f t="shared" si="57"/>
        <v/>
      </c>
    </row>
    <row r="344" spans="1:12">
      <c r="A344" s="2">
        <v>332</v>
      </c>
      <c r="B344" s="4">
        <v>0.28999999999999998</v>
      </c>
      <c r="C344" s="4">
        <f t="shared" si="58"/>
        <v>5.2000000000000046E-2</v>
      </c>
      <c r="D344" s="4">
        <f t="shared" si="51"/>
        <v>1.5554284590900538</v>
      </c>
      <c r="E344" s="4">
        <f t="shared" si="52"/>
        <v>0.57467378325694207</v>
      </c>
      <c r="F344" s="4">
        <f t="shared" si="59"/>
        <v>0</v>
      </c>
      <c r="G344" s="4">
        <f t="shared" si="60"/>
        <v>0.55655717529215432</v>
      </c>
      <c r="H344" s="4">
        <f t="shared" si="53"/>
        <v>0.17035726210350607</v>
      </c>
      <c r="I344" s="4">
        <f t="shared" si="54"/>
        <v>0</v>
      </c>
      <c r="J344" s="2" t="str">
        <f t="shared" si="55"/>
        <v/>
      </c>
      <c r="K344" s="2" t="str">
        <f t="shared" si="56"/>
        <v/>
      </c>
      <c r="L344" s="2" t="str">
        <f t="shared" si="57"/>
        <v/>
      </c>
    </row>
    <row r="345" spans="1:12">
      <c r="A345" s="2">
        <v>333</v>
      </c>
      <c r="B345" s="4">
        <v>0.26600000000000001</v>
      </c>
      <c r="C345" s="4">
        <f t="shared" si="58"/>
        <v>2.3999999999999966E-2</v>
      </c>
      <c r="D345" s="4">
        <f t="shared" si="51"/>
        <v>1.5554284590900538</v>
      </c>
      <c r="E345" s="4">
        <f t="shared" si="52"/>
        <v>0.57467378325694207</v>
      </c>
      <c r="F345" s="4">
        <f t="shared" si="59"/>
        <v>0</v>
      </c>
      <c r="G345" s="4">
        <f t="shared" si="60"/>
        <v>0.55655717529215432</v>
      </c>
      <c r="H345" s="4">
        <f t="shared" si="53"/>
        <v>0.17035726210350607</v>
      </c>
      <c r="I345" s="4">
        <f t="shared" si="54"/>
        <v>0</v>
      </c>
      <c r="J345" s="2" t="str">
        <f t="shared" si="55"/>
        <v/>
      </c>
      <c r="K345" s="2" t="str">
        <f t="shared" si="56"/>
        <v/>
      </c>
      <c r="L345" s="2" t="str">
        <f t="shared" si="57"/>
        <v/>
      </c>
    </row>
    <row r="346" spans="1:12">
      <c r="A346" s="2">
        <v>334</v>
      </c>
      <c r="B346" s="4">
        <v>0.13800000000000001</v>
      </c>
      <c r="C346" s="4">
        <f t="shared" si="58"/>
        <v>0.128</v>
      </c>
      <c r="D346" s="4">
        <f t="shared" si="51"/>
        <v>1.5554284590900538</v>
      </c>
      <c r="E346" s="4">
        <f t="shared" si="52"/>
        <v>0.57467378325694207</v>
      </c>
      <c r="F346" s="4">
        <f t="shared" si="59"/>
        <v>0</v>
      </c>
      <c r="G346" s="4">
        <f t="shared" si="60"/>
        <v>0.55655717529215432</v>
      </c>
      <c r="H346" s="4">
        <f t="shared" si="53"/>
        <v>0.17035726210350607</v>
      </c>
      <c r="I346" s="4">
        <f t="shared" si="54"/>
        <v>0</v>
      </c>
      <c r="J346" s="2" t="str">
        <f t="shared" si="55"/>
        <v/>
      </c>
      <c r="K346" s="2" t="str">
        <f t="shared" si="56"/>
        <v/>
      </c>
      <c r="L346" s="2" t="str">
        <f t="shared" si="57"/>
        <v/>
      </c>
    </row>
    <row r="347" spans="1:12">
      <c r="A347" s="2">
        <v>335</v>
      </c>
      <c r="B347" s="4">
        <v>0.35199999999999998</v>
      </c>
      <c r="C347" s="4">
        <f t="shared" si="58"/>
        <v>0.21399999999999997</v>
      </c>
      <c r="D347" s="4">
        <f t="shared" si="51"/>
        <v>1.5554284590900538</v>
      </c>
      <c r="E347" s="4">
        <f t="shared" si="52"/>
        <v>0.57467378325694207</v>
      </c>
      <c r="F347" s="4">
        <f t="shared" si="59"/>
        <v>0</v>
      </c>
      <c r="G347" s="4">
        <f t="shared" si="60"/>
        <v>0.55655717529215432</v>
      </c>
      <c r="H347" s="4">
        <f t="shared" si="53"/>
        <v>0.17035726210350607</v>
      </c>
      <c r="I347" s="4">
        <f t="shared" si="54"/>
        <v>0</v>
      </c>
      <c r="J347" s="2" t="str">
        <f t="shared" si="55"/>
        <v/>
      </c>
      <c r="K347" s="2" t="str">
        <f t="shared" si="56"/>
        <v/>
      </c>
      <c r="L347" s="2" t="str">
        <f t="shared" si="57"/>
        <v/>
      </c>
    </row>
    <row r="348" spans="1:12">
      <c r="A348" s="2">
        <v>336</v>
      </c>
      <c r="B348" s="4">
        <v>0.33400000000000002</v>
      </c>
      <c r="C348" s="4">
        <f t="shared" si="58"/>
        <v>1.799999999999996E-2</v>
      </c>
      <c r="D348" s="4">
        <f t="shared" si="51"/>
        <v>1.5554284590900538</v>
      </c>
      <c r="E348" s="4">
        <f t="shared" si="52"/>
        <v>0.57467378325694207</v>
      </c>
      <c r="F348" s="4">
        <f t="shared" si="59"/>
        <v>0</v>
      </c>
      <c r="G348" s="4">
        <f t="shared" si="60"/>
        <v>0.55655717529215432</v>
      </c>
      <c r="H348" s="4">
        <f t="shared" si="53"/>
        <v>0.17035726210350607</v>
      </c>
      <c r="I348" s="4">
        <f t="shared" si="54"/>
        <v>0</v>
      </c>
      <c r="J348" s="2" t="str">
        <f t="shared" si="55"/>
        <v/>
      </c>
      <c r="K348" s="2" t="str">
        <f t="shared" si="56"/>
        <v/>
      </c>
      <c r="L348" s="2" t="str">
        <f t="shared" si="57"/>
        <v/>
      </c>
    </row>
    <row r="349" spans="1:12">
      <c r="A349" s="2">
        <v>337</v>
      </c>
      <c r="B349" s="4">
        <v>0.30499999999999999</v>
      </c>
      <c r="C349" s="4">
        <f t="shared" si="58"/>
        <v>2.9000000000000026E-2</v>
      </c>
      <c r="D349" s="4">
        <f t="shared" si="51"/>
        <v>1.5554284590900538</v>
      </c>
      <c r="E349" s="4">
        <f t="shared" si="52"/>
        <v>0.57467378325694207</v>
      </c>
      <c r="F349" s="4">
        <f t="shared" si="59"/>
        <v>0</v>
      </c>
      <c r="G349" s="4">
        <f t="shared" si="60"/>
        <v>0.55655717529215432</v>
      </c>
      <c r="H349" s="4">
        <f t="shared" si="53"/>
        <v>0.17035726210350607</v>
      </c>
      <c r="I349" s="4">
        <f t="shared" si="54"/>
        <v>0</v>
      </c>
      <c r="J349" s="2" t="str">
        <f t="shared" si="55"/>
        <v/>
      </c>
      <c r="K349" s="2" t="str">
        <f t="shared" si="56"/>
        <v/>
      </c>
      <c r="L349" s="2" t="str">
        <f t="shared" si="57"/>
        <v/>
      </c>
    </row>
    <row r="350" spans="1:12">
      <c r="A350" s="2">
        <v>338</v>
      </c>
      <c r="B350" s="4">
        <v>0.28499999999999998</v>
      </c>
      <c r="C350" s="4">
        <f t="shared" si="58"/>
        <v>2.0000000000000018E-2</v>
      </c>
      <c r="D350" s="4">
        <f t="shared" si="51"/>
        <v>1.5554284590900538</v>
      </c>
      <c r="E350" s="4">
        <f t="shared" si="52"/>
        <v>0.57467378325694207</v>
      </c>
      <c r="F350" s="4">
        <f t="shared" si="59"/>
        <v>0</v>
      </c>
      <c r="G350" s="4">
        <f t="shared" si="60"/>
        <v>0.55655717529215432</v>
      </c>
      <c r="H350" s="4">
        <f t="shared" si="53"/>
        <v>0.17035726210350607</v>
      </c>
      <c r="I350" s="4">
        <f t="shared" si="54"/>
        <v>0</v>
      </c>
      <c r="J350" s="2" t="str">
        <f t="shared" si="55"/>
        <v/>
      </c>
      <c r="K350" s="2" t="str">
        <f t="shared" si="56"/>
        <v/>
      </c>
      <c r="L350" s="2" t="str">
        <f t="shared" si="57"/>
        <v/>
      </c>
    </row>
    <row r="351" spans="1:12">
      <c r="A351" s="2">
        <v>339</v>
      </c>
      <c r="B351" s="4">
        <v>9.7000000000000003E-2</v>
      </c>
      <c r="C351" s="4">
        <f t="shared" si="58"/>
        <v>0.18799999999999997</v>
      </c>
      <c r="D351" s="4">
        <f t="shared" si="51"/>
        <v>1.5554284590900538</v>
      </c>
      <c r="E351" s="4">
        <f t="shared" si="52"/>
        <v>0.57467378325694207</v>
      </c>
      <c r="F351" s="4">
        <f t="shared" si="59"/>
        <v>0</v>
      </c>
      <c r="G351" s="4">
        <f t="shared" si="60"/>
        <v>0.55655717529215432</v>
      </c>
      <c r="H351" s="4">
        <f t="shared" si="53"/>
        <v>0.17035726210350607</v>
      </c>
      <c r="I351" s="4">
        <f t="shared" si="54"/>
        <v>0</v>
      </c>
      <c r="J351" s="2" t="str">
        <f t="shared" si="55"/>
        <v/>
      </c>
      <c r="K351" s="2" t="str">
        <f t="shared" si="56"/>
        <v/>
      </c>
      <c r="L351" s="2" t="str">
        <f t="shared" si="57"/>
        <v/>
      </c>
    </row>
    <row r="352" spans="1:12">
      <c r="A352" s="2">
        <v>340</v>
      </c>
      <c r="B352" s="4">
        <v>0.223</v>
      </c>
      <c r="C352" s="4">
        <f t="shared" si="58"/>
        <v>0.126</v>
      </c>
      <c r="D352" s="4">
        <f t="shared" si="51"/>
        <v>1.5554284590900538</v>
      </c>
      <c r="E352" s="4">
        <f t="shared" si="52"/>
        <v>0.57467378325694207</v>
      </c>
      <c r="F352" s="4">
        <f t="shared" si="59"/>
        <v>0</v>
      </c>
      <c r="G352" s="4">
        <f t="shared" si="60"/>
        <v>0.55655717529215432</v>
      </c>
      <c r="H352" s="4">
        <f t="shared" si="53"/>
        <v>0.17035726210350607</v>
      </c>
      <c r="I352" s="4">
        <f t="shared" si="54"/>
        <v>0</v>
      </c>
      <c r="J352" s="2" t="str">
        <f t="shared" si="55"/>
        <v/>
      </c>
      <c r="K352" s="2" t="str">
        <f t="shared" si="56"/>
        <v/>
      </c>
      <c r="L352" s="2" t="str">
        <f t="shared" si="57"/>
        <v/>
      </c>
    </row>
    <row r="353" spans="1:12">
      <c r="A353" s="2">
        <v>341</v>
      </c>
      <c r="B353" s="4">
        <v>0.216</v>
      </c>
      <c r="C353" s="4">
        <f t="shared" si="58"/>
        <v>7.0000000000000062E-3</v>
      </c>
      <c r="D353" s="4">
        <f t="shared" si="51"/>
        <v>1.5554284590900538</v>
      </c>
      <c r="E353" s="4">
        <f t="shared" si="52"/>
        <v>0.57467378325694207</v>
      </c>
      <c r="F353" s="4">
        <f t="shared" si="59"/>
        <v>0</v>
      </c>
      <c r="G353" s="4">
        <f t="shared" si="60"/>
        <v>0.55655717529215432</v>
      </c>
      <c r="H353" s="4">
        <f t="shared" si="53"/>
        <v>0.17035726210350607</v>
      </c>
      <c r="I353" s="4">
        <f t="shared" si="54"/>
        <v>0</v>
      </c>
      <c r="J353" s="2" t="str">
        <f t="shared" si="55"/>
        <v/>
      </c>
      <c r="K353" s="2" t="str">
        <f t="shared" si="56"/>
        <v/>
      </c>
      <c r="L353" s="2" t="str">
        <f t="shared" si="57"/>
        <v/>
      </c>
    </row>
    <row r="354" spans="1:12">
      <c r="A354" s="2">
        <v>342</v>
      </c>
      <c r="B354" s="4">
        <v>0.19800000000000001</v>
      </c>
      <c r="C354" s="4">
        <f t="shared" si="58"/>
        <v>1.7999999999999988E-2</v>
      </c>
      <c r="D354" s="4">
        <f t="shared" si="51"/>
        <v>1.5554284590900538</v>
      </c>
      <c r="E354" s="4">
        <f t="shared" si="52"/>
        <v>0.57467378325694207</v>
      </c>
      <c r="F354" s="4">
        <f t="shared" si="59"/>
        <v>0</v>
      </c>
      <c r="G354" s="4">
        <f t="shared" si="60"/>
        <v>0.55655717529215432</v>
      </c>
      <c r="H354" s="4">
        <f t="shared" si="53"/>
        <v>0.17035726210350607</v>
      </c>
      <c r="I354" s="4">
        <f t="shared" si="54"/>
        <v>0</v>
      </c>
      <c r="J354" s="2" t="str">
        <f t="shared" si="55"/>
        <v/>
      </c>
      <c r="K354" s="2" t="str">
        <f t="shared" si="56"/>
        <v/>
      </c>
      <c r="L354" s="2" t="str">
        <f t="shared" si="57"/>
        <v/>
      </c>
    </row>
    <row r="355" spans="1:12">
      <c r="A355" s="2">
        <v>343</v>
      </c>
      <c r="B355" s="4">
        <v>0.113</v>
      </c>
      <c r="C355" s="4">
        <f t="shared" si="58"/>
        <v>8.5000000000000006E-2</v>
      </c>
      <c r="D355" s="4">
        <f t="shared" si="51"/>
        <v>1.5554284590900538</v>
      </c>
      <c r="E355" s="4">
        <f t="shared" si="52"/>
        <v>0.57467378325694207</v>
      </c>
      <c r="F355" s="4">
        <f t="shared" si="59"/>
        <v>0</v>
      </c>
      <c r="G355" s="4">
        <f t="shared" si="60"/>
        <v>0.55655717529215432</v>
      </c>
      <c r="H355" s="4">
        <f t="shared" si="53"/>
        <v>0.17035726210350607</v>
      </c>
      <c r="I355" s="4">
        <f t="shared" si="54"/>
        <v>0</v>
      </c>
      <c r="J355" s="2" t="str">
        <f t="shared" si="55"/>
        <v/>
      </c>
      <c r="K355" s="2" t="str">
        <f t="shared" si="56"/>
        <v/>
      </c>
      <c r="L355" s="2" t="str">
        <f t="shared" si="57"/>
        <v/>
      </c>
    </row>
    <row r="356" spans="1:12">
      <c r="A356" s="2">
        <v>344</v>
      </c>
      <c r="B356" s="4">
        <v>0.371</v>
      </c>
      <c r="C356" s="4">
        <f t="shared" si="58"/>
        <v>0.25800000000000001</v>
      </c>
      <c r="D356" s="4">
        <f t="shared" si="51"/>
        <v>1.5554284590900538</v>
      </c>
      <c r="E356" s="4">
        <f t="shared" si="52"/>
        <v>0.57467378325694207</v>
      </c>
      <c r="F356" s="4">
        <f t="shared" si="59"/>
        <v>0</v>
      </c>
      <c r="G356" s="4">
        <f t="shared" si="60"/>
        <v>0.55655717529215432</v>
      </c>
      <c r="H356" s="4">
        <f t="shared" si="53"/>
        <v>0.17035726210350607</v>
      </c>
      <c r="I356" s="4">
        <f t="shared" si="54"/>
        <v>0</v>
      </c>
      <c r="J356" s="2" t="str">
        <f t="shared" si="55"/>
        <v/>
      </c>
      <c r="K356" s="2" t="str">
        <f t="shared" si="56"/>
        <v/>
      </c>
      <c r="L356" s="2" t="str">
        <f t="shared" si="57"/>
        <v/>
      </c>
    </row>
    <row r="357" spans="1:12">
      <c r="A357" s="2">
        <v>345</v>
      </c>
      <c r="B357" s="4">
        <v>0.29599999999999999</v>
      </c>
      <c r="C357" s="4">
        <f t="shared" si="58"/>
        <v>7.5000000000000011E-2</v>
      </c>
      <c r="D357" s="4">
        <f t="shared" si="51"/>
        <v>1.5554284590900538</v>
      </c>
      <c r="E357" s="4">
        <f t="shared" si="52"/>
        <v>0.57467378325694207</v>
      </c>
      <c r="F357" s="4">
        <f t="shared" si="59"/>
        <v>0</v>
      </c>
      <c r="G357" s="4">
        <f t="shared" si="60"/>
        <v>0.55655717529215432</v>
      </c>
      <c r="H357" s="4">
        <f t="shared" si="53"/>
        <v>0.17035726210350607</v>
      </c>
      <c r="I357" s="4">
        <f t="shared" si="54"/>
        <v>0</v>
      </c>
      <c r="J357" s="2" t="str">
        <f t="shared" si="55"/>
        <v/>
      </c>
      <c r="K357" s="2" t="str">
        <f t="shared" si="56"/>
        <v/>
      </c>
      <c r="L357" s="2" t="str">
        <f t="shared" si="57"/>
        <v/>
      </c>
    </row>
    <row r="358" spans="1:12">
      <c r="A358" s="2">
        <v>346</v>
      </c>
      <c r="B358" s="4">
        <v>0.33800000000000002</v>
      </c>
      <c r="C358" s="4">
        <f t="shared" si="58"/>
        <v>4.2000000000000037E-2</v>
      </c>
      <c r="D358" s="4">
        <f t="shared" si="51"/>
        <v>1.5554284590900538</v>
      </c>
      <c r="E358" s="4">
        <f t="shared" si="52"/>
        <v>0.57467378325694207</v>
      </c>
      <c r="F358" s="4">
        <f t="shared" si="59"/>
        <v>0</v>
      </c>
      <c r="G358" s="4">
        <f t="shared" si="60"/>
        <v>0.55655717529215432</v>
      </c>
      <c r="H358" s="4">
        <f t="shared" si="53"/>
        <v>0.17035726210350607</v>
      </c>
      <c r="I358" s="4">
        <f t="shared" si="54"/>
        <v>0</v>
      </c>
      <c r="J358" s="2" t="str">
        <f t="shared" si="55"/>
        <v/>
      </c>
      <c r="K358" s="2" t="str">
        <f t="shared" si="56"/>
        <v/>
      </c>
      <c r="L358" s="2" t="str">
        <f t="shared" si="57"/>
        <v/>
      </c>
    </row>
    <row r="359" spans="1:12">
      <c r="A359" s="2">
        <v>347</v>
      </c>
      <c r="B359" s="4">
        <v>1.1000000000000001</v>
      </c>
      <c r="C359" s="4">
        <f t="shared" si="58"/>
        <v>0.76200000000000001</v>
      </c>
      <c r="D359" s="4">
        <f t="shared" si="51"/>
        <v>1.5554284590900538</v>
      </c>
      <c r="E359" s="4">
        <f t="shared" si="52"/>
        <v>0.57467378325694207</v>
      </c>
      <c r="F359" s="4">
        <f t="shared" si="59"/>
        <v>0</v>
      </c>
      <c r="G359" s="4">
        <f t="shared" si="60"/>
        <v>0.55655717529215432</v>
      </c>
      <c r="H359" s="4">
        <f t="shared" si="53"/>
        <v>0.17035726210350607</v>
      </c>
      <c r="I359" s="4">
        <f t="shared" si="54"/>
        <v>0</v>
      </c>
      <c r="J359" s="2" t="str">
        <f t="shared" si="55"/>
        <v/>
      </c>
      <c r="K359" s="2" t="str">
        <f t="shared" si="56"/>
        <v>Y</v>
      </c>
      <c r="L359" s="2" t="str">
        <f t="shared" si="57"/>
        <v/>
      </c>
    </row>
    <row r="360" spans="1:12">
      <c r="A360" s="2">
        <v>348</v>
      </c>
      <c r="B360" s="4">
        <v>0.63200000000000001</v>
      </c>
      <c r="C360" s="4">
        <f t="shared" si="58"/>
        <v>0.46800000000000008</v>
      </c>
      <c r="D360" s="4">
        <f t="shared" si="51"/>
        <v>1.5554284590900538</v>
      </c>
      <c r="E360" s="4">
        <f t="shared" si="52"/>
        <v>0.57467378325694207</v>
      </c>
      <c r="F360" s="4">
        <f t="shared" si="59"/>
        <v>0</v>
      </c>
      <c r="G360" s="4">
        <f t="shared" si="60"/>
        <v>0.55655717529215432</v>
      </c>
      <c r="H360" s="4">
        <f t="shared" si="53"/>
        <v>0.17035726210350607</v>
      </c>
      <c r="I360" s="4">
        <f t="shared" si="54"/>
        <v>0</v>
      </c>
      <c r="J360" s="2" t="str">
        <f t="shared" si="55"/>
        <v/>
      </c>
      <c r="K360" s="2" t="str">
        <f t="shared" si="56"/>
        <v/>
      </c>
      <c r="L360" s="2" t="str">
        <f t="shared" si="57"/>
        <v/>
      </c>
    </row>
    <row r="361" spans="1:12">
      <c r="A361" s="2">
        <v>349</v>
      </c>
      <c r="B361" s="4">
        <v>0.378</v>
      </c>
      <c r="C361" s="4">
        <f t="shared" si="58"/>
        <v>0.254</v>
      </c>
      <c r="D361" s="4">
        <f t="shared" si="51"/>
        <v>1.5554284590900538</v>
      </c>
      <c r="E361" s="4">
        <f t="shared" si="52"/>
        <v>0.57467378325694207</v>
      </c>
      <c r="F361" s="4">
        <f t="shared" si="59"/>
        <v>0</v>
      </c>
      <c r="G361" s="4">
        <f t="shared" si="60"/>
        <v>0.55655717529215432</v>
      </c>
      <c r="H361" s="4">
        <f t="shared" si="53"/>
        <v>0.17035726210350607</v>
      </c>
      <c r="I361" s="4">
        <f t="shared" si="54"/>
        <v>0</v>
      </c>
      <c r="J361" s="2" t="str">
        <f t="shared" si="55"/>
        <v/>
      </c>
      <c r="K361" s="2" t="str">
        <f t="shared" si="56"/>
        <v/>
      </c>
      <c r="L361" s="2" t="str">
        <f t="shared" si="57"/>
        <v/>
      </c>
    </row>
    <row r="362" spans="1:12">
      <c r="A362" s="2">
        <v>350</v>
      </c>
      <c r="B362" s="4">
        <v>0.34</v>
      </c>
      <c r="C362" s="4">
        <f t="shared" si="58"/>
        <v>3.7999999999999978E-2</v>
      </c>
      <c r="D362" s="4">
        <f t="shared" si="51"/>
        <v>1.5554284590900538</v>
      </c>
      <c r="E362" s="4">
        <f t="shared" si="52"/>
        <v>0.57467378325694207</v>
      </c>
      <c r="F362" s="4">
        <f t="shared" si="59"/>
        <v>0</v>
      </c>
      <c r="G362" s="4">
        <f t="shared" si="60"/>
        <v>0.55655717529215432</v>
      </c>
      <c r="H362" s="4">
        <f t="shared" si="53"/>
        <v>0.17035726210350607</v>
      </c>
      <c r="I362" s="4">
        <f t="shared" si="54"/>
        <v>0</v>
      </c>
      <c r="J362" s="2" t="str">
        <f t="shared" si="55"/>
        <v/>
      </c>
      <c r="K362" s="2" t="str">
        <f t="shared" si="56"/>
        <v/>
      </c>
      <c r="L362" s="2" t="str">
        <f t="shared" si="57"/>
        <v/>
      </c>
    </row>
    <row r="363" spans="1:12">
      <c r="A363" s="2">
        <v>351</v>
      </c>
      <c r="B363" s="4">
        <v>0.218</v>
      </c>
      <c r="C363" s="4">
        <f t="shared" si="58"/>
        <v>0.12200000000000003</v>
      </c>
      <c r="D363" s="4">
        <f t="shared" si="51"/>
        <v>1.5554284590900538</v>
      </c>
      <c r="E363" s="4">
        <f t="shared" si="52"/>
        <v>0.57467378325694207</v>
      </c>
      <c r="F363" s="4">
        <f t="shared" si="59"/>
        <v>0</v>
      </c>
      <c r="G363" s="4">
        <f t="shared" si="60"/>
        <v>0.55655717529215432</v>
      </c>
      <c r="H363" s="4">
        <f t="shared" si="53"/>
        <v>0.17035726210350607</v>
      </c>
      <c r="I363" s="4">
        <f t="shared" si="54"/>
        <v>0</v>
      </c>
      <c r="J363" s="2" t="str">
        <f t="shared" si="55"/>
        <v/>
      </c>
      <c r="K363" s="2" t="str">
        <f t="shared" si="56"/>
        <v/>
      </c>
      <c r="L363" s="2" t="str">
        <f t="shared" si="57"/>
        <v/>
      </c>
    </row>
    <row r="364" spans="1:12">
      <c r="A364" s="2">
        <v>352</v>
      </c>
      <c r="B364" s="4">
        <v>0.35599999999999998</v>
      </c>
      <c r="C364" s="4">
        <f t="shared" si="58"/>
        <v>0.13799999999999998</v>
      </c>
      <c r="D364" s="4">
        <f t="shared" si="51"/>
        <v>1.5554284590900538</v>
      </c>
      <c r="E364" s="4">
        <f t="shared" si="52"/>
        <v>0.57467378325694207</v>
      </c>
      <c r="F364" s="4">
        <f t="shared" si="59"/>
        <v>0</v>
      </c>
      <c r="G364" s="4">
        <f t="shared" si="60"/>
        <v>0.55655717529215432</v>
      </c>
      <c r="H364" s="4">
        <f t="shared" si="53"/>
        <v>0.17035726210350607</v>
      </c>
      <c r="I364" s="4">
        <f t="shared" si="54"/>
        <v>0</v>
      </c>
      <c r="J364" s="2" t="str">
        <f t="shared" si="55"/>
        <v/>
      </c>
      <c r="K364" s="2" t="str">
        <f t="shared" si="56"/>
        <v/>
      </c>
      <c r="L364" s="2" t="str">
        <f t="shared" si="57"/>
        <v/>
      </c>
    </row>
    <row r="365" spans="1:12">
      <c r="A365" s="2">
        <v>353</v>
      </c>
      <c r="B365" s="4">
        <v>0.55300000000000005</v>
      </c>
      <c r="C365" s="4">
        <f t="shared" si="58"/>
        <v>0.19700000000000006</v>
      </c>
      <c r="D365" s="4">
        <f t="shared" si="51"/>
        <v>1.5554284590900538</v>
      </c>
      <c r="E365" s="4">
        <f t="shared" si="52"/>
        <v>0.57467378325694207</v>
      </c>
      <c r="F365" s="4">
        <f t="shared" si="59"/>
        <v>0</v>
      </c>
      <c r="G365" s="4">
        <f t="shared" si="60"/>
        <v>0.55655717529215432</v>
      </c>
      <c r="H365" s="4">
        <f t="shared" si="53"/>
        <v>0.17035726210350607</v>
      </c>
      <c r="I365" s="4">
        <f t="shared" si="54"/>
        <v>0</v>
      </c>
      <c r="J365" s="2" t="str">
        <f t="shared" si="55"/>
        <v/>
      </c>
      <c r="K365" s="2" t="str">
        <f t="shared" si="56"/>
        <v/>
      </c>
      <c r="L365" s="2" t="str">
        <f t="shared" si="57"/>
        <v/>
      </c>
    </row>
    <row r="366" spans="1:12">
      <c r="A366" s="2">
        <v>354</v>
      </c>
      <c r="B366" s="4">
        <v>0.22900000000000001</v>
      </c>
      <c r="C366" s="4">
        <f t="shared" si="58"/>
        <v>0.32400000000000007</v>
      </c>
      <c r="D366" s="4">
        <f t="shared" si="51"/>
        <v>1.5554284590900538</v>
      </c>
      <c r="E366" s="4">
        <f t="shared" si="52"/>
        <v>0.57467378325694207</v>
      </c>
      <c r="F366" s="4">
        <f t="shared" si="59"/>
        <v>0</v>
      </c>
      <c r="G366" s="4">
        <f t="shared" si="60"/>
        <v>0.55655717529215432</v>
      </c>
      <c r="H366" s="4">
        <f t="shared" si="53"/>
        <v>0.17035726210350607</v>
      </c>
      <c r="I366" s="4">
        <f t="shared" si="54"/>
        <v>0</v>
      </c>
      <c r="J366" s="2" t="str">
        <f t="shared" si="55"/>
        <v/>
      </c>
      <c r="K366" s="2" t="str">
        <f t="shared" si="56"/>
        <v/>
      </c>
      <c r="L366" s="2" t="str">
        <f t="shared" si="57"/>
        <v/>
      </c>
    </row>
    <row r="367" spans="1:12">
      <c r="A367" s="2">
        <v>355</v>
      </c>
      <c r="B367" s="4">
        <v>8.7999999999999995E-2</v>
      </c>
      <c r="C367" s="4">
        <f t="shared" si="58"/>
        <v>0.14100000000000001</v>
      </c>
      <c r="D367" s="4">
        <f t="shared" si="51"/>
        <v>1.5554284590900538</v>
      </c>
      <c r="E367" s="4">
        <f t="shared" si="52"/>
        <v>0.57467378325694207</v>
      </c>
      <c r="F367" s="4">
        <f t="shared" si="59"/>
        <v>0</v>
      </c>
      <c r="G367" s="4">
        <f t="shared" si="60"/>
        <v>0.55655717529215432</v>
      </c>
      <c r="H367" s="4">
        <f t="shared" si="53"/>
        <v>0.17035726210350607</v>
      </c>
      <c r="I367" s="4">
        <f t="shared" si="54"/>
        <v>0</v>
      </c>
      <c r="J367" s="2" t="str">
        <f t="shared" si="55"/>
        <v/>
      </c>
      <c r="K367" s="2" t="str">
        <f t="shared" si="56"/>
        <v/>
      </c>
      <c r="L367" s="2" t="str">
        <f t="shared" si="57"/>
        <v/>
      </c>
    </row>
    <row r="368" spans="1:12">
      <c r="A368" s="2">
        <v>356</v>
      </c>
      <c r="B368" s="4">
        <v>0.214</v>
      </c>
      <c r="C368" s="4">
        <f t="shared" si="58"/>
        <v>0.126</v>
      </c>
      <c r="D368" s="4">
        <f t="shared" si="51"/>
        <v>1.5554284590900538</v>
      </c>
      <c r="E368" s="4">
        <f t="shared" si="52"/>
        <v>0.57467378325694207</v>
      </c>
      <c r="F368" s="4">
        <f t="shared" si="59"/>
        <v>0</v>
      </c>
      <c r="G368" s="4">
        <f t="shared" si="60"/>
        <v>0.55655717529215432</v>
      </c>
      <c r="H368" s="4">
        <f t="shared" si="53"/>
        <v>0.17035726210350607</v>
      </c>
      <c r="I368" s="4">
        <f t="shared" si="54"/>
        <v>0</v>
      </c>
      <c r="J368" s="2" t="str">
        <f t="shared" si="55"/>
        <v/>
      </c>
      <c r="K368" s="2" t="str">
        <f t="shared" si="56"/>
        <v/>
      </c>
      <c r="L368" s="2" t="str">
        <f t="shared" si="57"/>
        <v/>
      </c>
    </row>
    <row r="369" spans="1:12">
      <c r="A369" s="2">
        <v>357</v>
      </c>
      <c r="B369" s="4">
        <v>0.14000000000000001</v>
      </c>
      <c r="C369" s="4">
        <f t="shared" si="58"/>
        <v>7.3999999999999982E-2</v>
      </c>
      <c r="D369" s="4">
        <f t="shared" si="51"/>
        <v>1.5554284590900538</v>
      </c>
      <c r="E369" s="4">
        <f t="shared" si="52"/>
        <v>0.57467378325694207</v>
      </c>
      <c r="F369" s="4">
        <f t="shared" si="59"/>
        <v>0</v>
      </c>
      <c r="G369" s="4">
        <f t="shared" si="60"/>
        <v>0.55655717529215432</v>
      </c>
      <c r="H369" s="4">
        <f t="shared" si="53"/>
        <v>0.17035726210350607</v>
      </c>
      <c r="I369" s="4">
        <f t="shared" si="54"/>
        <v>0</v>
      </c>
      <c r="J369" s="2" t="str">
        <f t="shared" si="55"/>
        <v/>
      </c>
      <c r="K369" s="2" t="str">
        <f t="shared" si="56"/>
        <v/>
      </c>
      <c r="L369" s="2" t="str">
        <f t="shared" si="57"/>
        <v/>
      </c>
    </row>
    <row r="370" spans="1:12">
      <c r="A370" s="2">
        <v>358</v>
      </c>
      <c r="B370" s="4">
        <v>0.39300000000000002</v>
      </c>
      <c r="C370" s="4">
        <f t="shared" si="58"/>
        <v>0.253</v>
      </c>
      <c r="D370" s="4">
        <f t="shared" si="51"/>
        <v>1.5554284590900538</v>
      </c>
      <c r="E370" s="4">
        <f t="shared" si="52"/>
        <v>0.57467378325694207</v>
      </c>
      <c r="F370" s="4">
        <f t="shared" si="59"/>
        <v>0</v>
      </c>
      <c r="G370" s="4">
        <f t="shared" si="60"/>
        <v>0.55655717529215432</v>
      </c>
      <c r="H370" s="4">
        <f t="shared" si="53"/>
        <v>0.17035726210350607</v>
      </c>
      <c r="I370" s="4">
        <f t="shared" si="54"/>
        <v>0</v>
      </c>
      <c r="J370" s="2" t="str">
        <f t="shared" si="55"/>
        <v/>
      </c>
      <c r="K370" s="2" t="str">
        <f t="shared" si="56"/>
        <v/>
      </c>
      <c r="L370" s="2" t="str">
        <f t="shared" si="57"/>
        <v/>
      </c>
    </row>
    <row r="371" spans="1:12">
      <c r="A371" s="2">
        <v>359</v>
      </c>
      <c r="B371" s="4">
        <v>0.373</v>
      </c>
      <c r="C371" s="4">
        <f t="shared" si="58"/>
        <v>2.0000000000000018E-2</v>
      </c>
      <c r="D371" s="4">
        <f t="shared" si="51"/>
        <v>1.5554284590900538</v>
      </c>
      <c r="E371" s="4">
        <f t="shared" si="52"/>
        <v>0.57467378325694207</v>
      </c>
      <c r="F371" s="4">
        <f t="shared" si="59"/>
        <v>0</v>
      </c>
      <c r="G371" s="4">
        <f t="shared" si="60"/>
        <v>0.55655717529215432</v>
      </c>
      <c r="H371" s="4">
        <f t="shared" si="53"/>
        <v>0.17035726210350607</v>
      </c>
      <c r="I371" s="4">
        <f t="shared" si="54"/>
        <v>0</v>
      </c>
      <c r="J371" s="2" t="str">
        <f t="shared" si="55"/>
        <v/>
      </c>
      <c r="K371" s="2" t="str">
        <f t="shared" si="56"/>
        <v/>
      </c>
      <c r="L371" s="2" t="str">
        <f t="shared" si="57"/>
        <v/>
      </c>
    </row>
    <row r="372" spans="1:12">
      <c r="A372" s="2">
        <v>360</v>
      </c>
      <c r="B372" s="4">
        <v>0.312</v>
      </c>
      <c r="C372" s="4">
        <f t="shared" si="58"/>
        <v>6.0999999999999999E-2</v>
      </c>
      <c r="D372" s="4">
        <f t="shared" si="51"/>
        <v>1.5554284590900538</v>
      </c>
      <c r="E372" s="4">
        <f t="shared" si="52"/>
        <v>0.57467378325694207</v>
      </c>
      <c r="F372" s="4">
        <f t="shared" si="59"/>
        <v>0</v>
      </c>
      <c r="G372" s="4">
        <f t="shared" si="60"/>
        <v>0.55655717529215432</v>
      </c>
      <c r="H372" s="4">
        <f t="shared" si="53"/>
        <v>0.17035726210350607</v>
      </c>
      <c r="I372" s="4">
        <f t="shared" si="54"/>
        <v>0</v>
      </c>
      <c r="J372" s="2" t="str">
        <f t="shared" si="55"/>
        <v/>
      </c>
      <c r="K372" s="2" t="str">
        <f t="shared" si="56"/>
        <v/>
      </c>
      <c r="L372" s="2" t="str">
        <f t="shared" si="57"/>
        <v/>
      </c>
    </row>
    <row r="373" spans="1:12">
      <c r="A373" s="2">
        <v>361</v>
      </c>
      <c r="B373" s="4">
        <v>0.26700000000000002</v>
      </c>
      <c r="C373" s="4">
        <f t="shared" si="58"/>
        <v>4.4999999999999984E-2</v>
      </c>
      <c r="D373" s="4">
        <f t="shared" si="51"/>
        <v>1.5554284590900538</v>
      </c>
      <c r="E373" s="4">
        <f t="shared" si="52"/>
        <v>0.57467378325694207</v>
      </c>
      <c r="F373" s="4">
        <f t="shared" si="59"/>
        <v>0</v>
      </c>
      <c r="G373" s="4">
        <f t="shared" si="60"/>
        <v>0.55655717529215432</v>
      </c>
      <c r="H373" s="4">
        <f t="shared" si="53"/>
        <v>0.17035726210350607</v>
      </c>
      <c r="I373" s="4">
        <f t="shared" si="54"/>
        <v>0</v>
      </c>
      <c r="J373" s="2" t="str">
        <f t="shared" si="55"/>
        <v/>
      </c>
      <c r="K373" s="2" t="str">
        <f t="shared" si="56"/>
        <v/>
      </c>
      <c r="L373" s="2" t="str">
        <f t="shared" si="57"/>
        <v/>
      </c>
    </row>
    <row r="374" spans="1:12">
      <c r="A374" s="2">
        <v>362</v>
      </c>
      <c r="B374" s="4">
        <v>0.33100000000000002</v>
      </c>
      <c r="C374" s="4">
        <f t="shared" si="58"/>
        <v>6.4000000000000001E-2</v>
      </c>
      <c r="D374" s="4">
        <f t="shared" si="51"/>
        <v>1.5554284590900538</v>
      </c>
      <c r="E374" s="4">
        <f t="shared" si="52"/>
        <v>0.57467378325694207</v>
      </c>
      <c r="F374" s="4">
        <f t="shared" si="59"/>
        <v>0</v>
      </c>
      <c r="G374" s="4">
        <f t="shared" si="60"/>
        <v>0.55655717529215432</v>
      </c>
      <c r="H374" s="4">
        <f t="shared" si="53"/>
        <v>0.17035726210350607</v>
      </c>
      <c r="I374" s="4">
        <f t="shared" si="54"/>
        <v>0</v>
      </c>
      <c r="J374" s="2" t="str">
        <f t="shared" si="55"/>
        <v/>
      </c>
      <c r="K374" s="2" t="str">
        <f t="shared" si="56"/>
        <v/>
      </c>
      <c r="L374" s="2" t="str">
        <f t="shared" si="57"/>
        <v/>
      </c>
    </row>
    <row r="375" spans="1:12">
      <c r="A375" s="2">
        <v>363</v>
      </c>
      <c r="B375" s="4">
        <v>0.29799999999999999</v>
      </c>
      <c r="C375" s="4">
        <f t="shared" si="58"/>
        <v>3.3000000000000029E-2</v>
      </c>
      <c r="D375" s="4">
        <f t="shared" si="51"/>
        <v>1.5554284590900538</v>
      </c>
      <c r="E375" s="4">
        <f t="shared" si="52"/>
        <v>0.57467378325694207</v>
      </c>
      <c r="F375" s="4">
        <f t="shared" si="59"/>
        <v>0</v>
      </c>
      <c r="G375" s="4">
        <f t="shared" si="60"/>
        <v>0.55655717529215432</v>
      </c>
      <c r="H375" s="4">
        <f t="shared" si="53"/>
        <v>0.17035726210350607</v>
      </c>
      <c r="I375" s="4">
        <f t="shared" si="54"/>
        <v>0</v>
      </c>
      <c r="J375" s="2" t="str">
        <f t="shared" si="55"/>
        <v/>
      </c>
      <c r="K375" s="2" t="str">
        <f t="shared" si="56"/>
        <v/>
      </c>
      <c r="L375" s="2" t="str">
        <f t="shared" si="57"/>
        <v/>
      </c>
    </row>
    <row r="376" spans="1:12">
      <c r="A376" s="2">
        <v>364</v>
      </c>
      <c r="B376" s="4">
        <v>0.42299999999999999</v>
      </c>
      <c r="C376" s="4">
        <f t="shared" si="58"/>
        <v>0.125</v>
      </c>
      <c r="D376" s="4">
        <f t="shared" si="51"/>
        <v>1.5554284590900538</v>
      </c>
      <c r="E376" s="4">
        <f t="shared" si="52"/>
        <v>0.57467378325694207</v>
      </c>
      <c r="F376" s="4">
        <f t="shared" si="59"/>
        <v>0</v>
      </c>
      <c r="G376" s="4">
        <f t="shared" si="60"/>
        <v>0.55655717529215432</v>
      </c>
      <c r="H376" s="4">
        <f t="shared" si="53"/>
        <v>0.17035726210350607</v>
      </c>
      <c r="I376" s="4">
        <f t="shared" si="54"/>
        <v>0</v>
      </c>
      <c r="J376" s="2" t="str">
        <f t="shared" si="55"/>
        <v/>
      </c>
      <c r="K376" s="2" t="str">
        <f t="shared" si="56"/>
        <v/>
      </c>
      <c r="L376" s="2" t="str">
        <f t="shared" si="57"/>
        <v/>
      </c>
    </row>
    <row r="377" spans="1:12">
      <c r="A377" s="2">
        <v>365</v>
      </c>
      <c r="B377" s="4">
        <v>0.28100000000000003</v>
      </c>
      <c r="C377" s="4">
        <f t="shared" si="58"/>
        <v>0.14199999999999996</v>
      </c>
      <c r="D377" s="4">
        <f t="shared" si="51"/>
        <v>1.5554284590900538</v>
      </c>
      <c r="E377" s="4">
        <f t="shared" si="52"/>
        <v>0.57467378325694207</v>
      </c>
      <c r="F377" s="4">
        <f t="shared" si="59"/>
        <v>0</v>
      </c>
      <c r="G377" s="4">
        <f t="shared" si="60"/>
        <v>0.55655717529215432</v>
      </c>
      <c r="H377" s="4">
        <f t="shared" si="53"/>
        <v>0.17035726210350607</v>
      </c>
      <c r="I377" s="4">
        <f t="shared" si="54"/>
        <v>0</v>
      </c>
      <c r="J377" s="2" t="str">
        <f t="shared" si="55"/>
        <v/>
      </c>
      <c r="K377" s="2" t="str">
        <f t="shared" si="56"/>
        <v/>
      </c>
      <c r="L377" s="2" t="str">
        <f t="shared" si="57"/>
        <v/>
      </c>
    </row>
    <row r="378" spans="1:12">
      <c r="A378" s="2">
        <v>366</v>
      </c>
      <c r="B378" s="4">
        <v>0.27800000000000002</v>
      </c>
      <c r="C378" s="4">
        <f t="shared" si="58"/>
        <v>3.0000000000000027E-3</v>
      </c>
      <c r="D378" s="4">
        <f t="shared" si="51"/>
        <v>1.5554284590900538</v>
      </c>
      <c r="E378" s="4">
        <f t="shared" si="52"/>
        <v>0.57467378325694207</v>
      </c>
      <c r="F378" s="4">
        <f t="shared" si="59"/>
        <v>0</v>
      </c>
      <c r="G378" s="4">
        <f t="shared" si="60"/>
        <v>0.55655717529215432</v>
      </c>
      <c r="H378" s="4">
        <f t="shared" si="53"/>
        <v>0.17035726210350607</v>
      </c>
      <c r="I378" s="4">
        <f t="shared" si="54"/>
        <v>0</v>
      </c>
      <c r="J378" s="2" t="str">
        <f t="shared" si="55"/>
        <v/>
      </c>
      <c r="K378" s="2" t="str">
        <f t="shared" si="56"/>
        <v/>
      </c>
      <c r="L378" s="2" t="str">
        <f t="shared" si="57"/>
        <v/>
      </c>
    </row>
    <row r="379" spans="1:12">
      <c r="A379" s="2">
        <v>367</v>
      </c>
      <c r="B379" s="4">
        <v>0.374</v>
      </c>
      <c r="C379" s="4">
        <f t="shared" si="58"/>
        <v>9.5999999999999974E-2</v>
      </c>
      <c r="D379" s="4">
        <f t="shared" si="51"/>
        <v>1.5554284590900538</v>
      </c>
      <c r="E379" s="4">
        <f t="shared" si="52"/>
        <v>0.57467378325694207</v>
      </c>
      <c r="F379" s="4">
        <f t="shared" si="59"/>
        <v>0</v>
      </c>
      <c r="G379" s="4">
        <f t="shared" si="60"/>
        <v>0.55655717529215432</v>
      </c>
      <c r="H379" s="4">
        <f t="shared" si="53"/>
        <v>0.17035726210350607</v>
      </c>
      <c r="I379" s="4">
        <f t="shared" si="54"/>
        <v>0</v>
      </c>
      <c r="J379" s="2" t="str">
        <f t="shared" si="55"/>
        <v/>
      </c>
      <c r="K379" s="2" t="str">
        <f t="shared" si="56"/>
        <v/>
      </c>
      <c r="L379" s="2" t="str">
        <f t="shared" si="57"/>
        <v/>
      </c>
    </row>
    <row r="380" spans="1:12">
      <c r="A380" s="2">
        <v>368</v>
      </c>
      <c r="B380" s="4">
        <v>0.17</v>
      </c>
      <c r="C380" s="4">
        <f t="shared" si="58"/>
        <v>0.20399999999999999</v>
      </c>
      <c r="D380" s="4">
        <f t="shared" si="51"/>
        <v>1.5554284590900538</v>
      </c>
      <c r="E380" s="4">
        <f t="shared" si="52"/>
        <v>0.57467378325694207</v>
      </c>
      <c r="F380" s="4">
        <f t="shared" si="59"/>
        <v>0</v>
      </c>
      <c r="G380" s="4">
        <f t="shared" si="60"/>
        <v>0.55655717529215432</v>
      </c>
      <c r="H380" s="4">
        <f t="shared" si="53"/>
        <v>0.17035726210350607</v>
      </c>
      <c r="I380" s="4">
        <f t="shared" si="54"/>
        <v>0</v>
      </c>
      <c r="J380" s="2" t="str">
        <f t="shared" si="55"/>
        <v/>
      </c>
      <c r="K380" s="2" t="str">
        <f t="shared" si="56"/>
        <v/>
      </c>
      <c r="L380" s="2" t="str">
        <f t="shared" si="57"/>
        <v/>
      </c>
    </row>
    <row r="381" spans="1:12">
      <c r="A381" s="2">
        <v>369</v>
      </c>
      <c r="B381" s="4">
        <v>0.23200000000000001</v>
      </c>
      <c r="C381" s="4">
        <f t="shared" si="58"/>
        <v>6.2E-2</v>
      </c>
      <c r="D381" s="4">
        <f t="shared" si="51"/>
        <v>1.5554284590900538</v>
      </c>
      <c r="E381" s="4">
        <f t="shared" si="52"/>
        <v>0.57467378325694207</v>
      </c>
      <c r="F381" s="4">
        <f t="shared" si="59"/>
        <v>0</v>
      </c>
      <c r="G381" s="4">
        <f t="shared" si="60"/>
        <v>0.55655717529215432</v>
      </c>
      <c r="H381" s="4">
        <f t="shared" si="53"/>
        <v>0.17035726210350607</v>
      </c>
      <c r="I381" s="4">
        <f t="shared" si="54"/>
        <v>0</v>
      </c>
      <c r="J381" s="2" t="str">
        <f t="shared" si="55"/>
        <v/>
      </c>
      <c r="K381" s="2" t="str">
        <f t="shared" si="56"/>
        <v/>
      </c>
      <c r="L381" s="2" t="str">
        <f t="shared" si="57"/>
        <v/>
      </c>
    </row>
    <row r="382" spans="1:12">
      <c r="A382" s="2">
        <v>370</v>
      </c>
      <c r="B382" s="4">
        <v>0.38500000000000001</v>
      </c>
      <c r="C382" s="4">
        <f t="shared" si="58"/>
        <v>0.153</v>
      </c>
      <c r="D382" s="4">
        <f t="shared" si="51"/>
        <v>1.5554284590900538</v>
      </c>
      <c r="E382" s="4">
        <f t="shared" si="52"/>
        <v>0.57467378325694207</v>
      </c>
      <c r="F382" s="4">
        <f t="shared" si="59"/>
        <v>0</v>
      </c>
      <c r="G382" s="4">
        <f t="shared" si="60"/>
        <v>0.55655717529215432</v>
      </c>
      <c r="H382" s="4">
        <f t="shared" si="53"/>
        <v>0.17035726210350607</v>
      </c>
      <c r="I382" s="4">
        <f t="shared" si="54"/>
        <v>0</v>
      </c>
      <c r="J382" s="2" t="str">
        <f t="shared" si="55"/>
        <v/>
      </c>
      <c r="K382" s="2" t="str">
        <f t="shared" si="56"/>
        <v/>
      </c>
      <c r="L382" s="2" t="str">
        <f t="shared" si="57"/>
        <v/>
      </c>
    </row>
    <row r="383" spans="1:12">
      <c r="A383" s="2">
        <v>371</v>
      </c>
      <c r="B383" s="4">
        <v>0.246</v>
      </c>
      <c r="C383" s="4">
        <f t="shared" si="58"/>
        <v>0.13900000000000001</v>
      </c>
      <c r="D383" s="4">
        <f t="shared" si="51"/>
        <v>1.5554284590900538</v>
      </c>
      <c r="E383" s="4">
        <f t="shared" si="52"/>
        <v>0.57467378325694207</v>
      </c>
      <c r="F383" s="4">
        <f t="shared" si="59"/>
        <v>0</v>
      </c>
      <c r="G383" s="4">
        <f t="shared" si="60"/>
        <v>0.55655717529215432</v>
      </c>
      <c r="H383" s="4">
        <f t="shared" si="53"/>
        <v>0.17035726210350607</v>
      </c>
      <c r="I383" s="4">
        <f t="shared" si="54"/>
        <v>0</v>
      </c>
      <c r="J383" s="2" t="str">
        <f t="shared" si="55"/>
        <v/>
      </c>
      <c r="K383" s="2" t="str">
        <f t="shared" si="56"/>
        <v/>
      </c>
      <c r="L383" s="2" t="str">
        <f t="shared" si="57"/>
        <v/>
      </c>
    </row>
    <row r="384" spans="1:12">
      <c r="A384" s="2">
        <v>372</v>
      </c>
      <c r="B384" s="4">
        <v>0.60099999999999998</v>
      </c>
      <c r="C384" s="4">
        <f t="shared" si="58"/>
        <v>0.35499999999999998</v>
      </c>
      <c r="D384" s="4">
        <f t="shared" si="51"/>
        <v>1.5554284590900538</v>
      </c>
      <c r="E384" s="4">
        <f t="shared" si="52"/>
        <v>0.57467378325694207</v>
      </c>
      <c r="F384" s="4">
        <f t="shared" si="59"/>
        <v>0</v>
      </c>
      <c r="G384" s="4">
        <f t="shared" si="60"/>
        <v>0.55655717529215432</v>
      </c>
      <c r="H384" s="4">
        <f t="shared" si="53"/>
        <v>0.17035726210350607</v>
      </c>
      <c r="I384" s="4">
        <f t="shared" si="54"/>
        <v>0</v>
      </c>
      <c r="J384" s="2" t="str">
        <f t="shared" si="55"/>
        <v/>
      </c>
      <c r="K384" s="2" t="str">
        <f t="shared" si="56"/>
        <v/>
      </c>
      <c r="L384" s="2" t="str">
        <f t="shared" si="57"/>
        <v/>
      </c>
    </row>
    <row r="385" spans="1:12">
      <c r="A385" s="2">
        <v>373</v>
      </c>
      <c r="B385" s="4">
        <v>9.7000000000000003E-2</v>
      </c>
      <c r="C385" s="4">
        <f t="shared" si="58"/>
        <v>0.504</v>
      </c>
      <c r="D385" s="4">
        <f t="shared" si="51"/>
        <v>1.5554284590900538</v>
      </c>
      <c r="E385" s="4">
        <f t="shared" si="52"/>
        <v>0.57467378325694207</v>
      </c>
      <c r="F385" s="4">
        <f t="shared" si="59"/>
        <v>0</v>
      </c>
      <c r="G385" s="4">
        <f t="shared" si="60"/>
        <v>0.55655717529215432</v>
      </c>
      <c r="H385" s="4">
        <f t="shared" si="53"/>
        <v>0.17035726210350607</v>
      </c>
      <c r="I385" s="4">
        <f t="shared" si="54"/>
        <v>0</v>
      </c>
      <c r="J385" s="2" t="str">
        <f t="shared" si="55"/>
        <v/>
      </c>
      <c r="K385" s="2" t="str">
        <f t="shared" si="56"/>
        <v/>
      </c>
      <c r="L385" s="2" t="str">
        <f t="shared" si="57"/>
        <v/>
      </c>
    </row>
    <row r="386" spans="1:12">
      <c r="A386" s="2">
        <v>374</v>
      </c>
      <c r="B386" s="4">
        <v>0.24</v>
      </c>
      <c r="C386" s="4">
        <f t="shared" si="58"/>
        <v>0.14299999999999999</v>
      </c>
      <c r="D386" s="4">
        <f t="shared" si="51"/>
        <v>1.5554284590900538</v>
      </c>
      <c r="E386" s="4">
        <f t="shared" si="52"/>
        <v>0.57467378325694207</v>
      </c>
      <c r="F386" s="4">
        <f t="shared" si="59"/>
        <v>0</v>
      </c>
      <c r="G386" s="4">
        <f t="shared" si="60"/>
        <v>0.55655717529215432</v>
      </c>
      <c r="H386" s="4">
        <f t="shared" si="53"/>
        <v>0.17035726210350607</v>
      </c>
      <c r="I386" s="4">
        <f t="shared" si="54"/>
        <v>0</v>
      </c>
      <c r="J386" s="2" t="str">
        <f t="shared" si="55"/>
        <v/>
      </c>
      <c r="K386" s="2" t="str">
        <f t="shared" si="56"/>
        <v/>
      </c>
      <c r="L386" s="2" t="str">
        <f t="shared" si="57"/>
        <v/>
      </c>
    </row>
    <row r="387" spans="1:12">
      <c r="A387" s="2">
        <v>375</v>
      </c>
      <c r="B387" s="4">
        <v>0.23599999999999999</v>
      </c>
      <c r="C387" s="4">
        <f t="shared" si="58"/>
        <v>4.0000000000000036E-3</v>
      </c>
      <c r="D387" s="4">
        <f t="shared" si="51"/>
        <v>1.5554284590900538</v>
      </c>
      <c r="E387" s="4">
        <f t="shared" si="52"/>
        <v>0.57467378325694207</v>
      </c>
      <c r="F387" s="4">
        <f t="shared" si="59"/>
        <v>0</v>
      </c>
      <c r="G387" s="4">
        <f t="shared" si="60"/>
        <v>0.55655717529215432</v>
      </c>
      <c r="H387" s="4">
        <f t="shared" si="53"/>
        <v>0.17035726210350607</v>
      </c>
      <c r="I387" s="4">
        <f t="shared" si="54"/>
        <v>0</v>
      </c>
      <c r="J387" s="2" t="str">
        <f t="shared" si="55"/>
        <v/>
      </c>
      <c r="K387" s="2" t="str">
        <f t="shared" si="56"/>
        <v/>
      </c>
      <c r="L387" s="2" t="str">
        <f t="shared" si="57"/>
        <v/>
      </c>
    </row>
    <row r="388" spans="1:12">
      <c r="A388" s="2">
        <v>376</v>
      </c>
      <c r="B388" s="4">
        <v>0.28100000000000003</v>
      </c>
      <c r="C388" s="4">
        <f t="shared" si="58"/>
        <v>4.500000000000004E-2</v>
      </c>
      <c r="D388" s="4">
        <f t="shared" si="51"/>
        <v>1.5554284590900538</v>
      </c>
      <c r="E388" s="4">
        <f t="shared" si="52"/>
        <v>0.57467378325694207</v>
      </c>
      <c r="F388" s="4">
        <f t="shared" si="59"/>
        <v>0</v>
      </c>
      <c r="G388" s="4">
        <f t="shared" si="60"/>
        <v>0.55655717529215432</v>
      </c>
      <c r="H388" s="4">
        <f t="shared" si="53"/>
        <v>0.17035726210350607</v>
      </c>
      <c r="I388" s="4">
        <f t="shared" si="54"/>
        <v>0</v>
      </c>
      <c r="J388" s="2" t="str">
        <f t="shared" si="55"/>
        <v/>
      </c>
      <c r="K388" s="2" t="str">
        <f t="shared" si="56"/>
        <v/>
      </c>
      <c r="L388" s="2" t="str">
        <f t="shared" si="57"/>
        <v/>
      </c>
    </row>
    <row r="389" spans="1:12">
      <c r="A389" s="2">
        <v>377</v>
      </c>
      <c r="B389" s="4">
        <v>0.20899999999999999</v>
      </c>
      <c r="C389" s="4">
        <f t="shared" si="58"/>
        <v>7.2000000000000036E-2</v>
      </c>
      <c r="D389" s="4">
        <f t="shared" si="51"/>
        <v>1.5554284590900538</v>
      </c>
      <c r="E389" s="4">
        <f t="shared" si="52"/>
        <v>0.57467378325694207</v>
      </c>
      <c r="F389" s="4">
        <f t="shared" si="59"/>
        <v>0</v>
      </c>
      <c r="G389" s="4">
        <f t="shared" si="60"/>
        <v>0.55655717529215432</v>
      </c>
      <c r="H389" s="4">
        <f t="shared" si="53"/>
        <v>0.17035726210350607</v>
      </c>
      <c r="I389" s="4">
        <f t="shared" si="54"/>
        <v>0</v>
      </c>
      <c r="J389" s="2" t="str">
        <f t="shared" si="55"/>
        <v/>
      </c>
      <c r="K389" s="2" t="str">
        <f t="shared" si="56"/>
        <v/>
      </c>
      <c r="L389" s="2" t="str">
        <f t="shared" si="57"/>
        <v/>
      </c>
    </row>
    <row r="390" spans="1:12">
      <c r="A390" s="2">
        <v>378</v>
      </c>
      <c r="B390" s="4">
        <v>0.8</v>
      </c>
      <c r="C390" s="4">
        <f t="shared" si="58"/>
        <v>0.59100000000000008</v>
      </c>
      <c r="D390" s="4">
        <f t="shared" si="51"/>
        <v>1.5554284590900538</v>
      </c>
      <c r="E390" s="4">
        <f t="shared" si="52"/>
        <v>0.57467378325694207</v>
      </c>
      <c r="F390" s="4">
        <f t="shared" si="59"/>
        <v>0</v>
      </c>
      <c r="G390" s="4">
        <f t="shared" si="60"/>
        <v>0.55655717529215432</v>
      </c>
      <c r="H390" s="4">
        <f t="shared" si="53"/>
        <v>0.17035726210350607</v>
      </c>
      <c r="I390" s="4">
        <f t="shared" si="54"/>
        <v>0</v>
      </c>
      <c r="J390" s="2" t="str">
        <f t="shared" si="55"/>
        <v/>
      </c>
      <c r="K390" s="2" t="str">
        <f t="shared" si="56"/>
        <v>Y</v>
      </c>
      <c r="L390" s="2" t="str">
        <f t="shared" si="57"/>
        <v/>
      </c>
    </row>
    <row r="391" spans="1:12">
      <c r="A391" s="2">
        <v>379</v>
      </c>
      <c r="B391" s="4">
        <v>0.13</v>
      </c>
      <c r="C391" s="4">
        <f t="shared" si="58"/>
        <v>0.67</v>
      </c>
      <c r="D391" s="4">
        <f t="shared" si="51"/>
        <v>1.5554284590900538</v>
      </c>
      <c r="E391" s="4">
        <f t="shared" si="52"/>
        <v>0.57467378325694207</v>
      </c>
      <c r="F391" s="4">
        <f t="shared" si="59"/>
        <v>0</v>
      </c>
      <c r="G391" s="4">
        <f t="shared" si="60"/>
        <v>0.55655717529215432</v>
      </c>
      <c r="H391" s="4">
        <f t="shared" si="53"/>
        <v>0.17035726210350607</v>
      </c>
      <c r="I391" s="4">
        <f t="shared" si="54"/>
        <v>0</v>
      </c>
      <c r="J391" s="2" t="str">
        <f t="shared" si="55"/>
        <v/>
      </c>
      <c r="K391" s="2" t="str">
        <f t="shared" si="56"/>
        <v>Y</v>
      </c>
      <c r="L391" s="2" t="str">
        <f t="shared" si="57"/>
        <v/>
      </c>
    </row>
    <row r="392" spans="1:12">
      <c r="A392" s="2">
        <v>380</v>
      </c>
      <c r="B392" s="4">
        <v>0.36799999999999999</v>
      </c>
      <c r="C392" s="4">
        <f t="shared" si="58"/>
        <v>0.23799999999999999</v>
      </c>
      <c r="D392" s="4">
        <f t="shared" si="51"/>
        <v>1.5554284590900538</v>
      </c>
      <c r="E392" s="4">
        <f t="shared" si="52"/>
        <v>0.57467378325694207</v>
      </c>
      <c r="F392" s="4">
        <f t="shared" si="59"/>
        <v>0</v>
      </c>
      <c r="G392" s="4">
        <f t="shared" si="60"/>
        <v>0.55655717529215432</v>
      </c>
      <c r="H392" s="4">
        <f t="shared" si="53"/>
        <v>0.17035726210350607</v>
      </c>
      <c r="I392" s="4">
        <f t="shared" si="54"/>
        <v>0</v>
      </c>
      <c r="J392" s="2" t="str">
        <f t="shared" si="55"/>
        <v/>
      </c>
      <c r="K392" s="2" t="str">
        <f t="shared" si="56"/>
        <v/>
      </c>
      <c r="L392" s="2" t="str">
        <f t="shared" si="57"/>
        <v/>
      </c>
    </row>
    <row r="393" spans="1:12">
      <c r="A393" s="2">
        <v>381</v>
      </c>
      <c r="B393" s="4">
        <v>0.11899999999999999</v>
      </c>
      <c r="C393" s="4">
        <f t="shared" si="58"/>
        <v>0.249</v>
      </c>
      <c r="D393" s="4">
        <f t="shared" si="51"/>
        <v>1.5554284590900538</v>
      </c>
      <c r="E393" s="4">
        <f t="shared" si="52"/>
        <v>0.57467378325694207</v>
      </c>
      <c r="F393" s="4">
        <f t="shared" si="59"/>
        <v>0</v>
      </c>
      <c r="G393" s="4">
        <f t="shared" si="60"/>
        <v>0.55655717529215432</v>
      </c>
      <c r="H393" s="4">
        <f t="shared" si="53"/>
        <v>0.17035726210350607</v>
      </c>
      <c r="I393" s="4">
        <f t="shared" si="54"/>
        <v>0</v>
      </c>
      <c r="J393" s="2" t="str">
        <f t="shared" si="55"/>
        <v/>
      </c>
      <c r="K393" s="2" t="str">
        <f t="shared" si="56"/>
        <v/>
      </c>
      <c r="L393" s="2" t="str">
        <f t="shared" si="57"/>
        <v/>
      </c>
    </row>
    <row r="394" spans="1:12">
      <c r="A394" s="2">
        <v>382</v>
      </c>
      <c r="B394" s="4">
        <v>0.14099999999999999</v>
      </c>
      <c r="C394" s="4">
        <f t="shared" si="58"/>
        <v>2.1999999999999992E-2</v>
      </c>
      <c r="D394" s="4">
        <f t="shared" si="51"/>
        <v>1.5554284590900538</v>
      </c>
      <c r="E394" s="4">
        <f t="shared" si="52"/>
        <v>0.57467378325694207</v>
      </c>
      <c r="F394" s="4">
        <f t="shared" si="59"/>
        <v>0</v>
      </c>
      <c r="G394" s="4">
        <f t="shared" si="60"/>
        <v>0.55655717529215432</v>
      </c>
      <c r="H394" s="4">
        <f t="shared" si="53"/>
        <v>0.17035726210350607</v>
      </c>
      <c r="I394" s="4">
        <f t="shared" si="54"/>
        <v>0</v>
      </c>
      <c r="J394" s="2" t="str">
        <f t="shared" si="55"/>
        <v/>
      </c>
      <c r="K394" s="2" t="str">
        <f t="shared" si="56"/>
        <v/>
      </c>
      <c r="L394" s="2" t="str">
        <f t="shared" si="57"/>
        <v/>
      </c>
    </row>
    <row r="395" spans="1:12">
      <c r="A395" s="2">
        <v>383</v>
      </c>
      <c r="B395" s="4">
        <v>0.39500000000000002</v>
      </c>
      <c r="C395" s="4">
        <f t="shared" si="58"/>
        <v>0.254</v>
      </c>
      <c r="D395" s="4">
        <f t="shared" si="51"/>
        <v>1.5554284590900538</v>
      </c>
      <c r="E395" s="4">
        <f t="shared" si="52"/>
        <v>0.57467378325694207</v>
      </c>
      <c r="F395" s="4">
        <f t="shared" si="59"/>
        <v>0</v>
      </c>
      <c r="G395" s="4">
        <f t="shared" si="60"/>
        <v>0.55655717529215432</v>
      </c>
      <c r="H395" s="4">
        <f t="shared" si="53"/>
        <v>0.17035726210350607</v>
      </c>
      <c r="I395" s="4">
        <f t="shared" si="54"/>
        <v>0</v>
      </c>
      <c r="J395" s="2" t="str">
        <f t="shared" si="55"/>
        <v/>
      </c>
      <c r="K395" s="2" t="str">
        <f t="shared" si="56"/>
        <v/>
      </c>
      <c r="L395" s="2" t="str">
        <f t="shared" si="57"/>
        <v/>
      </c>
    </row>
    <row r="396" spans="1:12">
      <c r="A396" s="2">
        <v>384</v>
      </c>
      <c r="B396" s="4">
        <v>0.246</v>
      </c>
      <c r="C396" s="4">
        <f t="shared" si="58"/>
        <v>0.14900000000000002</v>
      </c>
      <c r="D396" s="4">
        <f t="shared" si="51"/>
        <v>1.5554284590900538</v>
      </c>
      <c r="E396" s="4">
        <f t="shared" si="52"/>
        <v>0.57467378325694207</v>
      </c>
      <c r="F396" s="4">
        <f t="shared" si="59"/>
        <v>0</v>
      </c>
      <c r="G396" s="4">
        <f t="shared" si="60"/>
        <v>0.55655717529215432</v>
      </c>
      <c r="H396" s="4">
        <f t="shared" si="53"/>
        <v>0.17035726210350607</v>
      </c>
      <c r="I396" s="4">
        <f t="shared" si="54"/>
        <v>0</v>
      </c>
      <c r="J396" s="2" t="str">
        <f t="shared" si="55"/>
        <v/>
      </c>
      <c r="K396" s="2" t="str">
        <f t="shared" si="56"/>
        <v/>
      </c>
      <c r="L396" s="2" t="str">
        <f t="shared" si="57"/>
        <v/>
      </c>
    </row>
    <row r="397" spans="1:12">
      <c r="A397" s="2">
        <v>385</v>
      </c>
      <c r="B397" s="4">
        <v>0.27300000000000002</v>
      </c>
      <c r="C397" s="4">
        <f t="shared" si="58"/>
        <v>2.7000000000000024E-2</v>
      </c>
      <c r="D397" s="4">
        <f t="shared" ref="D397:D460" si="61">$G$13</f>
        <v>1.5554284590900538</v>
      </c>
      <c r="E397" s="4">
        <f t="shared" ref="E397:E460" si="62">$G$14</f>
        <v>0.57467378325694207</v>
      </c>
      <c r="F397" s="4">
        <f t="shared" si="59"/>
        <v>0</v>
      </c>
      <c r="G397" s="4">
        <f t="shared" si="60"/>
        <v>0.55655717529215432</v>
      </c>
      <c r="H397" s="4">
        <f t="shared" ref="H397:H460" si="63">$G$17</f>
        <v>0.17035726210350607</v>
      </c>
      <c r="I397" s="4">
        <f t="shared" ref="I397:I460" si="64">$G$18</f>
        <v>0</v>
      </c>
      <c r="J397" s="2" t="str">
        <f t="shared" ref="J397:J460" si="65">IF(OR(B397&gt;D397,B397&lt;F397),"Y","")</f>
        <v/>
      </c>
      <c r="K397" s="2" t="str">
        <f t="shared" ref="K397:K460" si="66">IF(AND(C397&lt;&gt;"",C397&gt;G397),"Y","")</f>
        <v/>
      </c>
      <c r="L397" s="2" t="str">
        <f t="shared" ref="L397:L460" si="67">IF(OR(B397&lt;$B$5,B397&gt;$D$5),"Y","")</f>
        <v/>
      </c>
    </row>
    <row r="398" spans="1:12">
      <c r="A398" s="2">
        <v>386</v>
      </c>
      <c r="B398" s="4">
        <v>0.152</v>
      </c>
      <c r="C398" s="4">
        <f t="shared" ref="C398:C461" si="68">ABS(B398-B397)</f>
        <v>0.12100000000000002</v>
      </c>
      <c r="D398" s="4">
        <f t="shared" si="61"/>
        <v>1.5554284590900538</v>
      </c>
      <c r="E398" s="4">
        <f t="shared" si="62"/>
        <v>0.57467378325694207</v>
      </c>
      <c r="F398" s="4">
        <f t="shared" si="59"/>
        <v>0</v>
      </c>
      <c r="G398" s="4">
        <f t="shared" si="60"/>
        <v>0.55655717529215432</v>
      </c>
      <c r="H398" s="4">
        <f t="shared" si="63"/>
        <v>0.17035726210350607</v>
      </c>
      <c r="I398" s="4">
        <f t="shared" si="64"/>
        <v>0</v>
      </c>
      <c r="J398" s="2" t="str">
        <f t="shared" si="65"/>
        <v/>
      </c>
      <c r="K398" s="2" t="str">
        <f t="shared" si="66"/>
        <v/>
      </c>
      <c r="L398" s="2" t="str">
        <f t="shared" si="67"/>
        <v/>
      </c>
    </row>
    <row r="399" spans="1:12">
      <c r="A399" s="2">
        <v>387</v>
      </c>
      <c r="B399" s="4">
        <v>0.27900000000000003</v>
      </c>
      <c r="C399" s="4">
        <f t="shared" si="68"/>
        <v>0.12700000000000003</v>
      </c>
      <c r="D399" s="4">
        <f t="shared" si="61"/>
        <v>1.5554284590900538</v>
      </c>
      <c r="E399" s="4">
        <f t="shared" si="62"/>
        <v>0.57467378325694207</v>
      </c>
      <c r="F399" s="4">
        <f t="shared" si="59"/>
        <v>0</v>
      </c>
      <c r="G399" s="4">
        <f t="shared" si="60"/>
        <v>0.55655717529215432</v>
      </c>
      <c r="H399" s="4">
        <f t="shared" si="63"/>
        <v>0.17035726210350607</v>
      </c>
      <c r="I399" s="4">
        <f t="shared" si="64"/>
        <v>0</v>
      </c>
      <c r="J399" s="2" t="str">
        <f t="shared" si="65"/>
        <v/>
      </c>
      <c r="K399" s="2" t="str">
        <f t="shared" si="66"/>
        <v/>
      </c>
      <c r="L399" s="2" t="str">
        <f t="shared" si="67"/>
        <v/>
      </c>
    </row>
    <row r="400" spans="1:12">
      <c r="A400" s="2">
        <v>388</v>
      </c>
      <c r="B400" s="4">
        <v>0.372</v>
      </c>
      <c r="C400" s="4">
        <f t="shared" si="68"/>
        <v>9.2999999999999972E-2</v>
      </c>
      <c r="D400" s="4">
        <f t="shared" si="61"/>
        <v>1.5554284590900538</v>
      </c>
      <c r="E400" s="4">
        <f t="shared" si="62"/>
        <v>0.57467378325694207</v>
      </c>
      <c r="F400" s="4">
        <f t="shared" ref="F400:F463" si="69">$G$15</f>
        <v>0</v>
      </c>
      <c r="G400" s="4">
        <f t="shared" si="60"/>
        <v>0.55655717529215432</v>
      </c>
      <c r="H400" s="4">
        <f t="shared" si="63"/>
        <v>0.17035726210350607</v>
      </c>
      <c r="I400" s="4">
        <f t="shared" si="64"/>
        <v>0</v>
      </c>
      <c r="J400" s="2" t="str">
        <f t="shared" si="65"/>
        <v/>
      </c>
      <c r="K400" s="2" t="str">
        <f t="shared" si="66"/>
        <v/>
      </c>
      <c r="L400" s="2" t="str">
        <f t="shared" si="67"/>
        <v/>
      </c>
    </row>
    <row r="401" spans="1:12">
      <c r="A401" s="2">
        <v>389</v>
      </c>
      <c r="B401" s="4">
        <v>0.88300000000000001</v>
      </c>
      <c r="C401" s="4">
        <f t="shared" si="68"/>
        <v>0.51100000000000001</v>
      </c>
      <c r="D401" s="4">
        <f t="shared" si="61"/>
        <v>1.5554284590900538</v>
      </c>
      <c r="E401" s="4">
        <f t="shared" si="62"/>
        <v>0.57467378325694207</v>
      </c>
      <c r="F401" s="4">
        <f t="shared" si="69"/>
        <v>0</v>
      </c>
      <c r="G401" s="4">
        <f t="shared" si="60"/>
        <v>0.55655717529215432</v>
      </c>
      <c r="H401" s="4">
        <f t="shared" si="63"/>
        <v>0.17035726210350607</v>
      </c>
      <c r="I401" s="4">
        <f t="shared" si="64"/>
        <v>0</v>
      </c>
      <c r="J401" s="2" t="str">
        <f t="shared" si="65"/>
        <v/>
      </c>
      <c r="K401" s="2" t="str">
        <f t="shared" si="66"/>
        <v/>
      </c>
      <c r="L401" s="2" t="str">
        <f t="shared" si="67"/>
        <v/>
      </c>
    </row>
    <row r="402" spans="1:12">
      <c r="A402" s="2">
        <v>390</v>
      </c>
      <c r="B402" s="4">
        <v>0.40600000000000003</v>
      </c>
      <c r="C402" s="4">
        <f t="shared" si="68"/>
        <v>0.47699999999999998</v>
      </c>
      <c r="D402" s="4">
        <f t="shared" si="61"/>
        <v>1.5554284590900538</v>
      </c>
      <c r="E402" s="4">
        <f t="shared" si="62"/>
        <v>0.57467378325694207</v>
      </c>
      <c r="F402" s="4">
        <f t="shared" si="69"/>
        <v>0</v>
      </c>
      <c r="G402" s="4">
        <f t="shared" si="60"/>
        <v>0.55655717529215432</v>
      </c>
      <c r="H402" s="4">
        <f t="shared" si="63"/>
        <v>0.17035726210350607</v>
      </c>
      <c r="I402" s="4">
        <f t="shared" si="64"/>
        <v>0</v>
      </c>
      <c r="J402" s="2" t="str">
        <f t="shared" si="65"/>
        <v/>
      </c>
      <c r="K402" s="2" t="str">
        <f t="shared" si="66"/>
        <v/>
      </c>
      <c r="L402" s="2" t="str">
        <f t="shared" si="67"/>
        <v/>
      </c>
    </row>
    <row r="403" spans="1:12">
      <c r="A403" s="2">
        <v>391</v>
      </c>
      <c r="B403" s="4">
        <v>0.25600000000000001</v>
      </c>
      <c r="C403" s="4">
        <f t="shared" si="68"/>
        <v>0.15000000000000002</v>
      </c>
      <c r="D403" s="4">
        <f t="shared" si="61"/>
        <v>1.5554284590900538</v>
      </c>
      <c r="E403" s="4">
        <f t="shared" si="62"/>
        <v>0.57467378325694207</v>
      </c>
      <c r="F403" s="4">
        <f t="shared" si="69"/>
        <v>0</v>
      </c>
      <c r="G403" s="4">
        <f t="shared" ref="G403:G466" si="70">$G$16</f>
        <v>0.55655717529215432</v>
      </c>
      <c r="H403" s="4">
        <f t="shared" si="63"/>
        <v>0.17035726210350607</v>
      </c>
      <c r="I403" s="4">
        <f t="shared" si="64"/>
        <v>0</v>
      </c>
      <c r="J403" s="2" t="str">
        <f t="shared" si="65"/>
        <v/>
      </c>
      <c r="K403" s="2" t="str">
        <f t="shared" si="66"/>
        <v/>
      </c>
      <c r="L403" s="2" t="str">
        <f t="shared" si="67"/>
        <v/>
      </c>
    </row>
    <row r="404" spans="1:12">
      <c r="A404" s="2">
        <v>392</v>
      </c>
      <c r="B404" s="4">
        <v>0.24299999999999999</v>
      </c>
      <c r="C404" s="4">
        <f t="shared" si="68"/>
        <v>1.3000000000000012E-2</v>
      </c>
      <c r="D404" s="4">
        <f t="shared" si="61"/>
        <v>1.5554284590900538</v>
      </c>
      <c r="E404" s="4">
        <f t="shared" si="62"/>
        <v>0.57467378325694207</v>
      </c>
      <c r="F404" s="4">
        <f t="shared" si="69"/>
        <v>0</v>
      </c>
      <c r="G404" s="4">
        <f t="shared" si="70"/>
        <v>0.55655717529215432</v>
      </c>
      <c r="H404" s="4">
        <f t="shared" si="63"/>
        <v>0.17035726210350607</v>
      </c>
      <c r="I404" s="4">
        <f t="shared" si="64"/>
        <v>0</v>
      </c>
      <c r="J404" s="2" t="str">
        <f t="shared" si="65"/>
        <v/>
      </c>
      <c r="K404" s="2" t="str">
        <f t="shared" si="66"/>
        <v/>
      </c>
      <c r="L404" s="2" t="str">
        <f t="shared" si="67"/>
        <v/>
      </c>
    </row>
    <row r="405" spans="1:12">
      <c r="A405" s="2">
        <v>393</v>
      </c>
      <c r="B405" s="4">
        <v>0.40799999999999997</v>
      </c>
      <c r="C405" s="4">
        <f t="shared" si="68"/>
        <v>0.16499999999999998</v>
      </c>
      <c r="D405" s="4">
        <f t="shared" si="61"/>
        <v>1.5554284590900538</v>
      </c>
      <c r="E405" s="4">
        <f t="shared" si="62"/>
        <v>0.57467378325694207</v>
      </c>
      <c r="F405" s="4">
        <f t="shared" si="69"/>
        <v>0</v>
      </c>
      <c r="G405" s="4">
        <f t="shared" si="70"/>
        <v>0.55655717529215432</v>
      </c>
      <c r="H405" s="4">
        <f t="shared" si="63"/>
        <v>0.17035726210350607</v>
      </c>
      <c r="I405" s="4">
        <f t="shared" si="64"/>
        <v>0</v>
      </c>
      <c r="J405" s="2" t="str">
        <f t="shared" si="65"/>
        <v/>
      </c>
      <c r="K405" s="2" t="str">
        <f t="shared" si="66"/>
        <v/>
      </c>
      <c r="L405" s="2" t="str">
        <f t="shared" si="67"/>
        <v/>
      </c>
    </row>
    <row r="406" spans="1:12">
      <c r="A406" s="2">
        <v>394</v>
      </c>
      <c r="B406" s="4">
        <v>0.123</v>
      </c>
      <c r="C406" s="4">
        <f t="shared" si="68"/>
        <v>0.28499999999999998</v>
      </c>
      <c r="D406" s="4">
        <f t="shared" si="61"/>
        <v>1.5554284590900538</v>
      </c>
      <c r="E406" s="4">
        <f t="shared" si="62"/>
        <v>0.57467378325694207</v>
      </c>
      <c r="F406" s="4">
        <f t="shared" si="69"/>
        <v>0</v>
      </c>
      <c r="G406" s="4">
        <f t="shared" si="70"/>
        <v>0.55655717529215432</v>
      </c>
      <c r="H406" s="4">
        <f t="shared" si="63"/>
        <v>0.17035726210350607</v>
      </c>
      <c r="I406" s="4">
        <f t="shared" si="64"/>
        <v>0</v>
      </c>
      <c r="J406" s="2" t="str">
        <f t="shared" si="65"/>
        <v/>
      </c>
      <c r="K406" s="2" t="str">
        <f t="shared" si="66"/>
        <v/>
      </c>
      <c r="L406" s="2" t="str">
        <f t="shared" si="67"/>
        <v/>
      </c>
    </row>
    <row r="407" spans="1:12">
      <c r="A407" s="2">
        <v>395</v>
      </c>
      <c r="B407" s="4">
        <v>0.16300000000000001</v>
      </c>
      <c r="C407" s="4">
        <f t="shared" si="68"/>
        <v>4.0000000000000008E-2</v>
      </c>
      <c r="D407" s="4">
        <f t="shared" si="61"/>
        <v>1.5554284590900538</v>
      </c>
      <c r="E407" s="4">
        <f t="shared" si="62"/>
        <v>0.57467378325694207</v>
      </c>
      <c r="F407" s="4">
        <f t="shared" si="69"/>
        <v>0</v>
      </c>
      <c r="G407" s="4">
        <f t="shared" si="70"/>
        <v>0.55655717529215432</v>
      </c>
      <c r="H407" s="4">
        <f t="shared" si="63"/>
        <v>0.17035726210350607</v>
      </c>
      <c r="I407" s="4">
        <f t="shared" si="64"/>
        <v>0</v>
      </c>
      <c r="J407" s="2" t="str">
        <f t="shared" si="65"/>
        <v/>
      </c>
      <c r="K407" s="2" t="str">
        <f t="shared" si="66"/>
        <v/>
      </c>
      <c r="L407" s="2" t="str">
        <f t="shared" si="67"/>
        <v/>
      </c>
    </row>
    <row r="408" spans="1:12">
      <c r="A408" s="2">
        <v>396</v>
      </c>
      <c r="B408" s="4">
        <v>0.33500000000000002</v>
      </c>
      <c r="C408" s="4">
        <f t="shared" si="68"/>
        <v>0.17200000000000001</v>
      </c>
      <c r="D408" s="4">
        <f t="shared" si="61"/>
        <v>1.5554284590900538</v>
      </c>
      <c r="E408" s="4">
        <f t="shared" si="62"/>
        <v>0.57467378325694207</v>
      </c>
      <c r="F408" s="4">
        <f t="shared" si="69"/>
        <v>0</v>
      </c>
      <c r="G408" s="4">
        <f t="shared" si="70"/>
        <v>0.55655717529215432</v>
      </c>
      <c r="H408" s="4">
        <f t="shared" si="63"/>
        <v>0.17035726210350607</v>
      </c>
      <c r="I408" s="4">
        <f t="shared" si="64"/>
        <v>0</v>
      </c>
      <c r="J408" s="2" t="str">
        <f t="shared" si="65"/>
        <v/>
      </c>
      <c r="K408" s="2" t="str">
        <f t="shared" si="66"/>
        <v/>
      </c>
      <c r="L408" s="2" t="str">
        <f t="shared" si="67"/>
        <v/>
      </c>
    </row>
    <row r="409" spans="1:12">
      <c r="A409" s="2">
        <v>397</v>
      </c>
      <c r="B409" s="4">
        <v>0.34499999999999997</v>
      </c>
      <c r="C409" s="4">
        <f t="shared" si="68"/>
        <v>9.9999999999999534E-3</v>
      </c>
      <c r="D409" s="4">
        <f t="shared" si="61"/>
        <v>1.5554284590900538</v>
      </c>
      <c r="E409" s="4">
        <f t="shared" si="62"/>
        <v>0.57467378325694207</v>
      </c>
      <c r="F409" s="4">
        <f t="shared" si="69"/>
        <v>0</v>
      </c>
      <c r="G409" s="4">
        <f t="shared" si="70"/>
        <v>0.55655717529215432</v>
      </c>
      <c r="H409" s="4">
        <f t="shared" si="63"/>
        <v>0.17035726210350607</v>
      </c>
      <c r="I409" s="4">
        <f t="shared" si="64"/>
        <v>0</v>
      </c>
      <c r="J409" s="2" t="str">
        <f t="shared" si="65"/>
        <v/>
      </c>
      <c r="K409" s="2" t="str">
        <f t="shared" si="66"/>
        <v/>
      </c>
      <c r="L409" s="2" t="str">
        <f t="shared" si="67"/>
        <v/>
      </c>
    </row>
    <row r="410" spans="1:12">
      <c r="A410" s="2">
        <v>398</v>
      </c>
      <c r="B410" s="4">
        <v>0.25</v>
      </c>
      <c r="C410" s="4">
        <f t="shared" si="68"/>
        <v>9.4999999999999973E-2</v>
      </c>
      <c r="D410" s="4">
        <f t="shared" si="61"/>
        <v>1.5554284590900538</v>
      </c>
      <c r="E410" s="4">
        <f t="shared" si="62"/>
        <v>0.57467378325694207</v>
      </c>
      <c r="F410" s="4">
        <f t="shared" si="69"/>
        <v>0</v>
      </c>
      <c r="G410" s="4">
        <f t="shared" si="70"/>
        <v>0.55655717529215432</v>
      </c>
      <c r="H410" s="4">
        <f t="shared" si="63"/>
        <v>0.17035726210350607</v>
      </c>
      <c r="I410" s="4">
        <f t="shared" si="64"/>
        <v>0</v>
      </c>
      <c r="J410" s="2" t="str">
        <f t="shared" si="65"/>
        <v/>
      </c>
      <c r="K410" s="2" t="str">
        <f t="shared" si="66"/>
        <v/>
      </c>
      <c r="L410" s="2" t="str">
        <f t="shared" si="67"/>
        <v/>
      </c>
    </row>
    <row r="411" spans="1:12">
      <c r="A411" s="2">
        <v>399</v>
      </c>
      <c r="B411" s="4">
        <v>0.32800000000000001</v>
      </c>
      <c r="C411" s="4">
        <f t="shared" si="68"/>
        <v>7.8000000000000014E-2</v>
      </c>
      <c r="D411" s="4">
        <f t="shared" si="61"/>
        <v>1.5554284590900538</v>
      </c>
      <c r="E411" s="4">
        <f t="shared" si="62"/>
        <v>0.57467378325694207</v>
      </c>
      <c r="F411" s="4">
        <f t="shared" si="69"/>
        <v>0</v>
      </c>
      <c r="G411" s="4">
        <f t="shared" si="70"/>
        <v>0.55655717529215432</v>
      </c>
      <c r="H411" s="4">
        <f t="shared" si="63"/>
        <v>0.17035726210350607</v>
      </c>
      <c r="I411" s="4">
        <f t="shared" si="64"/>
        <v>0</v>
      </c>
      <c r="J411" s="2" t="str">
        <f t="shared" si="65"/>
        <v/>
      </c>
      <c r="K411" s="2" t="str">
        <f t="shared" si="66"/>
        <v/>
      </c>
      <c r="L411" s="2" t="str">
        <f t="shared" si="67"/>
        <v/>
      </c>
    </row>
    <row r="412" spans="1:12">
      <c r="A412" s="2">
        <v>400</v>
      </c>
      <c r="B412" s="4">
        <v>0.32400000000000001</v>
      </c>
      <c r="C412" s="4">
        <f t="shared" si="68"/>
        <v>4.0000000000000036E-3</v>
      </c>
      <c r="D412" s="4">
        <f t="shared" si="61"/>
        <v>1.5554284590900538</v>
      </c>
      <c r="E412" s="4">
        <f t="shared" si="62"/>
        <v>0.57467378325694207</v>
      </c>
      <c r="F412" s="4">
        <f t="shared" si="69"/>
        <v>0</v>
      </c>
      <c r="G412" s="4">
        <f t="shared" si="70"/>
        <v>0.55655717529215432</v>
      </c>
      <c r="H412" s="4">
        <f t="shared" si="63"/>
        <v>0.17035726210350607</v>
      </c>
      <c r="I412" s="4">
        <f t="shared" si="64"/>
        <v>0</v>
      </c>
      <c r="J412" s="2" t="str">
        <f t="shared" si="65"/>
        <v/>
      </c>
      <c r="K412" s="2" t="str">
        <f t="shared" si="66"/>
        <v/>
      </c>
      <c r="L412" s="2" t="str">
        <f t="shared" si="67"/>
        <v/>
      </c>
    </row>
    <row r="413" spans="1:12">
      <c r="A413" s="2">
        <v>401</v>
      </c>
      <c r="B413" s="4">
        <v>0.216</v>
      </c>
      <c r="C413" s="4">
        <f t="shared" si="68"/>
        <v>0.10800000000000001</v>
      </c>
      <c r="D413" s="4">
        <f t="shared" si="61"/>
        <v>1.5554284590900538</v>
      </c>
      <c r="E413" s="4">
        <f t="shared" si="62"/>
        <v>0.57467378325694207</v>
      </c>
      <c r="F413" s="4">
        <f t="shared" si="69"/>
        <v>0</v>
      </c>
      <c r="G413" s="4">
        <f t="shared" si="70"/>
        <v>0.55655717529215432</v>
      </c>
      <c r="H413" s="4">
        <f t="shared" si="63"/>
        <v>0.17035726210350607</v>
      </c>
      <c r="I413" s="4">
        <f t="shared" si="64"/>
        <v>0</v>
      </c>
      <c r="J413" s="2" t="str">
        <f t="shared" si="65"/>
        <v/>
      </c>
      <c r="K413" s="2" t="str">
        <f t="shared" si="66"/>
        <v/>
      </c>
      <c r="L413" s="2" t="str">
        <f t="shared" si="67"/>
        <v/>
      </c>
    </row>
    <row r="414" spans="1:12">
      <c r="A414" s="2">
        <v>402</v>
      </c>
      <c r="B414" s="4">
        <v>0.19900000000000001</v>
      </c>
      <c r="C414" s="4">
        <f t="shared" si="68"/>
        <v>1.6999999999999987E-2</v>
      </c>
      <c r="D414" s="4">
        <f t="shared" si="61"/>
        <v>1.5554284590900538</v>
      </c>
      <c r="E414" s="4">
        <f t="shared" si="62"/>
        <v>0.57467378325694207</v>
      </c>
      <c r="F414" s="4">
        <f t="shared" si="69"/>
        <v>0</v>
      </c>
      <c r="G414" s="4">
        <f t="shared" si="70"/>
        <v>0.55655717529215432</v>
      </c>
      <c r="H414" s="4">
        <f t="shared" si="63"/>
        <v>0.17035726210350607</v>
      </c>
      <c r="I414" s="4">
        <f t="shared" si="64"/>
        <v>0</v>
      </c>
      <c r="J414" s="2" t="str">
        <f t="shared" si="65"/>
        <v/>
      </c>
      <c r="K414" s="2" t="str">
        <f t="shared" si="66"/>
        <v/>
      </c>
      <c r="L414" s="2" t="str">
        <f t="shared" si="67"/>
        <v/>
      </c>
    </row>
    <row r="415" spans="1:12">
      <c r="A415" s="2">
        <v>403</v>
      </c>
      <c r="B415" s="4">
        <v>0.315</v>
      </c>
      <c r="C415" s="4">
        <f t="shared" si="68"/>
        <v>0.11599999999999999</v>
      </c>
      <c r="D415" s="4">
        <f t="shared" si="61"/>
        <v>1.5554284590900538</v>
      </c>
      <c r="E415" s="4">
        <f t="shared" si="62"/>
        <v>0.57467378325694207</v>
      </c>
      <c r="F415" s="4">
        <f t="shared" si="69"/>
        <v>0</v>
      </c>
      <c r="G415" s="4">
        <f t="shared" si="70"/>
        <v>0.55655717529215432</v>
      </c>
      <c r="H415" s="4">
        <f t="shared" si="63"/>
        <v>0.17035726210350607</v>
      </c>
      <c r="I415" s="4">
        <f t="shared" si="64"/>
        <v>0</v>
      </c>
      <c r="J415" s="2" t="str">
        <f t="shared" si="65"/>
        <v/>
      </c>
      <c r="K415" s="2" t="str">
        <f t="shared" si="66"/>
        <v/>
      </c>
      <c r="L415" s="2" t="str">
        <f t="shared" si="67"/>
        <v/>
      </c>
    </row>
    <row r="416" spans="1:12">
      <c r="A416" s="2">
        <v>404</v>
      </c>
      <c r="B416" s="4">
        <v>0.318</v>
      </c>
      <c r="C416" s="4">
        <f t="shared" si="68"/>
        <v>3.0000000000000027E-3</v>
      </c>
      <c r="D416" s="4">
        <f t="shared" si="61"/>
        <v>1.5554284590900538</v>
      </c>
      <c r="E416" s="4">
        <f t="shared" si="62"/>
        <v>0.57467378325694207</v>
      </c>
      <c r="F416" s="4">
        <f t="shared" si="69"/>
        <v>0</v>
      </c>
      <c r="G416" s="4">
        <f t="shared" si="70"/>
        <v>0.55655717529215432</v>
      </c>
      <c r="H416" s="4">
        <f t="shared" si="63"/>
        <v>0.17035726210350607</v>
      </c>
      <c r="I416" s="4">
        <f t="shared" si="64"/>
        <v>0</v>
      </c>
      <c r="J416" s="2" t="str">
        <f t="shared" si="65"/>
        <v/>
      </c>
      <c r="K416" s="2" t="str">
        <f t="shared" si="66"/>
        <v/>
      </c>
      <c r="L416" s="2" t="str">
        <f t="shared" si="67"/>
        <v/>
      </c>
    </row>
    <row r="417" spans="1:12">
      <c r="A417" s="2">
        <v>405</v>
      </c>
      <c r="B417" s="4">
        <v>0.252</v>
      </c>
      <c r="C417" s="4">
        <f t="shared" si="68"/>
        <v>6.6000000000000003E-2</v>
      </c>
      <c r="D417" s="4">
        <f t="shared" si="61"/>
        <v>1.5554284590900538</v>
      </c>
      <c r="E417" s="4">
        <f t="shared" si="62"/>
        <v>0.57467378325694207</v>
      </c>
      <c r="F417" s="4">
        <f t="shared" si="69"/>
        <v>0</v>
      </c>
      <c r="G417" s="4">
        <f t="shared" si="70"/>
        <v>0.55655717529215432</v>
      </c>
      <c r="H417" s="4">
        <f t="shared" si="63"/>
        <v>0.17035726210350607</v>
      </c>
      <c r="I417" s="4">
        <f t="shared" si="64"/>
        <v>0</v>
      </c>
      <c r="J417" s="2" t="str">
        <f t="shared" si="65"/>
        <v/>
      </c>
      <c r="K417" s="2" t="str">
        <f t="shared" si="66"/>
        <v/>
      </c>
      <c r="L417" s="2" t="str">
        <f t="shared" si="67"/>
        <v/>
      </c>
    </row>
    <row r="418" spans="1:12">
      <c r="A418" s="2">
        <v>406</v>
      </c>
      <c r="B418" s="4">
        <v>0.47299999999999998</v>
      </c>
      <c r="C418" s="4">
        <f t="shared" si="68"/>
        <v>0.22099999999999997</v>
      </c>
      <c r="D418" s="4">
        <f t="shared" si="61"/>
        <v>1.5554284590900538</v>
      </c>
      <c r="E418" s="4">
        <f t="shared" si="62"/>
        <v>0.57467378325694207</v>
      </c>
      <c r="F418" s="4">
        <f t="shared" si="69"/>
        <v>0</v>
      </c>
      <c r="G418" s="4">
        <f t="shared" si="70"/>
        <v>0.55655717529215432</v>
      </c>
      <c r="H418" s="4">
        <f t="shared" si="63"/>
        <v>0.17035726210350607</v>
      </c>
      <c r="I418" s="4">
        <f t="shared" si="64"/>
        <v>0</v>
      </c>
      <c r="J418" s="2" t="str">
        <f t="shared" si="65"/>
        <v/>
      </c>
      <c r="K418" s="2" t="str">
        <f t="shared" si="66"/>
        <v/>
      </c>
      <c r="L418" s="2" t="str">
        <f t="shared" si="67"/>
        <v/>
      </c>
    </row>
    <row r="419" spans="1:12">
      <c r="A419" s="2">
        <v>407</v>
      </c>
      <c r="B419" s="4">
        <v>0.44500000000000001</v>
      </c>
      <c r="C419" s="4">
        <f t="shared" si="68"/>
        <v>2.7999999999999969E-2</v>
      </c>
      <c r="D419" s="4">
        <f t="shared" si="61"/>
        <v>1.5554284590900538</v>
      </c>
      <c r="E419" s="4">
        <f t="shared" si="62"/>
        <v>0.57467378325694207</v>
      </c>
      <c r="F419" s="4">
        <f t="shared" si="69"/>
        <v>0</v>
      </c>
      <c r="G419" s="4">
        <f t="shared" si="70"/>
        <v>0.55655717529215432</v>
      </c>
      <c r="H419" s="4">
        <f t="shared" si="63"/>
        <v>0.17035726210350607</v>
      </c>
      <c r="I419" s="4">
        <f t="shared" si="64"/>
        <v>0</v>
      </c>
      <c r="J419" s="2" t="str">
        <f t="shared" si="65"/>
        <v/>
      </c>
      <c r="K419" s="2" t="str">
        <f t="shared" si="66"/>
        <v/>
      </c>
      <c r="L419" s="2" t="str">
        <f t="shared" si="67"/>
        <v/>
      </c>
    </row>
    <row r="420" spans="1:12">
      <c r="A420" s="2">
        <v>408</v>
      </c>
      <c r="B420" s="4">
        <v>0.27100000000000002</v>
      </c>
      <c r="C420" s="4">
        <f t="shared" si="68"/>
        <v>0.17399999999999999</v>
      </c>
      <c r="D420" s="4">
        <f t="shared" si="61"/>
        <v>1.5554284590900538</v>
      </c>
      <c r="E420" s="4">
        <f t="shared" si="62"/>
        <v>0.57467378325694207</v>
      </c>
      <c r="F420" s="4">
        <f t="shared" si="69"/>
        <v>0</v>
      </c>
      <c r="G420" s="4">
        <f t="shared" si="70"/>
        <v>0.55655717529215432</v>
      </c>
      <c r="H420" s="4">
        <f t="shared" si="63"/>
        <v>0.17035726210350607</v>
      </c>
      <c r="I420" s="4">
        <f t="shared" si="64"/>
        <v>0</v>
      </c>
      <c r="J420" s="2" t="str">
        <f t="shared" si="65"/>
        <v/>
      </c>
      <c r="K420" s="2" t="str">
        <f t="shared" si="66"/>
        <v/>
      </c>
      <c r="L420" s="2" t="str">
        <f t="shared" si="67"/>
        <v/>
      </c>
    </row>
    <row r="421" spans="1:12">
      <c r="A421" s="2">
        <v>409</v>
      </c>
      <c r="B421" s="4">
        <v>0.437</v>
      </c>
      <c r="C421" s="4">
        <f t="shared" si="68"/>
        <v>0.16599999999999998</v>
      </c>
      <c r="D421" s="4">
        <f t="shared" si="61"/>
        <v>1.5554284590900538</v>
      </c>
      <c r="E421" s="4">
        <f t="shared" si="62"/>
        <v>0.57467378325694207</v>
      </c>
      <c r="F421" s="4">
        <f t="shared" si="69"/>
        <v>0</v>
      </c>
      <c r="G421" s="4">
        <f t="shared" si="70"/>
        <v>0.55655717529215432</v>
      </c>
      <c r="H421" s="4">
        <f t="shared" si="63"/>
        <v>0.17035726210350607</v>
      </c>
      <c r="I421" s="4">
        <f t="shared" si="64"/>
        <v>0</v>
      </c>
      <c r="J421" s="2" t="str">
        <f t="shared" si="65"/>
        <v/>
      </c>
      <c r="K421" s="2" t="str">
        <f t="shared" si="66"/>
        <v/>
      </c>
      <c r="L421" s="2" t="str">
        <f t="shared" si="67"/>
        <v/>
      </c>
    </row>
    <row r="422" spans="1:12">
      <c r="A422" s="2">
        <v>410</v>
      </c>
      <c r="B422" s="4">
        <v>0.35899999999999999</v>
      </c>
      <c r="C422" s="4">
        <f t="shared" si="68"/>
        <v>7.8000000000000014E-2</v>
      </c>
      <c r="D422" s="4">
        <f t="shared" si="61"/>
        <v>1.5554284590900538</v>
      </c>
      <c r="E422" s="4">
        <f t="shared" si="62"/>
        <v>0.57467378325694207</v>
      </c>
      <c r="F422" s="4">
        <f t="shared" si="69"/>
        <v>0</v>
      </c>
      <c r="G422" s="4">
        <f t="shared" si="70"/>
        <v>0.55655717529215432</v>
      </c>
      <c r="H422" s="4">
        <f t="shared" si="63"/>
        <v>0.17035726210350607</v>
      </c>
      <c r="I422" s="4">
        <f t="shared" si="64"/>
        <v>0</v>
      </c>
      <c r="J422" s="2" t="str">
        <f t="shared" si="65"/>
        <v/>
      </c>
      <c r="K422" s="2" t="str">
        <f t="shared" si="66"/>
        <v/>
      </c>
      <c r="L422" s="2" t="str">
        <f t="shared" si="67"/>
        <v/>
      </c>
    </row>
    <row r="423" spans="1:12">
      <c r="A423" s="2">
        <v>411</v>
      </c>
      <c r="B423" s="4">
        <v>0.432</v>
      </c>
      <c r="C423" s="4">
        <f t="shared" si="68"/>
        <v>7.3000000000000009E-2</v>
      </c>
      <c r="D423" s="4">
        <f t="shared" si="61"/>
        <v>1.5554284590900538</v>
      </c>
      <c r="E423" s="4">
        <f t="shared" si="62"/>
        <v>0.57467378325694207</v>
      </c>
      <c r="F423" s="4">
        <f t="shared" si="69"/>
        <v>0</v>
      </c>
      <c r="G423" s="4">
        <f t="shared" si="70"/>
        <v>0.55655717529215432</v>
      </c>
      <c r="H423" s="4">
        <f t="shared" si="63"/>
        <v>0.17035726210350607</v>
      </c>
      <c r="I423" s="4">
        <f t="shared" si="64"/>
        <v>0</v>
      </c>
      <c r="J423" s="2" t="str">
        <f t="shared" si="65"/>
        <v/>
      </c>
      <c r="K423" s="2" t="str">
        <f t="shared" si="66"/>
        <v/>
      </c>
      <c r="L423" s="2" t="str">
        <f t="shared" si="67"/>
        <v/>
      </c>
    </row>
    <row r="424" spans="1:12">
      <c r="A424" s="2">
        <v>412</v>
      </c>
      <c r="B424" s="4">
        <v>0.32200000000000001</v>
      </c>
      <c r="C424" s="4">
        <f t="shared" si="68"/>
        <v>0.10999999999999999</v>
      </c>
      <c r="D424" s="4">
        <f t="shared" si="61"/>
        <v>1.5554284590900538</v>
      </c>
      <c r="E424" s="4">
        <f t="shared" si="62"/>
        <v>0.57467378325694207</v>
      </c>
      <c r="F424" s="4">
        <f t="shared" si="69"/>
        <v>0</v>
      </c>
      <c r="G424" s="4">
        <f t="shared" si="70"/>
        <v>0.55655717529215432</v>
      </c>
      <c r="H424" s="4">
        <f t="shared" si="63"/>
        <v>0.17035726210350607</v>
      </c>
      <c r="I424" s="4">
        <f t="shared" si="64"/>
        <v>0</v>
      </c>
      <c r="J424" s="2" t="str">
        <f t="shared" si="65"/>
        <v/>
      </c>
      <c r="K424" s="2" t="str">
        <f t="shared" si="66"/>
        <v/>
      </c>
      <c r="L424" s="2" t="str">
        <f t="shared" si="67"/>
        <v/>
      </c>
    </row>
    <row r="425" spans="1:12">
      <c r="A425" s="2">
        <v>413</v>
      </c>
      <c r="B425" s="4">
        <v>0.46700000000000003</v>
      </c>
      <c r="C425" s="4">
        <f t="shared" si="68"/>
        <v>0.14500000000000002</v>
      </c>
      <c r="D425" s="4">
        <f t="shared" si="61"/>
        <v>1.5554284590900538</v>
      </c>
      <c r="E425" s="4">
        <f t="shared" si="62"/>
        <v>0.57467378325694207</v>
      </c>
      <c r="F425" s="4">
        <f t="shared" si="69"/>
        <v>0</v>
      </c>
      <c r="G425" s="4">
        <f t="shared" si="70"/>
        <v>0.55655717529215432</v>
      </c>
      <c r="H425" s="4">
        <f t="shared" si="63"/>
        <v>0.17035726210350607</v>
      </c>
      <c r="I425" s="4">
        <f t="shared" si="64"/>
        <v>0</v>
      </c>
      <c r="J425" s="2" t="str">
        <f t="shared" si="65"/>
        <v/>
      </c>
      <c r="K425" s="2" t="str">
        <f t="shared" si="66"/>
        <v/>
      </c>
      <c r="L425" s="2" t="str">
        <f t="shared" si="67"/>
        <v/>
      </c>
    </row>
    <row r="426" spans="1:12">
      <c r="A426" s="2">
        <v>414</v>
      </c>
      <c r="B426" s="4">
        <v>0.54900000000000004</v>
      </c>
      <c r="C426" s="4">
        <f t="shared" si="68"/>
        <v>8.2000000000000017E-2</v>
      </c>
      <c r="D426" s="4">
        <f t="shared" si="61"/>
        <v>1.5554284590900538</v>
      </c>
      <c r="E426" s="4">
        <f t="shared" si="62"/>
        <v>0.57467378325694207</v>
      </c>
      <c r="F426" s="4">
        <f t="shared" si="69"/>
        <v>0</v>
      </c>
      <c r="G426" s="4">
        <f t="shared" si="70"/>
        <v>0.55655717529215432</v>
      </c>
      <c r="H426" s="4">
        <f t="shared" si="63"/>
        <v>0.17035726210350607</v>
      </c>
      <c r="I426" s="4">
        <f t="shared" si="64"/>
        <v>0</v>
      </c>
      <c r="J426" s="2" t="str">
        <f t="shared" si="65"/>
        <v/>
      </c>
      <c r="K426" s="2" t="str">
        <f t="shared" si="66"/>
        <v/>
      </c>
      <c r="L426" s="2" t="str">
        <f t="shared" si="67"/>
        <v/>
      </c>
    </row>
    <row r="427" spans="1:12">
      <c r="A427" s="2">
        <v>415</v>
      </c>
      <c r="B427" s="4">
        <v>0.16700000000000001</v>
      </c>
      <c r="C427" s="4">
        <f t="shared" si="68"/>
        <v>0.38200000000000001</v>
      </c>
      <c r="D427" s="4">
        <f t="shared" si="61"/>
        <v>1.5554284590900538</v>
      </c>
      <c r="E427" s="4">
        <f t="shared" si="62"/>
        <v>0.57467378325694207</v>
      </c>
      <c r="F427" s="4">
        <f t="shared" si="69"/>
        <v>0</v>
      </c>
      <c r="G427" s="4">
        <f t="shared" si="70"/>
        <v>0.55655717529215432</v>
      </c>
      <c r="H427" s="4">
        <f t="shared" si="63"/>
        <v>0.17035726210350607</v>
      </c>
      <c r="I427" s="4">
        <f t="shared" si="64"/>
        <v>0</v>
      </c>
      <c r="J427" s="2" t="str">
        <f t="shared" si="65"/>
        <v/>
      </c>
      <c r="K427" s="2" t="str">
        <f t="shared" si="66"/>
        <v/>
      </c>
      <c r="L427" s="2" t="str">
        <f t="shared" si="67"/>
        <v/>
      </c>
    </row>
    <row r="428" spans="1:12">
      <c r="A428" s="2">
        <v>416</v>
      </c>
      <c r="B428" s="4">
        <v>0.42799999999999999</v>
      </c>
      <c r="C428" s="4">
        <f t="shared" si="68"/>
        <v>0.26100000000000001</v>
      </c>
      <c r="D428" s="4">
        <f t="shared" si="61"/>
        <v>1.5554284590900538</v>
      </c>
      <c r="E428" s="4">
        <f t="shared" si="62"/>
        <v>0.57467378325694207</v>
      </c>
      <c r="F428" s="4">
        <f t="shared" si="69"/>
        <v>0</v>
      </c>
      <c r="G428" s="4">
        <f t="shared" si="70"/>
        <v>0.55655717529215432</v>
      </c>
      <c r="H428" s="4">
        <f t="shared" si="63"/>
        <v>0.17035726210350607</v>
      </c>
      <c r="I428" s="4">
        <f t="shared" si="64"/>
        <v>0</v>
      </c>
      <c r="J428" s="2" t="str">
        <f t="shared" si="65"/>
        <v/>
      </c>
      <c r="K428" s="2" t="str">
        <f t="shared" si="66"/>
        <v/>
      </c>
      <c r="L428" s="2" t="str">
        <f t="shared" si="67"/>
        <v/>
      </c>
    </row>
    <row r="429" spans="1:12">
      <c r="A429" s="2">
        <v>417</v>
      </c>
      <c r="B429" s="4">
        <v>0.40400000000000003</v>
      </c>
      <c r="C429" s="4">
        <f t="shared" si="68"/>
        <v>2.3999999999999966E-2</v>
      </c>
      <c r="D429" s="4">
        <f t="shared" si="61"/>
        <v>1.5554284590900538</v>
      </c>
      <c r="E429" s="4">
        <f t="shared" si="62"/>
        <v>0.57467378325694207</v>
      </c>
      <c r="F429" s="4">
        <f t="shared" si="69"/>
        <v>0</v>
      </c>
      <c r="G429" s="4">
        <f t="shared" si="70"/>
        <v>0.55655717529215432</v>
      </c>
      <c r="H429" s="4">
        <f t="shared" si="63"/>
        <v>0.17035726210350607</v>
      </c>
      <c r="I429" s="4">
        <f t="shared" si="64"/>
        <v>0</v>
      </c>
      <c r="J429" s="2" t="str">
        <f t="shared" si="65"/>
        <v/>
      </c>
      <c r="K429" s="2" t="str">
        <f t="shared" si="66"/>
        <v/>
      </c>
      <c r="L429" s="2" t="str">
        <f t="shared" si="67"/>
        <v/>
      </c>
    </row>
    <row r="430" spans="1:12">
      <c r="A430" s="2">
        <v>418</v>
      </c>
      <c r="B430" s="4">
        <v>0.25700000000000001</v>
      </c>
      <c r="C430" s="4">
        <f t="shared" si="68"/>
        <v>0.14700000000000002</v>
      </c>
      <c r="D430" s="4">
        <f t="shared" si="61"/>
        <v>1.5554284590900538</v>
      </c>
      <c r="E430" s="4">
        <f t="shared" si="62"/>
        <v>0.57467378325694207</v>
      </c>
      <c r="F430" s="4">
        <f t="shared" si="69"/>
        <v>0</v>
      </c>
      <c r="G430" s="4">
        <f t="shared" si="70"/>
        <v>0.55655717529215432</v>
      </c>
      <c r="H430" s="4">
        <f t="shared" si="63"/>
        <v>0.17035726210350607</v>
      </c>
      <c r="I430" s="4">
        <f t="shared" si="64"/>
        <v>0</v>
      </c>
      <c r="J430" s="2" t="str">
        <f t="shared" si="65"/>
        <v/>
      </c>
      <c r="K430" s="2" t="str">
        <f t="shared" si="66"/>
        <v/>
      </c>
      <c r="L430" s="2" t="str">
        <f t="shared" si="67"/>
        <v/>
      </c>
    </row>
    <row r="431" spans="1:12">
      <c r="A431" s="2">
        <v>419</v>
      </c>
      <c r="B431" s="4">
        <v>0.314</v>
      </c>
      <c r="C431" s="4">
        <f t="shared" si="68"/>
        <v>5.6999999999999995E-2</v>
      </c>
      <c r="D431" s="4">
        <f t="shared" si="61"/>
        <v>1.5554284590900538</v>
      </c>
      <c r="E431" s="4">
        <f t="shared" si="62"/>
        <v>0.57467378325694207</v>
      </c>
      <c r="F431" s="4">
        <f t="shared" si="69"/>
        <v>0</v>
      </c>
      <c r="G431" s="4">
        <f t="shared" si="70"/>
        <v>0.55655717529215432</v>
      </c>
      <c r="H431" s="4">
        <f t="shared" si="63"/>
        <v>0.17035726210350607</v>
      </c>
      <c r="I431" s="4">
        <f t="shared" si="64"/>
        <v>0</v>
      </c>
      <c r="J431" s="2" t="str">
        <f t="shared" si="65"/>
        <v/>
      </c>
      <c r="K431" s="2" t="str">
        <f t="shared" si="66"/>
        <v/>
      </c>
      <c r="L431" s="2" t="str">
        <f t="shared" si="67"/>
        <v/>
      </c>
    </row>
    <row r="432" spans="1:12">
      <c r="A432" s="2">
        <v>420</v>
      </c>
      <c r="B432" s="4">
        <v>0.54600000000000004</v>
      </c>
      <c r="C432" s="4">
        <f t="shared" si="68"/>
        <v>0.23200000000000004</v>
      </c>
      <c r="D432" s="4">
        <f t="shared" si="61"/>
        <v>1.5554284590900538</v>
      </c>
      <c r="E432" s="4">
        <f t="shared" si="62"/>
        <v>0.57467378325694207</v>
      </c>
      <c r="F432" s="4">
        <f t="shared" si="69"/>
        <v>0</v>
      </c>
      <c r="G432" s="4">
        <f t="shared" si="70"/>
        <v>0.55655717529215432</v>
      </c>
      <c r="H432" s="4">
        <f t="shared" si="63"/>
        <v>0.17035726210350607</v>
      </c>
      <c r="I432" s="4">
        <f t="shared" si="64"/>
        <v>0</v>
      </c>
      <c r="J432" s="2" t="str">
        <f t="shared" si="65"/>
        <v/>
      </c>
      <c r="K432" s="2" t="str">
        <f t="shared" si="66"/>
        <v/>
      </c>
      <c r="L432" s="2" t="str">
        <f t="shared" si="67"/>
        <v/>
      </c>
    </row>
    <row r="433" spans="1:12">
      <c r="A433" s="2">
        <v>421</v>
      </c>
      <c r="B433" s="4">
        <v>0.33200000000000002</v>
      </c>
      <c r="C433" s="4">
        <f t="shared" si="68"/>
        <v>0.21400000000000002</v>
      </c>
      <c r="D433" s="4">
        <f t="shared" si="61"/>
        <v>1.5554284590900538</v>
      </c>
      <c r="E433" s="4">
        <f t="shared" si="62"/>
        <v>0.57467378325694207</v>
      </c>
      <c r="F433" s="4">
        <f t="shared" si="69"/>
        <v>0</v>
      </c>
      <c r="G433" s="4">
        <f t="shared" si="70"/>
        <v>0.55655717529215432</v>
      </c>
      <c r="H433" s="4">
        <f t="shared" si="63"/>
        <v>0.17035726210350607</v>
      </c>
      <c r="I433" s="4">
        <f t="shared" si="64"/>
        <v>0</v>
      </c>
      <c r="J433" s="2" t="str">
        <f t="shared" si="65"/>
        <v/>
      </c>
      <c r="K433" s="2" t="str">
        <f t="shared" si="66"/>
        <v/>
      </c>
      <c r="L433" s="2" t="str">
        <f t="shared" si="67"/>
        <v/>
      </c>
    </row>
    <row r="434" spans="1:12">
      <c r="A434" s="2">
        <v>422</v>
      </c>
      <c r="B434" s="4">
        <v>0.13700000000000001</v>
      </c>
      <c r="C434" s="4">
        <f t="shared" si="68"/>
        <v>0.19500000000000001</v>
      </c>
      <c r="D434" s="4">
        <f t="shared" si="61"/>
        <v>1.5554284590900538</v>
      </c>
      <c r="E434" s="4">
        <f t="shared" si="62"/>
        <v>0.57467378325694207</v>
      </c>
      <c r="F434" s="4">
        <f t="shared" si="69"/>
        <v>0</v>
      </c>
      <c r="G434" s="4">
        <f t="shared" si="70"/>
        <v>0.55655717529215432</v>
      </c>
      <c r="H434" s="4">
        <f t="shared" si="63"/>
        <v>0.17035726210350607</v>
      </c>
      <c r="I434" s="4">
        <f t="shared" si="64"/>
        <v>0</v>
      </c>
      <c r="J434" s="2" t="str">
        <f t="shared" si="65"/>
        <v/>
      </c>
      <c r="K434" s="2" t="str">
        <f t="shared" si="66"/>
        <v/>
      </c>
      <c r="L434" s="2" t="str">
        <f t="shared" si="67"/>
        <v/>
      </c>
    </row>
    <row r="435" spans="1:12">
      <c r="A435" s="2">
        <v>423</v>
      </c>
      <c r="B435" s="4">
        <v>1.345</v>
      </c>
      <c r="C435" s="4">
        <f t="shared" si="68"/>
        <v>1.208</v>
      </c>
      <c r="D435" s="4">
        <f t="shared" si="61"/>
        <v>1.5554284590900538</v>
      </c>
      <c r="E435" s="4">
        <f t="shared" si="62"/>
        <v>0.57467378325694207</v>
      </c>
      <c r="F435" s="4">
        <f t="shared" si="69"/>
        <v>0</v>
      </c>
      <c r="G435" s="4">
        <f t="shared" si="70"/>
        <v>0.55655717529215432</v>
      </c>
      <c r="H435" s="4">
        <f t="shared" si="63"/>
        <v>0.17035726210350607</v>
      </c>
      <c r="I435" s="4">
        <f t="shared" si="64"/>
        <v>0</v>
      </c>
      <c r="J435" s="2" t="str">
        <f t="shared" si="65"/>
        <v/>
      </c>
      <c r="K435" s="2" t="str">
        <f t="shared" si="66"/>
        <v>Y</v>
      </c>
      <c r="L435" s="2" t="str">
        <f t="shared" si="67"/>
        <v/>
      </c>
    </row>
    <row r="436" spans="1:12">
      <c r="A436" s="2">
        <v>424</v>
      </c>
      <c r="B436" s="4">
        <v>0.188</v>
      </c>
      <c r="C436" s="4">
        <f t="shared" si="68"/>
        <v>1.157</v>
      </c>
      <c r="D436" s="4">
        <f t="shared" si="61"/>
        <v>1.5554284590900538</v>
      </c>
      <c r="E436" s="4">
        <f t="shared" si="62"/>
        <v>0.57467378325694207</v>
      </c>
      <c r="F436" s="4">
        <f t="shared" si="69"/>
        <v>0</v>
      </c>
      <c r="G436" s="4">
        <f t="shared" si="70"/>
        <v>0.55655717529215432</v>
      </c>
      <c r="H436" s="4">
        <f t="shared" si="63"/>
        <v>0.17035726210350607</v>
      </c>
      <c r="I436" s="4">
        <f t="shared" si="64"/>
        <v>0</v>
      </c>
      <c r="J436" s="2" t="str">
        <f t="shared" si="65"/>
        <v/>
      </c>
      <c r="K436" s="2" t="str">
        <f t="shared" si="66"/>
        <v>Y</v>
      </c>
      <c r="L436" s="2" t="str">
        <f t="shared" si="67"/>
        <v/>
      </c>
    </row>
    <row r="437" spans="1:12">
      <c r="A437" s="2">
        <v>425</v>
      </c>
      <c r="B437" s="4">
        <v>0.376</v>
      </c>
      <c r="C437" s="4">
        <f t="shared" si="68"/>
        <v>0.188</v>
      </c>
      <c r="D437" s="4">
        <f t="shared" si="61"/>
        <v>1.5554284590900538</v>
      </c>
      <c r="E437" s="4">
        <f t="shared" si="62"/>
        <v>0.57467378325694207</v>
      </c>
      <c r="F437" s="4">
        <f t="shared" si="69"/>
        <v>0</v>
      </c>
      <c r="G437" s="4">
        <f t="shared" si="70"/>
        <v>0.55655717529215432</v>
      </c>
      <c r="H437" s="4">
        <f t="shared" si="63"/>
        <v>0.17035726210350607</v>
      </c>
      <c r="I437" s="4">
        <f t="shared" si="64"/>
        <v>0</v>
      </c>
      <c r="J437" s="2" t="str">
        <f t="shared" si="65"/>
        <v/>
      </c>
      <c r="K437" s="2" t="str">
        <f t="shared" si="66"/>
        <v/>
      </c>
      <c r="L437" s="2" t="str">
        <f t="shared" si="67"/>
        <v/>
      </c>
    </row>
    <row r="438" spans="1:12">
      <c r="A438" s="2">
        <v>426</v>
      </c>
      <c r="B438" s="4">
        <v>1.232</v>
      </c>
      <c r="C438" s="4">
        <f t="shared" si="68"/>
        <v>0.85599999999999998</v>
      </c>
      <c r="D438" s="4">
        <f t="shared" si="61"/>
        <v>1.5554284590900538</v>
      </c>
      <c r="E438" s="4">
        <f t="shared" si="62"/>
        <v>0.57467378325694207</v>
      </c>
      <c r="F438" s="4">
        <f t="shared" si="69"/>
        <v>0</v>
      </c>
      <c r="G438" s="4">
        <f t="shared" si="70"/>
        <v>0.55655717529215432</v>
      </c>
      <c r="H438" s="4">
        <f t="shared" si="63"/>
        <v>0.17035726210350607</v>
      </c>
      <c r="I438" s="4">
        <f t="shared" si="64"/>
        <v>0</v>
      </c>
      <c r="J438" s="2" t="str">
        <f t="shared" si="65"/>
        <v/>
      </c>
      <c r="K438" s="2" t="str">
        <f t="shared" si="66"/>
        <v>Y</v>
      </c>
      <c r="L438" s="2" t="str">
        <f t="shared" si="67"/>
        <v/>
      </c>
    </row>
    <row r="439" spans="1:12">
      <c r="A439" s="2">
        <v>427</v>
      </c>
      <c r="B439" s="4">
        <v>0.52100000000000002</v>
      </c>
      <c r="C439" s="4">
        <f t="shared" si="68"/>
        <v>0.71099999999999997</v>
      </c>
      <c r="D439" s="4">
        <f t="shared" si="61"/>
        <v>1.5554284590900538</v>
      </c>
      <c r="E439" s="4">
        <f t="shared" si="62"/>
        <v>0.57467378325694207</v>
      </c>
      <c r="F439" s="4">
        <f t="shared" si="69"/>
        <v>0</v>
      </c>
      <c r="G439" s="4">
        <f t="shared" si="70"/>
        <v>0.55655717529215432</v>
      </c>
      <c r="H439" s="4">
        <f t="shared" si="63"/>
        <v>0.17035726210350607</v>
      </c>
      <c r="I439" s="4">
        <f t="shared" si="64"/>
        <v>0</v>
      </c>
      <c r="J439" s="2" t="str">
        <f t="shared" si="65"/>
        <v/>
      </c>
      <c r="K439" s="2" t="str">
        <f t="shared" si="66"/>
        <v>Y</v>
      </c>
      <c r="L439" s="2" t="str">
        <f t="shared" si="67"/>
        <v/>
      </c>
    </row>
    <row r="440" spans="1:12">
      <c r="A440" s="2">
        <v>428</v>
      </c>
      <c r="B440" s="4">
        <v>0.22900000000000001</v>
      </c>
      <c r="C440" s="4">
        <f t="shared" si="68"/>
        <v>0.29200000000000004</v>
      </c>
      <c r="D440" s="4">
        <f t="shared" si="61"/>
        <v>1.5554284590900538</v>
      </c>
      <c r="E440" s="4">
        <f t="shared" si="62"/>
        <v>0.57467378325694207</v>
      </c>
      <c r="F440" s="4">
        <f t="shared" si="69"/>
        <v>0</v>
      </c>
      <c r="G440" s="4">
        <f t="shared" si="70"/>
        <v>0.55655717529215432</v>
      </c>
      <c r="H440" s="4">
        <f t="shared" si="63"/>
        <v>0.17035726210350607</v>
      </c>
      <c r="I440" s="4">
        <f t="shared" si="64"/>
        <v>0</v>
      </c>
      <c r="J440" s="2" t="str">
        <f t="shared" si="65"/>
        <v/>
      </c>
      <c r="K440" s="2" t="str">
        <f t="shared" si="66"/>
        <v/>
      </c>
      <c r="L440" s="2" t="str">
        <f t="shared" si="67"/>
        <v/>
      </c>
    </row>
    <row r="441" spans="1:12">
      <c r="A441" s="2">
        <v>429</v>
      </c>
      <c r="B441" s="4">
        <v>0.625</v>
      </c>
      <c r="C441" s="4">
        <f t="shared" si="68"/>
        <v>0.39600000000000002</v>
      </c>
      <c r="D441" s="4">
        <f t="shared" si="61"/>
        <v>1.5554284590900538</v>
      </c>
      <c r="E441" s="4">
        <f t="shared" si="62"/>
        <v>0.57467378325694207</v>
      </c>
      <c r="F441" s="4">
        <f t="shared" si="69"/>
        <v>0</v>
      </c>
      <c r="G441" s="4">
        <f t="shared" si="70"/>
        <v>0.55655717529215432</v>
      </c>
      <c r="H441" s="4">
        <f t="shared" si="63"/>
        <v>0.17035726210350607</v>
      </c>
      <c r="I441" s="4">
        <f t="shared" si="64"/>
        <v>0</v>
      </c>
      <c r="J441" s="2" t="str">
        <f t="shared" si="65"/>
        <v/>
      </c>
      <c r="K441" s="2" t="str">
        <f t="shared" si="66"/>
        <v/>
      </c>
      <c r="L441" s="2" t="str">
        <f t="shared" si="67"/>
        <v/>
      </c>
    </row>
    <row r="442" spans="1:12">
      <c r="A442" s="2">
        <v>430</v>
      </c>
      <c r="B442" s="4">
        <v>0.222</v>
      </c>
      <c r="C442" s="4">
        <f t="shared" si="68"/>
        <v>0.40300000000000002</v>
      </c>
      <c r="D442" s="4">
        <f t="shared" si="61"/>
        <v>1.5554284590900538</v>
      </c>
      <c r="E442" s="4">
        <f t="shared" si="62"/>
        <v>0.57467378325694207</v>
      </c>
      <c r="F442" s="4">
        <f t="shared" si="69"/>
        <v>0</v>
      </c>
      <c r="G442" s="4">
        <f t="shared" si="70"/>
        <v>0.55655717529215432</v>
      </c>
      <c r="H442" s="4">
        <f t="shared" si="63"/>
        <v>0.17035726210350607</v>
      </c>
      <c r="I442" s="4">
        <f t="shared" si="64"/>
        <v>0</v>
      </c>
      <c r="J442" s="2" t="str">
        <f t="shared" si="65"/>
        <v/>
      </c>
      <c r="K442" s="2" t="str">
        <f t="shared" si="66"/>
        <v/>
      </c>
      <c r="L442" s="2" t="str">
        <f t="shared" si="67"/>
        <v/>
      </c>
    </row>
    <row r="443" spans="1:12">
      <c r="A443" s="2">
        <v>431</v>
      </c>
      <c r="B443" s="4">
        <v>0.57599999999999996</v>
      </c>
      <c r="C443" s="4">
        <f t="shared" si="68"/>
        <v>0.35399999999999998</v>
      </c>
      <c r="D443" s="4">
        <f t="shared" si="61"/>
        <v>1.5554284590900538</v>
      </c>
      <c r="E443" s="4">
        <f t="shared" si="62"/>
        <v>0.57467378325694207</v>
      </c>
      <c r="F443" s="4">
        <f t="shared" si="69"/>
        <v>0</v>
      </c>
      <c r="G443" s="4">
        <f t="shared" si="70"/>
        <v>0.55655717529215432</v>
      </c>
      <c r="H443" s="4">
        <f t="shared" si="63"/>
        <v>0.17035726210350607</v>
      </c>
      <c r="I443" s="4">
        <f t="shared" si="64"/>
        <v>0</v>
      </c>
      <c r="J443" s="2" t="str">
        <f t="shared" si="65"/>
        <v/>
      </c>
      <c r="K443" s="2" t="str">
        <f t="shared" si="66"/>
        <v/>
      </c>
      <c r="L443" s="2" t="str">
        <f t="shared" si="67"/>
        <v/>
      </c>
    </row>
    <row r="444" spans="1:12">
      <c r="A444" s="2">
        <v>432</v>
      </c>
      <c r="B444" s="4">
        <v>0.105</v>
      </c>
      <c r="C444" s="4">
        <f t="shared" si="68"/>
        <v>0.47099999999999997</v>
      </c>
      <c r="D444" s="4">
        <f t="shared" si="61"/>
        <v>1.5554284590900538</v>
      </c>
      <c r="E444" s="4">
        <f t="shared" si="62"/>
        <v>0.57467378325694207</v>
      </c>
      <c r="F444" s="4">
        <f t="shared" si="69"/>
        <v>0</v>
      </c>
      <c r="G444" s="4">
        <f t="shared" si="70"/>
        <v>0.55655717529215432</v>
      </c>
      <c r="H444" s="4">
        <f t="shared" si="63"/>
        <v>0.17035726210350607</v>
      </c>
      <c r="I444" s="4">
        <f t="shared" si="64"/>
        <v>0</v>
      </c>
      <c r="J444" s="2" t="str">
        <f t="shared" si="65"/>
        <v/>
      </c>
      <c r="K444" s="2" t="str">
        <f t="shared" si="66"/>
        <v/>
      </c>
      <c r="L444" s="2" t="str">
        <f t="shared" si="67"/>
        <v/>
      </c>
    </row>
    <row r="445" spans="1:12">
      <c r="A445" s="2">
        <v>433</v>
      </c>
      <c r="B445" s="4">
        <v>0.76400000000000001</v>
      </c>
      <c r="C445" s="4">
        <f t="shared" si="68"/>
        <v>0.65900000000000003</v>
      </c>
      <c r="D445" s="4">
        <f t="shared" si="61"/>
        <v>1.5554284590900538</v>
      </c>
      <c r="E445" s="4">
        <f t="shared" si="62"/>
        <v>0.57467378325694207</v>
      </c>
      <c r="F445" s="4">
        <f t="shared" si="69"/>
        <v>0</v>
      </c>
      <c r="G445" s="4">
        <f t="shared" si="70"/>
        <v>0.55655717529215432</v>
      </c>
      <c r="H445" s="4">
        <f t="shared" si="63"/>
        <v>0.17035726210350607</v>
      </c>
      <c r="I445" s="4">
        <f t="shared" si="64"/>
        <v>0</v>
      </c>
      <c r="J445" s="2" t="str">
        <f t="shared" si="65"/>
        <v/>
      </c>
      <c r="K445" s="2" t="str">
        <f t="shared" si="66"/>
        <v>Y</v>
      </c>
      <c r="L445" s="2" t="str">
        <f t="shared" si="67"/>
        <v/>
      </c>
    </row>
    <row r="446" spans="1:12">
      <c r="A446" s="2">
        <v>434</v>
      </c>
      <c r="B446" s="4">
        <v>0.308</v>
      </c>
      <c r="C446" s="4">
        <f t="shared" si="68"/>
        <v>0.45600000000000002</v>
      </c>
      <c r="D446" s="4">
        <f t="shared" si="61"/>
        <v>1.5554284590900538</v>
      </c>
      <c r="E446" s="4">
        <f t="shared" si="62"/>
        <v>0.57467378325694207</v>
      </c>
      <c r="F446" s="4">
        <f t="shared" si="69"/>
        <v>0</v>
      </c>
      <c r="G446" s="4">
        <f t="shared" si="70"/>
        <v>0.55655717529215432</v>
      </c>
      <c r="H446" s="4">
        <f t="shared" si="63"/>
        <v>0.17035726210350607</v>
      </c>
      <c r="I446" s="4">
        <f t="shared" si="64"/>
        <v>0</v>
      </c>
      <c r="J446" s="2" t="str">
        <f t="shared" si="65"/>
        <v/>
      </c>
      <c r="K446" s="2" t="str">
        <f t="shared" si="66"/>
        <v/>
      </c>
      <c r="L446" s="2" t="str">
        <f t="shared" si="67"/>
        <v/>
      </c>
    </row>
    <row r="447" spans="1:12">
      <c r="A447" s="2">
        <v>435</v>
      </c>
      <c r="B447" s="4">
        <v>0.24199999999999999</v>
      </c>
      <c r="C447" s="4">
        <f t="shared" si="68"/>
        <v>6.6000000000000003E-2</v>
      </c>
      <c r="D447" s="4">
        <f t="shared" si="61"/>
        <v>1.5554284590900538</v>
      </c>
      <c r="E447" s="4">
        <f t="shared" si="62"/>
        <v>0.57467378325694207</v>
      </c>
      <c r="F447" s="4">
        <f t="shared" si="69"/>
        <v>0</v>
      </c>
      <c r="G447" s="4">
        <f t="shared" si="70"/>
        <v>0.55655717529215432</v>
      </c>
      <c r="H447" s="4">
        <f t="shared" si="63"/>
        <v>0.17035726210350607</v>
      </c>
      <c r="I447" s="4">
        <f t="shared" si="64"/>
        <v>0</v>
      </c>
      <c r="J447" s="2" t="str">
        <f t="shared" si="65"/>
        <v/>
      </c>
      <c r="K447" s="2" t="str">
        <f t="shared" si="66"/>
        <v/>
      </c>
      <c r="L447" s="2" t="str">
        <f t="shared" si="67"/>
        <v/>
      </c>
    </row>
    <row r="448" spans="1:12">
      <c r="A448" s="2">
        <v>436</v>
      </c>
      <c r="B448" s="4">
        <v>0.30199999999999999</v>
      </c>
      <c r="C448" s="4">
        <f t="shared" si="68"/>
        <v>0.06</v>
      </c>
      <c r="D448" s="4">
        <f t="shared" si="61"/>
        <v>1.5554284590900538</v>
      </c>
      <c r="E448" s="4">
        <f t="shared" si="62"/>
        <v>0.57467378325694207</v>
      </c>
      <c r="F448" s="4">
        <f t="shared" si="69"/>
        <v>0</v>
      </c>
      <c r="G448" s="4">
        <f t="shared" si="70"/>
        <v>0.55655717529215432</v>
      </c>
      <c r="H448" s="4">
        <f t="shared" si="63"/>
        <v>0.17035726210350607</v>
      </c>
      <c r="I448" s="4">
        <f t="shared" si="64"/>
        <v>0</v>
      </c>
      <c r="J448" s="2" t="str">
        <f t="shared" si="65"/>
        <v/>
      </c>
      <c r="K448" s="2" t="str">
        <f t="shared" si="66"/>
        <v/>
      </c>
      <c r="L448" s="2" t="str">
        <f t="shared" si="67"/>
        <v/>
      </c>
    </row>
    <row r="449" spans="1:12">
      <c r="A449" s="2">
        <v>437</v>
      </c>
      <c r="B449" s="4">
        <v>0.26100000000000001</v>
      </c>
      <c r="C449" s="4">
        <f t="shared" si="68"/>
        <v>4.0999999999999981E-2</v>
      </c>
      <c r="D449" s="4">
        <f t="shared" si="61"/>
        <v>1.5554284590900538</v>
      </c>
      <c r="E449" s="4">
        <f t="shared" si="62"/>
        <v>0.57467378325694207</v>
      </c>
      <c r="F449" s="4">
        <f t="shared" si="69"/>
        <v>0</v>
      </c>
      <c r="G449" s="4">
        <f t="shared" si="70"/>
        <v>0.55655717529215432</v>
      </c>
      <c r="H449" s="4">
        <f t="shared" si="63"/>
        <v>0.17035726210350607</v>
      </c>
      <c r="I449" s="4">
        <f t="shared" si="64"/>
        <v>0</v>
      </c>
      <c r="J449" s="2" t="str">
        <f t="shared" si="65"/>
        <v/>
      </c>
      <c r="K449" s="2" t="str">
        <f t="shared" si="66"/>
        <v/>
      </c>
      <c r="L449" s="2" t="str">
        <f t="shared" si="67"/>
        <v/>
      </c>
    </row>
    <row r="450" spans="1:12">
      <c r="A450" s="2">
        <v>438</v>
      </c>
      <c r="B450" s="4">
        <v>0.33400000000000002</v>
      </c>
      <c r="C450" s="4">
        <f t="shared" si="68"/>
        <v>7.3000000000000009E-2</v>
      </c>
      <c r="D450" s="4">
        <f t="shared" si="61"/>
        <v>1.5554284590900538</v>
      </c>
      <c r="E450" s="4">
        <f t="shared" si="62"/>
        <v>0.57467378325694207</v>
      </c>
      <c r="F450" s="4">
        <f t="shared" si="69"/>
        <v>0</v>
      </c>
      <c r="G450" s="4">
        <f t="shared" si="70"/>
        <v>0.55655717529215432</v>
      </c>
      <c r="H450" s="4">
        <f t="shared" si="63"/>
        <v>0.17035726210350607</v>
      </c>
      <c r="I450" s="4">
        <f t="shared" si="64"/>
        <v>0</v>
      </c>
      <c r="J450" s="2" t="str">
        <f t="shared" si="65"/>
        <v/>
      </c>
      <c r="K450" s="2" t="str">
        <f t="shared" si="66"/>
        <v/>
      </c>
      <c r="L450" s="2" t="str">
        <f t="shared" si="67"/>
        <v/>
      </c>
    </row>
    <row r="451" spans="1:12">
      <c r="A451" s="2">
        <v>439</v>
      </c>
      <c r="B451" s="4">
        <v>0.26900000000000002</v>
      </c>
      <c r="C451" s="4">
        <f t="shared" si="68"/>
        <v>6.5000000000000002E-2</v>
      </c>
      <c r="D451" s="4">
        <f t="shared" si="61"/>
        <v>1.5554284590900538</v>
      </c>
      <c r="E451" s="4">
        <f t="shared" si="62"/>
        <v>0.57467378325694207</v>
      </c>
      <c r="F451" s="4">
        <f t="shared" si="69"/>
        <v>0</v>
      </c>
      <c r="G451" s="4">
        <f t="shared" si="70"/>
        <v>0.55655717529215432</v>
      </c>
      <c r="H451" s="4">
        <f t="shared" si="63"/>
        <v>0.17035726210350607</v>
      </c>
      <c r="I451" s="4">
        <f t="shared" si="64"/>
        <v>0</v>
      </c>
      <c r="J451" s="2" t="str">
        <f t="shared" si="65"/>
        <v/>
      </c>
      <c r="K451" s="2" t="str">
        <f t="shared" si="66"/>
        <v/>
      </c>
      <c r="L451" s="2" t="str">
        <f t="shared" si="67"/>
        <v/>
      </c>
    </row>
    <row r="452" spans="1:12">
      <c r="A452" s="2">
        <v>440</v>
      </c>
      <c r="B452" s="4">
        <v>0.46899999999999997</v>
      </c>
      <c r="C452" s="4">
        <f t="shared" si="68"/>
        <v>0.19999999999999996</v>
      </c>
      <c r="D452" s="4">
        <f t="shared" si="61"/>
        <v>1.5554284590900538</v>
      </c>
      <c r="E452" s="4">
        <f t="shared" si="62"/>
        <v>0.57467378325694207</v>
      </c>
      <c r="F452" s="4">
        <f t="shared" si="69"/>
        <v>0</v>
      </c>
      <c r="G452" s="4">
        <f t="shared" si="70"/>
        <v>0.55655717529215432</v>
      </c>
      <c r="H452" s="4">
        <f t="shared" si="63"/>
        <v>0.17035726210350607</v>
      </c>
      <c r="I452" s="4">
        <f t="shared" si="64"/>
        <v>0</v>
      </c>
      <c r="J452" s="2" t="str">
        <f t="shared" si="65"/>
        <v/>
      </c>
      <c r="K452" s="2" t="str">
        <f t="shared" si="66"/>
        <v/>
      </c>
      <c r="L452" s="2" t="str">
        <f t="shared" si="67"/>
        <v/>
      </c>
    </row>
    <row r="453" spans="1:12">
      <c r="A453" s="2">
        <v>441</v>
      </c>
      <c r="B453" s="4">
        <v>0.40200000000000002</v>
      </c>
      <c r="C453" s="4">
        <f t="shared" si="68"/>
        <v>6.6999999999999948E-2</v>
      </c>
      <c r="D453" s="4">
        <f t="shared" si="61"/>
        <v>1.5554284590900538</v>
      </c>
      <c r="E453" s="4">
        <f t="shared" si="62"/>
        <v>0.57467378325694207</v>
      </c>
      <c r="F453" s="4">
        <f t="shared" si="69"/>
        <v>0</v>
      </c>
      <c r="G453" s="4">
        <f t="shared" si="70"/>
        <v>0.55655717529215432</v>
      </c>
      <c r="H453" s="4">
        <f t="shared" si="63"/>
        <v>0.17035726210350607</v>
      </c>
      <c r="I453" s="4">
        <f t="shared" si="64"/>
        <v>0</v>
      </c>
      <c r="J453" s="2" t="str">
        <f t="shared" si="65"/>
        <v/>
      </c>
      <c r="K453" s="2" t="str">
        <f t="shared" si="66"/>
        <v/>
      </c>
      <c r="L453" s="2" t="str">
        <f t="shared" si="67"/>
        <v/>
      </c>
    </row>
    <row r="454" spans="1:12">
      <c r="A454" s="2">
        <v>442</v>
      </c>
      <c r="B454" s="4">
        <v>0.39800000000000002</v>
      </c>
      <c r="C454" s="4">
        <f t="shared" si="68"/>
        <v>4.0000000000000036E-3</v>
      </c>
      <c r="D454" s="4">
        <f t="shared" si="61"/>
        <v>1.5554284590900538</v>
      </c>
      <c r="E454" s="4">
        <f t="shared" si="62"/>
        <v>0.57467378325694207</v>
      </c>
      <c r="F454" s="4">
        <f t="shared" si="69"/>
        <v>0</v>
      </c>
      <c r="G454" s="4">
        <f t="shared" si="70"/>
        <v>0.55655717529215432</v>
      </c>
      <c r="H454" s="4">
        <f t="shared" si="63"/>
        <v>0.17035726210350607</v>
      </c>
      <c r="I454" s="4">
        <f t="shared" si="64"/>
        <v>0</v>
      </c>
      <c r="J454" s="2" t="str">
        <f t="shared" si="65"/>
        <v/>
      </c>
      <c r="K454" s="2" t="str">
        <f t="shared" si="66"/>
        <v/>
      </c>
      <c r="L454" s="2" t="str">
        <f t="shared" si="67"/>
        <v/>
      </c>
    </row>
    <row r="455" spans="1:12">
      <c r="A455" s="2">
        <v>443</v>
      </c>
      <c r="B455" s="4">
        <v>0.49099999999999999</v>
      </c>
      <c r="C455" s="4">
        <f t="shared" si="68"/>
        <v>9.2999999999999972E-2</v>
      </c>
      <c r="D455" s="4">
        <f t="shared" si="61"/>
        <v>1.5554284590900538</v>
      </c>
      <c r="E455" s="4">
        <f t="shared" si="62"/>
        <v>0.57467378325694207</v>
      </c>
      <c r="F455" s="4">
        <f t="shared" si="69"/>
        <v>0</v>
      </c>
      <c r="G455" s="4">
        <f t="shared" si="70"/>
        <v>0.55655717529215432</v>
      </c>
      <c r="H455" s="4">
        <f t="shared" si="63"/>
        <v>0.17035726210350607</v>
      </c>
      <c r="I455" s="4">
        <f t="shared" si="64"/>
        <v>0</v>
      </c>
      <c r="J455" s="2" t="str">
        <f t="shared" si="65"/>
        <v/>
      </c>
      <c r="K455" s="2" t="str">
        <f t="shared" si="66"/>
        <v/>
      </c>
      <c r="L455" s="2" t="str">
        <f t="shared" si="67"/>
        <v/>
      </c>
    </row>
    <row r="456" spans="1:12">
      <c r="A456" s="2">
        <v>444</v>
      </c>
      <c r="B456" s="4">
        <v>0.29199999999999998</v>
      </c>
      <c r="C456" s="4">
        <f t="shared" si="68"/>
        <v>0.19900000000000001</v>
      </c>
      <c r="D456" s="4">
        <f t="shared" si="61"/>
        <v>1.5554284590900538</v>
      </c>
      <c r="E456" s="4">
        <f t="shared" si="62"/>
        <v>0.57467378325694207</v>
      </c>
      <c r="F456" s="4">
        <f t="shared" si="69"/>
        <v>0</v>
      </c>
      <c r="G456" s="4">
        <f t="shared" si="70"/>
        <v>0.55655717529215432</v>
      </c>
      <c r="H456" s="4">
        <f t="shared" si="63"/>
        <v>0.17035726210350607</v>
      </c>
      <c r="I456" s="4">
        <f t="shared" si="64"/>
        <v>0</v>
      </c>
      <c r="J456" s="2" t="str">
        <f t="shared" si="65"/>
        <v/>
      </c>
      <c r="K456" s="2" t="str">
        <f t="shared" si="66"/>
        <v/>
      </c>
      <c r="L456" s="2" t="str">
        <f t="shared" si="67"/>
        <v/>
      </c>
    </row>
    <row r="457" spans="1:12">
      <c r="A457" s="2">
        <v>445</v>
      </c>
      <c r="B457" s="4">
        <v>0.39</v>
      </c>
      <c r="C457" s="4">
        <f t="shared" si="68"/>
        <v>9.8000000000000032E-2</v>
      </c>
      <c r="D457" s="4">
        <f t="shared" si="61"/>
        <v>1.5554284590900538</v>
      </c>
      <c r="E457" s="4">
        <f t="shared" si="62"/>
        <v>0.57467378325694207</v>
      </c>
      <c r="F457" s="4">
        <f t="shared" si="69"/>
        <v>0</v>
      </c>
      <c r="G457" s="4">
        <f t="shared" si="70"/>
        <v>0.55655717529215432</v>
      </c>
      <c r="H457" s="4">
        <f t="shared" si="63"/>
        <v>0.17035726210350607</v>
      </c>
      <c r="I457" s="4">
        <f t="shared" si="64"/>
        <v>0</v>
      </c>
      <c r="J457" s="2" t="str">
        <f t="shared" si="65"/>
        <v/>
      </c>
      <c r="K457" s="2" t="str">
        <f t="shared" si="66"/>
        <v/>
      </c>
      <c r="L457" s="2" t="str">
        <f t="shared" si="67"/>
        <v/>
      </c>
    </row>
    <row r="458" spans="1:12">
      <c r="A458" s="2">
        <v>446</v>
      </c>
      <c r="B458" s="4">
        <v>0.44800000000000001</v>
      </c>
      <c r="C458" s="4">
        <f t="shared" si="68"/>
        <v>5.7999999999999996E-2</v>
      </c>
      <c r="D458" s="4">
        <f t="shared" si="61"/>
        <v>1.5554284590900538</v>
      </c>
      <c r="E458" s="4">
        <f t="shared" si="62"/>
        <v>0.57467378325694207</v>
      </c>
      <c r="F458" s="4">
        <f t="shared" si="69"/>
        <v>0</v>
      </c>
      <c r="G458" s="4">
        <f t="shared" si="70"/>
        <v>0.55655717529215432</v>
      </c>
      <c r="H458" s="4">
        <f t="shared" si="63"/>
        <v>0.17035726210350607</v>
      </c>
      <c r="I458" s="4">
        <f t="shared" si="64"/>
        <v>0</v>
      </c>
      <c r="J458" s="2" t="str">
        <f t="shared" si="65"/>
        <v/>
      </c>
      <c r="K458" s="2" t="str">
        <f t="shared" si="66"/>
        <v/>
      </c>
      <c r="L458" s="2" t="str">
        <f t="shared" si="67"/>
        <v/>
      </c>
    </row>
    <row r="459" spans="1:12">
      <c r="A459" s="2">
        <v>447</v>
      </c>
      <c r="B459" s="4">
        <v>4.8000000000000001E-2</v>
      </c>
      <c r="C459" s="4">
        <f t="shared" si="68"/>
        <v>0.4</v>
      </c>
      <c r="D459" s="4">
        <f t="shared" si="61"/>
        <v>1.5554284590900538</v>
      </c>
      <c r="E459" s="4">
        <f t="shared" si="62"/>
        <v>0.57467378325694207</v>
      </c>
      <c r="F459" s="4">
        <f t="shared" si="69"/>
        <v>0</v>
      </c>
      <c r="G459" s="4">
        <f t="shared" si="70"/>
        <v>0.55655717529215432</v>
      </c>
      <c r="H459" s="4">
        <f t="shared" si="63"/>
        <v>0.17035726210350607</v>
      </c>
      <c r="I459" s="4">
        <f t="shared" si="64"/>
        <v>0</v>
      </c>
      <c r="J459" s="2" t="str">
        <f t="shared" si="65"/>
        <v/>
      </c>
      <c r="K459" s="2" t="str">
        <f t="shared" si="66"/>
        <v/>
      </c>
      <c r="L459" s="2" t="str">
        <f t="shared" si="67"/>
        <v/>
      </c>
    </row>
    <row r="460" spans="1:12">
      <c r="A460" s="2">
        <v>448</v>
      </c>
      <c r="B460" s="4">
        <v>0.30499999999999999</v>
      </c>
      <c r="C460" s="4">
        <f t="shared" si="68"/>
        <v>0.25700000000000001</v>
      </c>
      <c r="D460" s="4">
        <f t="shared" si="61"/>
        <v>1.5554284590900538</v>
      </c>
      <c r="E460" s="4">
        <f t="shared" si="62"/>
        <v>0.57467378325694207</v>
      </c>
      <c r="F460" s="4">
        <f t="shared" si="69"/>
        <v>0</v>
      </c>
      <c r="G460" s="4">
        <f t="shared" si="70"/>
        <v>0.55655717529215432</v>
      </c>
      <c r="H460" s="4">
        <f t="shared" si="63"/>
        <v>0.17035726210350607</v>
      </c>
      <c r="I460" s="4">
        <f t="shared" si="64"/>
        <v>0</v>
      </c>
      <c r="J460" s="2" t="str">
        <f t="shared" si="65"/>
        <v/>
      </c>
      <c r="K460" s="2" t="str">
        <f t="shared" si="66"/>
        <v/>
      </c>
      <c r="L460" s="2" t="str">
        <f t="shared" si="67"/>
        <v/>
      </c>
    </row>
    <row r="461" spans="1:12">
      <c r="A461" s="2">
        <v>449</v>
      </c>
      <c r="B461" s="4">
        <v>0.49099999999999999</v>
      </c>
      <c r="C461" s="4">
        <f t="shared" si="68"/>
        <v>0.186</v>
      </c>
      <c r="D461" s="4">
        <f t="shared" ref="D461:D524" si="71">$G$13</f>
        <v>1.5554284590900538</v>
      </c>
      <c r="E461" s="4">
        <f t="shared" ref="E461:E524" si="72">$G$14</f>
        <v>0.57467378325694207</v>
      </c>
      <c r="F461" s="4">
        <f t="shared" si="69"/>
        <v>0</v>
      </c>
      <c r="G461" s="4">
        <f t="shared" si="70"/>
        <v>0.55655717529215432</v>
      </c>
      <c r="H461" s="4">
        <f t="shared" ref="H461:H524" si="73">$G$17</f>
        <v>0.17035726210350607</v>
      </c>
      <c r="I461" s="4">
        <f t="shared" ref="I461:I524" si="74">$G$18</f>
        <v>0</v>
      </c>
      <c r="J461" s="2" t="str">
        <f t="shared" ref="J461:J524" si="75">IF(OR(B461&gt;D461,B461&lt;F461),"Y","")</f>
        <v/>
      </c>
      <c r="K461" s="2" t="str">
        <f t="shared" ref="K461:K524" si="76">IF(AND(C461&lt;&gt;"",C461&gt;G461),"Y","")</f>
        <v/>
      </c>
      <c r="L461" s="2" t="str">
        <f t="shared" ref="L461:L524" si="77">IF(OR(B461&lt;$B$5,B461&gt;$D$5),"Y","")</f>
        <v/>
      </c>
    </row>
    <row r="462" spans="1:12">
      <c r="A462" s="2">
        <v>450</v>
      </c>
      <c r="B462" s="4">
        <v>0.20699999999999999</v>
      </c>
      <c r="C462" s="4">
        <f t="shared" ref="C462:C525" si="78">ABS(B462-B461)</f>
        <v>0.28400000000000003</v>
      </c>
      <c r="D462" s="4">
        <f t="shared" si="71"/>
        <v>1.5554284590900538</v>
      </c>
      <c r="E462" s="4">
        <f t="shared" si="72"/>
        <v>0.57467378325694207</v>
      </c>
      <c r="F462" s="4">
        <f t="shared" si="69"/>
        <v>0</v>
      </c>
      <c r="G462" s="4">
        <f t="shared" si="70"/>
        <v>0.55655717529215432</v>
      </c>
      <c r="H462" s="4">
        <f t="shared" si="73"/>
        <v>0.17035726210350607</v>
      </c>
      <c r="I462" s="4">
        <f t="shared" si="74"/>
        <v>0</v>
      </c>
      <c r="J462" s="2" t="str">
        <f t="shared" si="75"/>
        <v/>
      </c>
      <c r="K462" s="2" t="str">
        <f t="shared" si="76"/>
        <v/>
      </c>
      <c r="L462" s="2" t="str">
        <f t="shared" si="77"/>
        <v/>
      </c>
    </row>
    <row r="463" spans="1:12">
      <c r="A463" s="2">
        <v>451</v>
      </c>
      <c r="B463" s="4">
        <v>0.377</v>
      </c>
      <c r="C463" s="4">
        <f t="shared" si="78"/>
        <v>0.17</v>
      </c>
      <c r="D463" s="4">
        <f t="shared" si="71"/>
        <v>1.5554284590900538</v>
      </c>
      <c r="E463" s="4">
        <f t="shared" si="72"/>
        <v>0.57467378325694207</v>
      </c>
      <c r="F463" s="4">
        <f t="shared" si="69"/>
        <v>0</v>
      </c>
      <c r="G463" s="4">
        <f t="shared" si="70"/>
        <v>0.55655717529215432</v>
      </c>
      <c r="H463" s="4">
        <f t="shared" si="73"/>
        <v>0.17035726210350607</v>
      </c>
      <c r="I463" s="4">
        <f t="shared" si="74"/>
        <v>0</v>
      </c>
      <c r="J463" s="2" t="str">
        <f t="shared" si="75"/>
        <v/>
      </c>
      <c r="K463" s="2" t="str">
        <f t="shared" si="76"/>
        <v/>
      </c>
      <c r="L463" s="2" t="str">
        <f t="shared" si="77"/>
        <v/>
      </c>
    </row>
    <row r="464" spans="1:12">
      <c r="A464" s="2">
        <v>452</v>
      </c>
      <c r="B464" s="4">
        <v>0.309</v>
      </c>
      <c r="C464" s="4">
        <f t="shared" si="78"/>
        <v>6.8000000000000005E-2</v>
      </c>
      <c r="D464" s="4">
        <f t="shared" si="71"/>
        <v>1.5554284590900538</v>
      </c>
      <c r="E464" s="4">
        <f t="shared" si="72"/>
        <v>0.57467378325694207</v>
      </c>
      <c r="F464" s="4">
        <f t="shared" ref="F464:F527" si="79">$G$15</f>
        <v>0</v>
      </c>
      <c r="G464" s="4">
        <f t="shared" si="70"/>
        <v>0.55655717529215432</v>
      </c>
      <c r="H464" s="4">
        <f t="shared" si="73"/>
        <v>0.17035726210350607</v>
      </c>
      <c r="I464" s="4">
        <f t="shared" si="74"/>
        <v>0</v>
      </c>
      <c r="J464" s="2" t="str">
        <f t="shared" si="75"/>
        <v/>
      </c>
      <c r="K464" s="2" t="str">
        <f t="shared" si="76"/>
        <v/>
      </c>
      <c r="L464" s="2" t="str">
        <f t="shared" si="77"/>
        <v/>
      </c>
    </row>
    <row r="465" spans="1:12">
      <c r="A465" s="2">
        <v>453</v>
      </c>
      <c r="B465" s="4">
        <v>0.24099999999999999</v>
      </c>
      <c r="C465" s="4">
        <f t="shared" si="78"/>
        <v>6.8000000000000005E-2</v>
      </c>
      <c r="D465" s="4">
        <f t="shared" si="71"/>
        <v>1.5554284590900538</v>
      </c>
      <c r="E465" s="4">
        <f t="shared" si="72"/>
        <v>0.57467378325694207</v>
      </c>
      <c r="F465" s="4">
        <f t="shared" si="79"/>
        <v>0</v>
      </c>
      <c r="G465" s="4">
        <f t="shared" si="70"/>
        <v>0.55655717529215432</v>
      </c>
      <c r="H465" s="4">
        <f t="shared" si="73"/>
        <v>0.17035726210350607</v>
      </c>
      <c r="I465" s="4">
        <f t="shared" si="74"/>
        <v>0</v>
      </c>
      <c r="J465" s="2" t="str">
        <f t="shared" si="75"/>
        <v/>
      </c>
      <c r="K465" s="2" t="str">
        <f t="shared" si="76"/>
        <v/>
      </c>
      <c r="L465" s="2" t="str">
        <f t="shared" si="77"/>
        <v/>
      </c>
    </row>
    <row r="466" spans="1:12">
      <c r="A466" s="2">
        <v>454</v>
      </c>
      <c r="B466" s="4">
        <v>0.33800000000000002</v>
      </c>
      <c r="C466" s="4">
        <f t="shared" si="78"/>
        <v>9.7000000000000031E-2</v>
      </c>
      <c r="D466" s="4">
        <f t="shared" si="71"/>
        <v>1.5554284590900538</v>
      </c>
      <c r="E466" s="4">
        <f t="shared" si="72"/>
        <v>0.57467378325694207</v>
      </c>
      <c r="F466" s="4">
        <f t="shared" si="79"/>
        <v>0</v>
      </c>
      <c r="G466" s="4">
        <f t="shared" si="70"/>
        <v>0.55655717529215432</v>
      </c>
      <c r="H466" s="4">
        <f t="shared" si="73"/>
        <v>0.17035726210350607</v>
      </c>
      <c r="I466" s="4">
        <f t="shared" si="74"/>
        <v>0</v>
      </c>
      <c r="J466" s="2" t="str">
        <f t="shared" si="75"/>
        <v/>
      </c>
      <c r="K466" s="2" t="str">
        <f t="shared" si="76"/>
        <v/>
      </c>
      <c r="L466" s="2" t="str">
        <f t="shared" si="77"/>
        <v/>
      </c>
    </row>
    <row r="467" spans="1:12">
      <c r="A467" s="2">
        <v>455</v>
      </c>
      <c r="B467" s="4">
        <v>0.72599999999999998</v>
      </c>
      <c r="C467" s="4">
        <f t="shared" si="78"/>
        <v>0.38799999999999996</v>
      </c>
      <c r="D467" s="4">
        <f t="shared" si="71"/>
        <v>1.5554284590900538</v>
      </c>
      <c r="E467" s="4">
        <f t="shared" si="72"/>
        <v>0.57467378325694207</v>
      </c>
      <c r="F467" s="4">
        <f t="shared" si="79"/>
        <v>0</v>
      </c>
      <c r="G467" s="4">
        <f t="shared" ref="G467:G530" si="80">$G$16</f>
        <v>0.55655717529215432</v>
      </c>
      <c r="H467" s="4">
        <f t="shared" si="73"/>
        <v>0.17035726210350607</v>
      </c>
      <c r="I467" s="4">
        <f t="shared" si="74"/>
        <v>0</v>
      </c>
      <c r="J467" s="2" t="str">
        <f t="shared" si="75"/>
        <v/>
      </c>
      <c r="K467" s="2" t="str">
        <f t="shared" si="76"/>
        <v/>
      </c>
      <c r="L467" s="2" t="str">
        <f t="shared" si="77"/>
        <v/>
      </c>
    </row>
    <row r="468" spans="1:12">
      <c r="A468" s="2">
        <v>456</v>
      </c>
      <c r="B468" s="4">
        <v>0.504</v>
      </c>
      <c r="C468" s="4">
        <f t="shared" si="78"/>
        <v>0.22199999999999998</v>
      </c>
      <c r="D468" s="4">
        <f t="shared" si="71"/>
        <v>1.5554284590900538</v>
      </c>
      <c r="E468" s="4">
        <f t="shared" si="72"/>
        <v>0.57467378325694207</v>
      </c>
      <c r="F468" s="4">
        <f t="shared" si="79"/>
        <v>0</v>
      </c>
      <c r="G468" s="4">
        <f t="shared" si="80"/>
        <v>0.55655717529215432</v>
      </c>
      <c r="H468" s="4">
        <f t="shared" si="73"/>
        <v>0.17035726210350607</v>
      </c>
      <c r="I468" s="4">
        <f t="shared" si="74"/>
        <v>0</v>
      </c>
      <c r="J468" s="2" t="str">
        <f t="shared" si="75"/>
        <v/>
      </c>
      <c r="K468" s="2" t="str">
        <f t="shared" si="76"/>
        <v/>
      </c>
      <c r="L468" s="2" t="str">
        <f t="shared" si="77"/>
        <v/>
      </c>
    </row>
    <row r="469" spans="1:12">
      <c r="A469" s="2">
        <v>457</v>
      </c>
      <c r="B469" s="4">
        <v>0.66200000000000003</v>
      </c>
      <c r="C469" s="4">
        <f t="shared" si="78"/>
        <v>0.15800000000000003</v>
      </c>
      <c r="D469" s="4">
        <f t="shared" si="71"/>
        <v>1.5554284590900538</v>
      </c>
      <c r="E469" s="4">
        <f t="shared" si="72"/>
        <v>0.57467378325694207</v>
      </c>
      <c r="F469" s="4">
        <f t="shared" si="79"/>
        <v>0</v>
      </c>
      <c r="G469" s="4">
        <f t="shared" si="80"/>
        <v>0.55655717529215432</v>
      </c>
      <c r="H469" s="4">
        <f t="shared" si="73"/>
        <v>0.17035726210350607</v>
      </c>
      <c r="I469" s="4">
        <f t="shared" si="74"/>
        <v>0</v>
      </c>
      <c r="J469" s="2" t="str">
        <f t="shared" si="75"/>
        <v/>
      </c>
      <c r="K469" s="2" t="str">
        <f t="shared" si="76"/>
        <v/>
      </c>
      <c r="L469" s="2" t="str">
        <f t="shared" si="77"/>
        <v/>
      </c>
    </row>
    <row r="470" spans="1:12">
      <c r="A470" s="2">
        <v>458</v>
      </c>
      <c r="B470" s="4">
        <v>0.46100000000000002</v>
      </c>
      <c r="C470" s="4">
        <f t="shared" si="78"/>
        <v>0.20100000000000001</v>
      </c>
      <c r="D470" s="4">
        <f t="shared" si="71"/>
        <v>1.5554284590900538</v>
      </c>
      <c r="E470" s="4">
        <f t="shared" si="72"/>
        <v>0.57467378325694207</v>
      </c>
      <c r="F470" s="4">
        <f t="shared" si="79"/>
        <v>0</v>
      </c>
      <c r="G470" s="4">
        <f t="shared" si="80"/>
        <v>0.55655717529215432</v>
      </c>
      <c r="H470" s="4">
        <f t="shared" si="73"/>
        <v>0.17035726210350607</v>
      </c>
      <c r="I470" s="4">
        <f t="shared" si="74"/>
        <v>0</v>
      </c>
      <c r="J470" s="2" t="str">
        <f t="shared" si="75"/>
        <v/>
      </c>
      <c r="K470" s="2" t="str">
        <f t="shared" si="76"/>
        <v/>
      </c>
      <c r="L470" s="2" t="str">
        <f t="shared" si="77"/>
        <v/>
      </c>
    </row>
    <row r="471" spans="1:12">
      <c r="A471" s="2">
        <v>459</v>
      </c>
      <c r="B471" s="4">
        <v>0.183</v>
      </c>
      <c r="C471" s="4">
        <f t="shared" si="78"/>
        <v>0.27800000000000002</v>
      </c>
      <c r="D471" s="4">
        <f t="shared" si="71"/>
        <v>1.5554284590900538</v>
      </c>
      <c r="E471" s="4">
        <f t="shared" si="72"/>
        <v>0.57467378325694207</v>
      </c>
      <c r="F471" s="4">
        <f t="shared" si="79"/>
        <v>0</v>
      </c>
      <c r="G471" s="4">
        <f t="shared" si="80"/>
        <v>0.55655717529215432</v>
      </c>
      <c r="H471" s="4">
        <f t="shared" si="73"/>
        <v>0.17035726210350607</v>
      </c>
      <c r="I471" s="4">
        <f t="shared" si="74"/>
        <v>0</v>
      </c>
      <c r="J471" s="2" t="str">
        <f t="shared" si="75"/>
        <v/>
      </c>
      <c r="K471" s="2" t="str">
        <f t="shared" si="76"/>
        <v/>
      </c>
      <c r="L471" s="2" t="str">
        <f t="shared" si="77"/>
        <v/>
      </c>
    </row>
    <row r="472" spans="1:12">
      <c r="A472" s="2">
        <v>460</v>
      </c>
      <c r="B472" s="4">
        <v>0.36</v>
      </c>
      <c r="C472" s="4">
        <f t="shared" si="78"/>
        <v>0.17699999999999999</v>
      </c>
      <c r="D472" s="4">
        <f t="shared" si="71"/>
        <v>1.5554284590900538</v>
      </c>
      <c r="E472" s="4">
        <f t="shared" si="72"/>
        <v>0.57467378325694207</v>
      </c>
      <c r="F472" s="4">
        <f t="shared" si="79"/>
        <v>0</v>
      </c>
      <c r="G472" s="4">
        <f t="shared" si="80"/>
        <v>0.55655717529215432</v>
      </c>
      <c r="H472" s="4">
        <f t="shared" si="73"/>
        <v>0.17035726210350607</v>
      </c>
      <c r="I472" s="4">
        <f t="shared" si="74"/>
        <v>0</v>
      </c>
      <c r="J472" s="2" t="str">
        <f t="shared" si="75"/>
        <v/>
      </c>
      <c r="K472" s="2" t="str">
        <f t="shared" si="76"/>
        <v/>
      </c>
      <c r="L472" s="2" t="str">
        <f t="shared" si="77"/>
        <v/>
      </c>
    </row>
    <row r="473" spans="1:12">
      <c r="A473" s="2">
        <v>461</v>
      </c>
      <c r="B473" s="4">
        <v>0.30499999999999999</v>
      </c>
      <c r="C473" s="4">
        <f t="shared" si="78"/>
        <v>5.4999999999999993E-2</v>
      </c>
      <c r="D473" s="4">
        <f t="shared" si="71"/>
        <v>1.5554284590900538</v>
      </c>
      <c r="E473" s="4">
        <f t="shared" si="72"/>
        <v>0.57467378325694207</v>
      </c>
      <c r="F473" s="4">
        <f t="shared" si="79"/>
        <v>0</v>
      </c>
      <c r="G473" s="4">
        <f t="shared" si="80"/>
        <v>0.55655717529215432</v>
      </c>
      <c r="H473" s="4">
        <f t="shared" si="73"/>
        <v>0.17035726210350607</v>
      </c>
      <c r="I473" s="4">
        <f t="shared" si="74"/>
        <v>0</v>
      </c>
      <c r="J473" s="2" t="str">
        <f t="shared" si="75"/>
        <v/>
      </c>
      <c r="K473" s="2" t="str">
        <f t="shared" si="76"/>
        <v/>
      </c>
      <c r="L473" s="2" t="str">
        <f t="shared" si="77"/>
        <v/>
      </c>
    </row>
    <row r="474" spans="1:12">
      <c r="A474" s="2">
        <v>462</v>
      </c>
      <c r="B474" s="4">
        <v>1.0349999999999999</v>
      </c>
      <c r="C474" s="4">
        <f t="shared" si="78"/>
        <v>0.73</v>
      </c>
      <c r="D474" s="4">
        <f t="shared" si="71"/>
        <v>1.5554284590900538</v>
      </c>
      <c r="E474" s="4">
        <f t="shared" si="72"/>
        <v>0.57467378325694207</v>
      </c>
      <c r="F474" s="4">
        <f t="shared" si="79"/>
        <v>0</v>
      </c>
      <c r="G474" s="4">
        <f t="shared" si="80"/>
        <v>0.55655717529215432</v>
      </c>
      <c r="H474" s="4">
        <f t="shared" si="73"/>
        <v>0.17035726210350607</v>
      </c>
      <c r="I474" s="4">
        <f t="shared" si="74"/>
        <v>0</v>
      </c>
      <c r="J474" s="2" t="str">
        <f t="shared" si="75"/>
        <v/>
      </c>
      <c r="K474" s="2" t="str">
        <f t="shared" si="76"/>
        <v>Y</v>
      </c>
      <c r="L474" s="2" t="str">
        <f t="shared" si="77"/>
        <v/>
      </c>
    </row>
    <row r="475" spans="1:12">
      <c r="A475" s="2">
        <v>463</v>
      </c>
      <c r="B475" s="4">
        <v>0.34499999999999997</v>
      </c>
      <c r="C475" s="4">
        <f t="shared" si="78"/>
        <v>0.69</v>
      </c>
      <c r="D475" s="4">
        <f t="shared" si="71"/>
        <v>1.5554284590900538</v>
      </c>
      <c r="E475" s="4">
        <f t="shared" si="72"/>
        <v>0.57467378325694207</v>
      </c>
      <c r="F475" s="4">
        <f t="shared" si="79"/>
        <v>0</v>
      </c>
      <c r="G475" s="4">
        <f t="shared" si="80"/>
        <v>0.55655717529215432</v>
      </c>
      <c r="H475" s="4">
        <f t="shared" si="73"/>
        <v>0.17035726210350607</v>
      </c>
      <c r="I475" s="4">
        <f t="shared" si="74"/>
        <v>0</v>
      </c>
      <c r="J475" s="2" t="str">
        <f t="shared" si="75"/>
        <v/>
      </c>
      <c r="K475" s="2" t="str">
        <f t="shared" si="76"/>
        <v>Y</v>
      </c>
      <c r="L475" s="2" t="str">
        <f t="shared" si="77"/>
        <v/>
      </c>
    </row>
    <row r="476" spans="1:12">
      <c r="A476" s="2">
        <v>464</v>
      </c>
      <c r="B476" s="4">
        <v>0.27300000000000002</v>
      </c>
      <c r="C476" s="4">
        <f t="shared" si="78"/>
        <v>7.1999999999999953E-2</v>
      </c>
      <c r="D476" s="4">
        <f t="shared" si="71"/>
        <v>1.5554284590900538</v>
      </c>
      <c r="E476" s="4">
        <f t="shared" si="72"/>
        <v>0.57467378325694207</v>
      </c>
      <c r="F476" s="4">
        <f t="shared" si="79"/>
        <v>0</v>
      </c>
      <c r="G476" s="4">
        <f t="shared" si="80"/>
        <v>0.55655717529215432</v>
      </c>
      <c r="H476" s="4">
        <f t="shared" si="73"/>
        <v>0.17035726210350607</v>
      </c>
      <c r="I476" s="4">
        <f t="shared" si="74"/>
        <v>0</v>
      </c>
      <c r="J476" s="2" t="str">
        <f t="shared" si="75"/>
        <v/>
      </c>
      <c r="K476" s="2" t="str">
        <f t="shared" si="76"/>
        <v/>
      </c>
      <c r="L476" s="2" t="str">
        <f t="shared" si="77"/>
        <v/>
      </c>
    </row>
    <row r="477" spans="1:12">
      <c r="A477" s="2">
        <v>465</v>
      </c>
      <c r="B477" s="4">
        <v>0.26700000000000002</v>
      </c>
      <c r="C477" s="4">
        <f t="shared" si="78"/>
        <v>6.0000000000000053E-3</v>
      </c>
      <c r="D477" s="4">
        <f t="shared" si="71"/>
        <v>1.5554284590900538</v>
      </c>
      <c r="E477" s="4">
        <f t="shared" si="72"/>
        <v>0.57467378325694207</v>
      </c>
      <c r="F477" s="4">
        <f t="shared" si="79"/>
        <v>0</v>
      </c>
      <c r="G477" s="4">
        <f t="shared" si="80"/>
        <v>0.55655717529215432</v>
      </c>
      <c r="H477" s="4">
        <f t="shared" si="73"/>
        <v>0.17035726210350607</v>
      </c>
      <c r="I477" s="4">
        <f t="shared" si="74"/>
        <v>0</v>
      </c>
      <c r="J477" s="2" t="str">
        <f t="shared" si="75"/>
        <v/>
      </c>
      <c r="K477" s="2" t="str">
        <f t="shared" si="76"/>
        <v/>
      </c>
      <c r="L477" s="2" t="str">
        <f t="shared" si="77"/>
        <v/>
      </c>
    </row>
    <row r="478" spans="1:12">
      <c r="A478" s="2">
        <v>466</v>
      </c>
      <c r="B478" s="4">
        <v>0.33500000000000002</v>
      </c>
      <c r="C478" s="4">
        <f t="shared" si="78"/>
        <v>6.8000000000000005E-2</v>
      </c>
      <c r="D478" s="4">
        <f t="shared" si="71"/>
        <v>1.5554284590900538</v>
      </c>
      <c r="E478" s="4">
        <f t="shared" si="72"/>
        <v>0.57467378325694207</v>
      </c>
      <c r="F478" s="4">
        <f t="shared" si="79"/>
        <v>0</v>
      </c>
      <c r="G478" s="4">
        <f t="shared" si="80"/>
        <v>0.55655717529215432</v>
      </c>
      <c r="H478" s="4">
        <f t="shared" si="73"/>
        <v>0.17035726210350607</v>
      </c>
      <c r="I478" s="4">
        <f t="shared" si="74"/>
        <v>0</v>
      </c>
      <c r="J478" s="2" t="str">
        <f t="shared" si="75"/>
        <v/>
      </c>
      <c r="K478" s="2" t="str">
        <f t="shared" si="76"/>
        <v/>
      </c>
      <c r="L478" s="2" t="str">
        <f t="shared" si="77"/>
        <v/>
      </c>
    </row>
    <row r="479" spans="1:12">
      <c r="A479" s="2">
        <v>467</v>
      </c>
      <c r="B479" s="4">
        <v>0.28199999999999997</v>
      </c>
      <c r="C479" s="4">
        <f t="shared" si="78"/>
        <v>5.3000000000000047E-2</v>
      </c>
      <c r="D479" s="4">
        <f t="shared" si="71"/>
        <v>1.5554284590900538</v>
      </c>
      <c r="E479" s="4">
        <f t="shared" si="72"/>
        <v>0.57467378325694207</v>
      </c>
      <c r="F479" s="4">
        <f t="shared" si="79"/>
        <v>0</v>
      </c>
      <c r="G479" s="4">
        <f t="shared" si="80"/>
        <v>0.55655717529215432</v>
      </c>
      <c r="H479" s="4">
        <f t="shared" si="73"/>
        <v>0.17035726210350607</v>
      </c>
      <c r="I479" s="4">
        <f t="shared" si="74"/>
        <v>0</v>
      </c>
      <c r="J479" s="2" t="str">
        <f t="shared" si="75"/>
        <v/>
      </c>
      <c r="K479" s="2" t="str">
        <f t="shared" si="76"/>
        <v/>
      </c>
      <c r="L479" s="2" t="str">
        <f t="shared" si="77"/>
        <v/>
      </c>
    </row>
    <row r="480" spans="1:12">
      <c r="A480" s="2">
        <v>468</v>
      </c>
      <c r="B480" s="4">
        <v>1.02</v>
      </c>
      <c r="C480" s="4">
        <f t="shared" si="78"/>
        <v>0.73799999999999999</v>
      </c>
      <c r="D480" s="4">
        <f t="shared" si="71"/>
        <v>1.5554284590900538</v>
      </c>
      <c r="E480" s="4">
        <f t="shared" si="72"/>
        <v>0.57467378325694207</v>
      </c>
      <c r="F480" s="4">
        <f t="shared" si="79"/>
        <v>0</v>
      </c>
      <c r="G480" s="4">
        <f t="shared" si="80"/>
        <v>0.55655717529215432</v>
      </c>
      <c r="H480" s="4">
        <f t="shared" si="73"/>
        <v>0.17035726210350607</v>
      </c>
      <c r="I480" s="4">
        <f t="shared" si="74"/>
        <v>0</v>
      </c>
      <c r="J480" s="2" t="str">
        <f t="shared" si="75"/>
        <v/>
      </c>
      <c r="K480" s="2" t="str">
        <f t="shared" si="76"/>
        <v>Y</v>
      </c>
      <c r="L480" s="2" t="str">
        <f t="shared" si="77"/>
        <v/>
      </c>
    </row>
    <row r="481" spans="1:12">
      <c r="A481" s="2">
        <v>469</v>
      </c>
      <c r="B481" s="4">
        <v>0.311</v>
      </c>
      <c r="C481" s="4">
        <f t="shared" si="78"/>
        <v>0.70900000000000007</v>
      </c>
      <c r="D481" s="4">
        <f t="shared" si="71"/>
        <v>1.5554284590900538</v>
      </c>
      <c r="E481" s="4">
        <f t="shared" si="72"/>
        <v>0.57467378325694207</v>
      </c>
      <c r="F481" s="4">
        <f t="shared" si="79"/>
        <v>0</v>
      </c>
      <c r="G481" s="4">
        <f t="shared" si="80"/>
        <v>0.55655717529215432</v>
      </c>
      <c r="H481" s="4">
        <f t="shared" si="73"/>
        <v>0.17035726210350607</v>
      </c>
      <c r="I481" s="4">
        <f t="shared" si="74"/>
        <v>0</v>
      </c>
      <c r="J481" s="2" t="str">
        <f t="shared" si="75"/>
        <v/>
      </c>
      <c r="K481" s="2" t="str">
        <f t="shared" si="76"/>
        <v>Y</v>
      </c>
      <c r="L481" s="2" t="str">
        <f t="shared" si="77"/>
        <v/>
      </c>
    </row>
    <row r="482" spans="1:12">
      <c r="A482" s="2">
        <v>470</v>
      </c>
      <c r="B482" s="4">
        <v>0.38400000000000001</v>
      </c>
      <c r="C482" s="4">
        <f t="shared" si="78"/>
        <v>7.3000000000000009E-2</v>
      </c>
      <c r="D482" s="4">
        <f t="shared" si="71"/>
        <v>1.5554284590900538</v>
      </c>
      <c r="E482" s="4">
        <f t="shared" si="72"/>
        <v>0.57467378325694207</v>
      </c>
      <c r="F482" s="4">
        <f t="shared" si="79"/>
        <v>0</v>
      </c>
      <c r="G482" s="4">
        <f t="shared" si="80"/>
        <v>0.55655717529215432</v>
      </c>
      <c r="H482" s="4">
        <f t="shared" si="73"/>
        <v>0.17035726210350607</v>
      </c>
      <c r="I482" s="4">
        <f t="shared" si="74"/>
        <v>0</v>
      </c>
      <c r="J482" s="2" t="str">
        <f t="shared" si="75"/>
        <v/>
      </c>
      <c r="K482" s="2" t="str">
        <f t="shared" si="76"/>
        <v/>
      </c>
      <c r="L482" s="2" t="str">
        <f t="shared" si="77"/>
        <v/>
      </c>
    </row>
    <row r="483" spans="1:12">
      <c r="A483" s="2">
        <v>471</v>
      </c>
      <c r="B483" s="4">
        <v>0.29099999999999998</v>
      </c>
      <c r="C483" s="4">
        <f t="shared" si="78"/>
        <v>9.3000000000000027E-2</v>
      </c>
      <c r="D483" s="4">
        <f t="shared" si="71"/>
        <v>1.5554284590900538</v>
      </c>
      <c r="E483" s="4">
        <f t="shared" si="72"/>
        <v>0.57467378325694207</v>
      </c>
      <c r="F483" s="4">
        <f t="shared" si="79"/>
        <v>0</v>
      </c>
      <c r="G483" s="4">
        <f t="shared" si="80"/>
        <v>0.55655717529215432</v>
      </c>
      <c r="H483" s="4">
        <f t="shared" si="73"/>
        <v>0.17035726210350607</v>
      </c>
      <c r="I483" s="4">
        <f t="shared" si="74"/>
        <v>0</v>
      </c>
      <c r="J483" s="2" t="str">
        <f t="shared" si="75"/>
        <v/>
      </c>
      <c r="K483" s="2" t="str">
        <f t="shared" si="76"/>
        <v/>
      </c>
      <c r="L483" s="2" t="str">
        <f t="shared" si="77"/>
        <v/>
      </c>
    </row>
    <row r="484" spans="1:12">
      <c r="A484" s="2">
        <v>472</v>
      </c>
      <c r="B484" s="4">
        <v>0.317</v>
      </c>
      <c r="C484" s="4">
        <f t="shared" si="78"/>
        <v>2.6000000000000023E-2</v>
      </c>
      <c r="D484" s="4">
        <f t="shared" si="71"/>
        <v>1.5554284590900538</v>
      </c>
      <c r="E484" s="4">
        <f t="shared" si="72"/>
        <v>0.57467378325694207</v>
      </c>
      <c r="F484" s="4">
        <f t="shared" si="79"/>
        <v>0</v>
      </c>
      <c r="G484" s="4">
        <f t="shared" si="80"/>
        <v>0.55655717529215432</v>
      </c>
      <c r="H484" s="4">
        <f t="shared" si="73"/>
        <v>0.17035726210350607</v>
      </c>
      <c r="I484" s="4">
        <f t="shared" si="74"/>
        <v>0</v>
      </c>
      <c r="J484" s="2" t="str">
        <f t="shared" si="75"/>
        <v/>
      </c>
      <c r="K484" s="2" t="str">
        <f t="shared" si="76"/>
        <v/>
      </c>
      <c r="L484" s="2" t="str">
        <f t="shared" si="77"/>
        <v/>
      </c>
    </row>
    <row r="485" spans="1:12">
      <c r="A485" s="2">
        <v>473</v>
      </c>
      <c r="B485" s="4">
        <v>0.44900000000000001</v>
      </c>
      <c r="C485" s="4">
        <f t="shared" si="78"/>
        <v>0.13200000000000001</v>
      </c>
      <c r="D485" s="4">
        <f t="shared" si="71"/>
        <v>1.5554284590900538</v>
      </c>
      <c r="E485" s="4">
        <f t="shared" si="72"/>
        <v>0.57467378325694207</v>
      </c>
      <c r="F485" s="4">
        <f t="shared" si="79"/>
        <v>0</v>
      </c>
      <c r="G485" s="4">
        <f t="shared" si="80"/>
        <v>0.55655717529215432</v>
      </c>
      <c r="H485" s="4">
        <f t="shared" si="73"/>
        <v>0.17035726210350607</v>
      </c>
      <c r="I485" s="4">
        <f t="shared" si="74"/>
        <v>0</v>
      </c>
      <c r="J485" s="2" t="str">
        <f t="shared" si="75"/>
        <v/>
      </c>
      <c r="K485" s="2" t="str">
        <f t="shared" si="76"/>
        <v/>
      </c>
      <c r="L485" s="2" t="str">
        <f t="shared" si="77"/>
        <v/>
      </c>
    </row>
    <row r="486" spans="1:12">
      <c r="A486" s="2">
        <v>474</v>
      </c>
      <c r="B486" s="4">
        <v>0.38600000000000001</v>
      </c>
      <c r="C486" s="4">
        <f t="shared" si="78"/>
        <v>6.3E-2</v>
      </c>
      <c r="D486" s="4">
        <f t="shared" si="71"/>
        <v>1.5554284590900538</v>
      </c>
      <c r="E486" s="4">
        <f t="shared" si="72"/>
        <v>0.57467378325694207</v>
      </c>
      <c r="F486" s="4">
        <f t="shared" si="79"/>
        <v>0</v>
      </c>
      <c r="G486" s="4">
        <f t="shared" si="80"/>
        <v>0.55655717529215432</v>
      </c>
      <c r="H486" s="4">
        <f t="shared" si="73"/>
        <v>0.17035726210350607</v>
      </c>
      <c r="I486" s="4">
        <f t="shared" si="74"/>
        <v>0</v>
      </c>
      <c r="J486" s="2" t="str">
        <f t="shared" si="75"/>
        <v/>
      </c>
      <c r="K486" s="2" t="str">
        <f t="shared" si="76"/>
        <v/>
      </c>
      <c r="L486" s="2" t="str">
        <f t="shared" si="77"/>
        <v/>
      </c>
    </row>
    <row r="487" spans="1:12">
      <c r="A487" s="2">
        <v>475</v>
      </c>
      <c r="B487" s="4">
        <v>0.41</v>
      </c>
      <c r="C487" s="4">
        <f t="shared" si="78"/>
        <v>2.3999999999999966E-2</v>
      </c>
      <c r="D487" s="4">
        <f t="shared" si="71"/>
        <v>1.5554284590900538</v>
      </c>
      <c r="E487" s="4">
        <f t="shared" si="72"/>
        <v>0.57467378325694207</v>
      </c>
      <c r="F487" s="4">
        <f t="shared" si="79"/>
        <v>0</v>
      </c>
      <c r="G487" s="4">
        <f t="shared" si="80"/>
        <v>0.55655717529215432</v>
      </c>
      <c r="H487" s="4">
        <f t="shared" si="73"/>
        <v>0.17035726210350607</v>
      </c>
      <c r="I487" s="4">
        <f t="shared" si="74"/>
        <v>0</v>
      </c>
      <c r="J487" s="2" t="str">
        <f t="shared" si="75"/>
        <v/>
      </c>
      <c r="K487" s="2" t="str">
        <f t="shared" si="76"/>
        <v/>
      </c>
      <c r="L487" s="2" t="str">
        <f t="shared" si="77"/>
        <v/>
      </c>
    </row>
    <row r="488" spans="1:12">
      <c r="A488" s="2">
        <v>476</v>
      </c>
      <c r="B488" s="4">
        <v>0.47799999999999998</v>
      </c>
      <c r="C488" s="4">
        <f t="shared" si="78"/>
        <v>6.8000000000000005E-2</v>
      </c>
      <c r="D488" s="4">
        <f t="shared" si="71"/>
        <v>1.5554284590900538</v>
      </c>
      <c r="E488" s="4">
        <f t="shared" si="72"/>
        <v>0.57467378325694207</v>
      </c>
      <c r="F488" s="4">
        <f t="shared" si="79"/>
        <v>0</v>
      </c>
      <c r="G488" s="4">
        <f t="shared" si="80"/>
        <v>0.55655717529215432</v>
      </c>
      <c r="H488" s="4">
        <f t="shared" si="73"/>
        <v>0.17035726210350607</v>
      </c>
      <c r="I488" s="4">
        <f t="shared" si="74"/>
        <v>0</v>
      </c>
      <c r="J488" s="2" t="str">
        <f t="shared" si="75"/>
        <v/>
      </c>
      <c r="K488" s="2" t="str">
        <f t="shared" si="76"/>
        <v/>
      </c>
      <c r="L488" s="2" t="str">
        <f t="shared" si="77"/>
        <v/>
      </c>
    </row>
    <row r="489" spans="1:12">
      <c r="A489" s="2">
        <v>477</v>
      </c>
      <c r="B489" s="4">
        <v>0.29499999999999998</v>
      </c>
      <c r="C489" s="4">
        <f t="shared" si="78"/>
        <v>0.183</v>
      </c>
      <c r="D489" s="4">
        <f t="shared" si="71"/>
        <v>1.5554284590900538</v>
      </c>
      <c r="E489" s="4">
        <f t="shared" si="72"/>
        <v>0.57467378325694207</v>
      </c>
      <c r="F489" s="4">
        <f t="shared" si="79"/>
        <v>0</v>
      </c>
      <c r="G489" s="4">
        <f t="shared" si="80"/>
        <v>0.55655717529215432</v>
      </c>
      <c r="H489" s="4">
        <f t="shared" si="73"/>
        <v>0.17035726210350607</v>
      </c>
      <c r="I489" s="4">
        <f t="shared" si="74"/>
        <v>0</v>
      </c>
      <c r="J489" s="2" t="str">
        <f t="shared" si="75"/>
        <v/>
      </c>
      <c r="K489" s="2" t="str">
        <f t="shared" si="76"/>
        <v/>
      </c>
      <c r="L489" s="2" t="str">
        <f t="shared" si="77"/>
        <v/>
      </c>
    </row>
    <row r="490" spans="1:12">
      <c r="A490" s="2">
        <v>478</v>
      </c>
      <c r="B490" s="4">
        <v>0.46400000000000002</v>
      </c>
      <c r="C490" s="4">
        <f t="shared" si="78"/>
        <v>0.16900000000000004</v>
      </c>
      <c r="D490" s="4">
        <f t="shared" si="71"/>
        <v>1.5554284590900538</v>
      </c>
      <c r="E490" s="4">
        <f t="shared" si="72"/>
        <v>0.57467378325694207</v>
      </c>
      <c r="F490" s="4">
        <f t="shared" si="79"/>
        <v>0</v>
      </c>
      <c r="G490" s="4">
        <f t="shared" si="80"/>
        <v>0.55655717529215432</v>
      </c>
      <c r="H490" s="4">
        <f t="shared" si="73"/>
        <v>0.17035726210350607</v>
      </c>
      <c r="I490" s="4">
        <f t="shared" si="74"/>
        <v>0</v>
      </c>
      <c r="J490" s="2" t="str">
        <f t="shared" si="75"/>
        <v/>
      </c>
      <c r="K490" s="2" t="str">
        <f t="shared" si="76"/>
        <v/>
      </c>
      <c r="L490" s="2" t="str">
        <f t="shared" si="77"/>
        <v/>
      </c>
    </row>
    <row r="491" spans="1:12">
      <c r="A491" s="2">
        <v>479</v>
      </c>
      <c r="B491" s="4">
        <v>0.28899999999999998</v>
      </c>
      <c r="C491" s="4">
        <f t="shared" si="78"/>
        <v>0.17500000000000004</v>
      </c>
      <c r="D491" s="4">
        <f t="shared" si="71"/>
        <v>1.5554284590900538</v>
      </c>
      <c r="E491" s="4">
        <f t="shared" si="72"/>
        <v>0.57467378325694207</v>
      </c>
      <c r="F491" s="4">
        <f t="shared" si="79"/>
        <v>0</v>
      </c>
      <c r="G491" s="4">
        <f t="shared" si="80"/>
        <v>0.55655717529215432</v>
      </c>
      <c r="H491" s="4">
        <f t="shared" si="73"/>
        <v>0.17035726210350607</v>
      </c>
      <c r="I491" s="4">
        <f t="shared" si="74"/>
        <v>0</v>
      </c>
      <c r="J491" s="2" t="str">
        <f t="shared" si="75"/>
        <v/>
      </c>
      <c r="K491" s="2" t="str">
        <f t="shared" si="76"/>
        <v/>
      </c>
      <c r="L491" s="2" t="str">
        <f t="shared" si="77"/>
        <v/>
      </c>
    </row>
    <row r="492" spans="1:12">
      <c r="A492" s="2">
        <v>480</v>
      </c>
      <c r="B492" s="4">
        <v>0.4</v>
      </c>
      <c r="C492" s="4">
        <f t="shared" si="78"/>
        <v>0.11100000000000004</v>
      </c>
      <c r="D492" s="4">
        <f t="shared" si="71"/>
        <v>1.5554284590900538</v>
      </c>
      <c r="E492" s="4">
        <f t="shared" si="72"/>
        <v>0.57467378325694207</v>
      </c>
      <c r="F492" s="4">
        <f t="shared" si="79"/>
        <v>0</v>
      </c>
      <c r="G492" s="4">
        <f t="shared" si="80"/>
        <v>0.55655717529215432</v>
      </c>
      <c r="H492" s="4">
        <f t="shared" si="73"/>
        <v>0.17035726210350607</v>
      </c>
      <c r="I492" s="4">
        <f t="shared" si="74"/>
        <v>0</v>
      </c>
      <c r="J492" s="2" t="str">
        <f t="shared" si="75"/>
        <v/>
      </c>
      <c r="K492" s="2" t="str">
        <f t="shared" si="76"/>
        <v/>
      </c>
      <c r="L492" s="2" t="str">
        <f t="shared" si="77"/>
        <v/>
      </c>
    </row>
    <row r="493" spans="1:12">
      <c r="A493" s="2">
        <v>481</v>
      </c>
      <c r="B493" s="4">
        <v>0.189</v>
      </c>
      <c r="C493" s="4">
        <f t="shared" si="78"/>
        <v>0.21100000000000002</v>
      </c>
      <c r="D493" s="4">
        <f t="shared" si="71"/>
        <v>1.5554284590900538</v>
      </c>
      <c r="E493" s="4">
        <f t="shared" si="72"/>
        <v>0.57467378325694207</v>
      </c>
      <c r="F493" s="4">
        <f t="shared" si="79"/>
        <v>0</v>
      </c>
      <c r="G493" s="4">
        <f t="shared" si="80"/>
        <v>0.55655717529215432</v>
      </c>
      <c r="H493" s="4">
        <f t="shared" si="73"/>
        <v>0.17035726210350607</v>
      </c>
      <c r="I493" s="4">
        <f t="shared" si="74"/>
        <v>0</v>
      </c>
      <c r="J493" s="2" t="str">
        <f t="shared" si="75"/>
        <v/>
      </c>
      <c r="K493" s="2" t="str">
        <f t="shared" si="76"/>
        <v/>
      </c>
      <c r="L493" s="2" t="str">
        <f t="shared" si="77"/>
        <v/>
      </c>
    </row>
    <row r="494" spans="1:12">
      <c r="A494" s="2">
        <v>482</v>
      </c>
      <c r="B494" s="4">
        <v>0.17199999999999999</v>
      </c>
      <c r="C494" s="4">
        <f t="shared" si="78"/>
        <v>1.7000000000000015E-2</v>
      </c>
      <c r="D494" s="4">
        <f t="shared" si="71"/>
        <v>1.5554284590900538</v>
      </c>
      <c r="E494" s="4">
        <f t="shared" si="72"/>
        <v>0.57467378325694207</v>
      </c>
      <c r="F494" s="4">
        <f t="shared" si="79"/>
        <v>0</v>
      </c>
      <c r="G494" s="4">
        <f t="shared" si="80"/>
        <v>0.55655717529215432</v>
      </c>
      <c r="H494" s="4">
        <f t="shared" si="73"/>
        <v>0.17035726210350607</v>
      </c>
      <c r="I494" s="4">
        <f t="shared" si="74"/>
        <v>0</v>
      </c>
      <c r="J494" s="2" t="str">
        <f t="shared" si="75"/>
        <v/>
      </c>
      <c r="K494" s="2" t="str">
        <f t="shared" si="76"/>
        <v/>
      </c>
      <c r="L494" s="2" t="str">
        <f t="shared" si="77"/>
        <v/>
      </c>
    </row>
    <row r="495" spans="1:12">
      <c r="A495" s="2">
        <v>483</v>
      </c>
      <c r="B495" s="4">
        <v>0.19900000000000001</v>
      </c>
      <c r="C495" s="4">
        <f t="shared" si="78"/>
        <v>2.7000000000000024E-2</v>
      </c>
      <c r="D495" s="4">
        <f t="shared" si="71"/>
        <v>1.5554284590900538</v>
      </c>
      <c r="E495" s="4">
        <f t="shared" si="72"/>
        <v>0.57467378325694207</v>
      </c>
      <c r="F495" s="4">
        <f t="shared" si="79"/>
        <v>0</v>
      </c>
      <c r="G495" s="4">
        <f t="shared" si="80"/>
        <v>0.55655717529215432</v>
      </c>
      <c r="H495" s="4">
        <f t="shared" si="73"/>
        <v>0.17035726210350607</v>
      </c>
      <c r="I495" s="4">
        <f t="shared" si="74"/>
        <v>0</v>
      </c>
      <c r="J495" s="2" t="str">
        <f t="shared" si="75"/>
        <v/>
      </c>
      <c r="K495" s="2" t="str">
        <f t="shared" si="76"/>
        <v/>
      </c>
      <c r="L495" s="2" t="str">
        <f t="shared" si="77"/>
        <v/>
      </c>
    </row>
    <row r="496" spans="1:12">
      <c r="A496" s="2">
        <v>484</v>
      </c>
      <c r="B496" s="4">
        <v>0.23799999999999999</v>
      </c>
      <c r="C496" s="4">
        <f t="shared" si="78"/>
        <v>3.8999999999999979E-2</v>
      </c>
      <c r="D496" s="4">
        <f t="shared" si="71"/>
        <v>1.5554284590900538</v>
      </c>
      <c r="E496" s="4">
        <f t="shared" si="72"/>
        <v>0.57467378325694207</v>
      </c>
      <c r="F496" s="4">
        <f t="shared" si="79"/>
        <v>0</v>
      </c>
      <c r="G496" s="4">
        <f t="shared" si="80"/>
        <v>0.55655717529215432</v>
      </c>
      <c r="H496" s="4">
        <f t="shared" si="73"/>
        <v>0.17035726210350607</v>
      </c>
      <c r="I496" s="4">
        <f t="shared" si="74"/>
        <v>0</v>
      </c>
      <c r="J496" s="2" t="str">
        <f t="shared" si="75"/>
        <v/>
      </c>
      <c r="K496" s="2" t="str">
        <f t="shared" si="76"/>
        <v/>
      </c>
      <c r="L496" s="2" t="str">
        <f t="shared" si="77"/>
        <v/>
      </c>
    </row>
    <row r="497" spans="1:12">
      <c r="A497" s="2">
        <v>485</v>
      </c>
      <c r="B497" s="4">
        <v>0.254</v>
      </c>
      <c r="C497" s="4">
        <f t="shared" si="78"/>
        <v>1.6000000000000014E-2</v>
      </c>
      <c r="D497" s="4">
        <f t="shared" si="71"/>
        <v>1.5554284590900538</v>
      </c>
      <c r="E497" s="4">
        <f t="shared" si="72"/>
        <v>0.57467378325694207</v>
      </c>
      <c r="F497" s="4">
        <f t="shared" si="79"/>
        <v>0</v>
      </c>
      <c r="G497" s="4">
        <f t="shared" si="80"/>
        <v>0.55655717529215432</v>
      </c>
      <c r="H497" s="4">
        <f t="shared" si="73"/>
        <v>0.17035726210350607</v>
      </c>
      <c r="I497" s="4">
        <f t="shared" si="74"/>
        <v>0</v>
      </c>
      <c r="J497" s="2" t="str">
        <f t="shared" si="75"/>
        <v/>
      </c>
      <c r="K497" s="2" t="str">
        <f t="shared" si="76"/>
        <v/>
      </c>
      <c r="L497" s="2" t="str">
        <f t="shared" si="77"/>
        <v/>
      </c>
    </row>
    <row r="498" spans="1:12">
      <c r="A498" s="2">
        <v>486</v>
      </c>
      <c r="B498" s="4">
        <v>0.54</v>
      </c>
      <c r="C498" s="4">
        <f t="shared" si="78"/>
        <v>0.28600000000000003</v>
      </c>
      <c r="D498" s="4">
        <f t="shared" si="71"/>
        <v>1.5554284590900538</v>
      </c>
      <c r="E498" s="4">
        <f t="shared" si="72"/>
        <v>0.57467378325694207</v>
      </c>
      <c r="F498" s="4">
        <f t="shared" si="79"/>
        <v>0</v>
      </c>
      <c r="G498" s="4">
        <f t="shared" si="80"/>
        <v>0.55655717529215432</v>
      </c>
      <c r="H498" s="4">
        <f t="shared" si="73"/>
        <v>0.17035726210350607</v>
      </c>
      <c r="I498" s="4">
        <f t="shared" si="74"/>
        <v>0</v>
      </c>
      <c r="J498" s="2" t="str">
        <f t="shared" si="75"/>
        <v/>
      </c>
      <c r="K498" s="2" t="str">
        <f t="shared" si="76"/>
        <v/>
      </c>
      <c r="L498" s="2" t="str">
        <f t="shared" si="77"/>
        <v/>
      </c>
    </row>
    <row r="499" spans="1:12">
      <c r="A499" s="2">
        <v>487</v>
      </c>
      <c r="B499" s="4">
        <v>0.34899999999999998</v>
      </c>
      <c r="C499" s="4">
        <f t="shared" si="78"/>
        <v>0.19100000000000006</v>
      </c>
      <c r="D499" s="4">
        <f t="shared" si="71"/>
        <v>1.5554284590900538</v>
      </c>
      <c r="E499" s="4">
        <f t="shared" si="72"/>
        <v>0.57467378325694207</v>
      </c>
      <c r="F499" s="4">
        <f t="shared" si="79"/>
        <v>0</v>
      </c>
      <c r="G499" s="4">
        <f t="shared" si="80"/>
        <v>0.55655717529215432</v>
      </c>
      <c r="H499" s="4">
        <f t="shared" si="73"/>
        <v>0.17035726210350607</v>
      </c>
      <c r="I499" s="4">
        <f t="shared" si="74"/>
        <v>0</v>
      </c>
      <c r="J499" s="2" t="str">
        <f t="shared" si="75"/>
        <v/>
      </c>
      <c r="K499" s="2" t="str">
        <f t="shared" si="76"/>
        <v/>
      </c>
      <c r="L499" s="2" t="str">
        <f t="shared" si="77"/>
        <v/>
      </c>
    </row>
    <row r="500" spans="1:12">
      <c r="A500" s="2">
        <v>488</v>
      </c>
      <c r="B500" s="4">
        <v>0.38200000000000001</v>
      </c>
      <c r="C500" s="4">
        <f t="shared" si="78"/>
        <v>3.3000000000000029E-2</v>
      </c>
      <c r="D500" s="4">
        <f t="shared" si="71"/>
        <v>1.5554284590900538</v>
      </c>
      <c r="E500" s="4">
        <f t="shared" si="72"/>
        <v>0.57467378325694207</v>
      </c>
      <c r="F500" s="4">
        <f t="shared" si="79"/>
        <v>0</v>
      </c>
      <c r="G500" s="4">
        <f t="shared" si="80"/>
        <v>0.55655717529215432</v>
      </c>
      <c r="H500" s="4">
        <f t="shared" si="73"/>
        <v>0.17035726210350607</v>
      </c>
      <c r="I500" s="4">
        <f t="shared" si="74"/>
        <v>0</v>
      </c>
      <c r="J500" s="2" t="str">
        <f t="shared" si="75"/>
        <v/>
      </c>
      <c r="K500" s="2" t="str">
        <f t="shared" si="76"/>
        <v/>
      </c>
      <c r="L500" s="2" t="str">
        <f t="shared" si="77"/>
        <v/>
      </c>
    </row>
    <row r="501" spans="1:12">
      <c r="A501" s="2">
        <v>489</v>
      </c>
      <c r="B501" s="4">
        <v>0.188</v>
      </c>
      <c r="C501" s="4">
        <f t="shared" si="78"/>
        <v>0.19400000000000001</v>
      </c>
      <c r="D501" s="4">
        <f t="shared" si="71"/>
        <v>1.5554284590900538</v>
      </c>
      <c r="E501" s="4">
        <f t="shared" si="72"/>
        <v>0.57467378325694207</v>
      </c>
      <c r="F501" s="4">
        <f t="shared" si="79"/>
        <v>0</v>
      </c>
      <c r="G501" s="4">
        <f t="shared" si="80"/>
        <v>0.55655717529215432</v>
      </c>
      <c r="H501" s="4">
        <f t="shared" si="73"/>
        <v>0.17035726210350607</v>
      </c>
      <c r="I501" s="4">
        <f t="shared" si="74"/>
        <v>0</v>
      </c>
      <c r="J501" s="2" t="str">
        <f t="shared" si="75"/>
        <v/>
      </c>
      <c r="K501" s="2" t="str">
        <f t="shared" si="76"/>
        <v/>
      </c>
      <c r="L501" s="2" t="str">
        <f t="shared" si="77"/>
        <v/>
      </c>
    </row>
    <row r="502" spans="1:12">
      <c r="A502" s="2">
        <v>490</v>
      </c>
      <c r="B502" s="4">
        <v>0.115</v>
      </c>
      <c r="C502" s="4">
        <f t="shared" si="78"/>
        <v>7.2999999999999995E-2</v>
      </c>
      <c r="D502" s="4">
        <f t="shared" si="71"/>
        <v>1.5554284590900538</v>
      </c>
      <c r="E502" s="4">
        <f t="shared" si="72"/>
        <v>0.57467378325694207</v>
      </c>
      <c r="F502" s="4">
        <f t="shared" si="79"/>
        <v>0</v>
      </c>
      <c r="G502" s="4">
        <f t="shared" si="80"/>
        <v>0.55655717529215432</v>
      </c>
      <c r="H502" s="4">
        <f t="shared" si="73"/>
        <v>0.17035726210350607</v>
      </c>
      <c r="I502" s="4">
        <f t="shared" si="74"/>
        <v>0</v>
      </c>
      <c r="J502" s="2" t="str">
        <f t="shared" si="75"/>
        <v/>
      </c>
      <c r="K502" s="2" t="str">
        <f t="shared" si="76"/>
        <v/>
      </c>
      <c r="L502" s="2" t="str">
        <f t="shared" si="77"/>
        <v/>
      </c>
    </row>
    <row r="503" spans="1:12">
      <c r="A503" s="2">
        <v>491</v>
      </c>
      <c r="B503" s="4">
        <v>0.437</v>
      </c>
      <c r="C503" s="4">
        <f t="shared" si="78"/>
        <v>0.32200000000000001</v>
      </c>
      <c r="D503" s="4">
        <f t="shared" si="71"/>
        <v>1.5554284590900538</v>
      </c>
      <c r="E503" s="4">
        <f t="shared" si="72"/>
        <v>0.57467378325694207</v>
      </c>
      <c r="F503" s="4">
        <f t="shared" si="79"/>
        <v>0</v>
      </c>
      <c r="G503" s="4">
        <f t="shared" si="80"/>
        <v>0.55655717529215432</v>
      </c>
      <c r="H503" s="4">
        <f t="shared" si="73"/>
        <v>0.17035726210350607</v>
      </c>
      <c r="I503" s="4">
        <f t="shared" si="74"/>
        <v>0</v>
      </c>
      <c r="J503" s="2" t="str">
        <f t="shared" si="75"/>
        <v/>
      </c>
      <c r="K503" s="2" t="str">
        <f t="shared" si="76"/>
        <v/>
      </c>
      <c r="L503" s="2" t="str">
        <f t="shared" si="77"/>
        <v/>
      </c>
    </row>
    <row r="504" spans="1:12">
      <c r="A504" s="2">
        <v>492</v>
      </c>
      <c r="B504" s="4">
        <v>0.48599999999999999</v>
      </c>
      <c r="C504" s="4">
        <f t="shared" si="78"/>
        <v>4.8999999999999988E-2</v>
      </c>
      <c r="D504" s="4">
        <f t="shared" si="71"/>
        <v>1.5554284590900538</v>
      </c>
      <c r="E504" s="4">
        <f t="shared" si="72"/>
        <v>0.57467378325694207</v>
      </c>
      <c r="F504" s="4">
        <f t="shared" si="79"/>
        <v>0</v>
      </c>
      <c r="G504" s="4">
        <f t="shared" si="80"/>
        <v>0.55655717529215432</v>
      </c>
      <c r="H504" s="4">
        <f t="shared" si="73"/>
        <v>0.17035726210350607</v>
      </c>
      <c r="I504" s="4">
        <f t="shared" si="74"/>
        <v>0</v>
      </c>
      <c r="J504" s="2" t="str">
        <f t="shared" si="75"/>
        <v/>
      </c>
      <c r="K504" s="2" t="str">
        <f t="shared" si="76"/>
        <v/>
      </c>
      <c r="L504" s="2" t="str">
        <f t="shared" si="77"/>
        <v/>
      </c>
    </row>
    <row r="505" spans="1:12">
      <c r="A505" s="2">
        <v>493</v>
      </c>
      <c r="B505" s="4">
        <v>0.26200000000000001</v>
      </c>
      <c r="C505" s="4">
        <f t="shared" si="78"/>
        <v>0.22399999999999998</v>
      </c>
      <c r="D505" s="4">
        <f t="shared" si="71"/>
        <v>1.5554284590900538</v>
      </c>
      <c r="E505" s="4">
        <f t="shared" si="72"/>
        <v>0.57467378325694207</v>
      </c>
      <c r="F505" s="4">
        <f t="shared" si="79"/>
        <v>0</v>
      </c>
      <c r="G505" s="4">
        <f t="shared" si="80"/>
        <v>0.55655717529215432</v>
      </c>
      <c r="H505" s="4">
        <f t="shared" si="73"/>
        <v>0.17035726210350607</v>
      </c>
      <c r="I505" s="4">
        <f t="shared" si="74"/>
        <v>0</v>
      </c>
      <c r="J505" s="2" t="str">
        <f t="shared" si="75"/>
        <v/>
      </c>
      <c r="K505" s="2" t="str">
        <f t="shared" si="76"/>
        <v/>
      </c>
      <c r="L505" s="2" t="str">
        <f t="shared" si="77"/>
        <v/>
      </c>
    </row>
    <row r="506" spans="1:12">
      <c r="A506" s="2">
        <v>494</v>
      </c>
      <c r="B506" s="4">
        <v>0.26100000000000001</v>
      </c>
      <c r="C506" s="4">
        <f t="shared" si="78"/>
        <v>1.0000000000000009E-3</v>
      </c>
      <c r="D506" s="4">
        <f t="shared" si="71"/>
        <v>1.5554284590900538</v>
      </c>
      <c r="E506" s="4">
        <f t="shared" si="72"/>
        <v>0.57467378325694207</v>
      </c>
      <c r="F506" s="4">
        <f t="shared" si="79"/>
        <v>0</v>
      </c>
      <c r="G506" s="4">
        <f t="shared" si="80"/>
        <v>0.55655717529215432</v>
      </c>
      <c r="H506" s="4">
        <f t="shared" si="73"/>
        <v>0.17035726210350607</v>
      </c>
      <c r="I506" s="4">
        <f t="shared" si="74"/>
        <v>0</v>
      </c>
      <c r="J506" s="2" t="str">
        <f t="shared" si="75"/>
        <v/>
      </c>
      <c r="K506" s="2" t="str">
        <f t="shared" si="76"/>
        <v/>
      </c>
      <c r="L506" s="2" t="str">
        <f t="shared" si="77"/>
        <v/>
      </c>
    </row>
    <row r="507" spans="1:12">
      <c r="A507" s="2">
        <v>495</v>
      </c>
      <c r="B507" s="4">
        <v>0.20699999999999999</v>
      </c>
      <c r="C507" s="4">
        <f t="shared" si="78"/>
        <v>5.400000000000002E-2</v>
      </c>
      <c r="D507" s="4">
        <f t="shared" si="71"/>
        <v>1.5554284590900538</v>
      </c>
      <c r="E507" s="4">
        <f t="shared" si="72"/>
        <v>0.57467378325694207</v>
      </c>
      <c r="F507" s="4">
        <f t="shared" si="79"/>
        <v>0</v>
      </c>
      <c r="G507" s="4">
        <f t="shared" si="80"/>
        <v>0.55655717529215432</v>
      </c>
      <c r="H507" s="4">
        <f t="shared" si="73"/>
        <v>0.17035726210350607</v>
      </c>
      <c r="I507" s="4">
        <f t="shared" si="74"/>
        <v>0</v>
      </c>
      <c r="J507" s="2" t="str">
        <f t="shared" si="75"/>
        <v/>
      </c>
      <c r="K507" s="2" t="str">
        <f t="shared" si="76"/>
        <v/>
      </c>
      <c r="L507" s="2" t="str">
        <f t="shared" si="77"/>
        <v/>
      </c>
    </row>
    <row r="508" spans="1:12">
      <c r="A508" s="2">
        <v>496</v>
      </c>
      <c r="B508" s="4">
        <v>0.46400000000000002</v>
      </c>
      <c r="C508" s="4">
        <f t="shared" si="78"/>
        <v>0.25700000000000001</v>
      </c>
      <c r="D508" s="4">
        <f t="shared" si="71"/>
        <v>1.5554284590900538</v>
      </c>
      <c r="E508" s="4">
        <f t="shared" si="72"/>
        <v>0.57467378325694207</v>
      </c>
      <c r="F508" s="4">
        <f t="shared" si="79"/>
        <v>0</v>
      </c>
      <c r="G508" s="4">
        <f t="shared" si="80"/>
        <v>0.55655717529215432</v>
      </c>
      <c r="H508" s="4">
        <f t="shared" si="73"/>
        <v>0.17035726210350607</v>
      </c>
      <c r="I508" s="4">
        <f t="shared" si="74"/>
        <v>0</v>
      </c>
      <c r="J508" s="2" t="str">
        <f t="shared" si="75"/>
        <v/>
      </c>
      <c r="K508" s="2" t="str">
        <f t="shared" si="76"/>
        <v/>
      </c>
      <c r="L508" s="2" t="str">
        <f t="shared" si="77"/>
        <v/>
      </c>
    </row>
    <row r="509" spans="1:12">
      <c r="A509" s="2">
        <v>497</v>
      </c>
      <c r="B509" s="4">
        <v>0.34699999999999998</v>
      </c>
      <c r="C509" s="4">
        <f t="shared" si="78"/>
        <v>0.11700000000000005</v>
      </c>
      <c r="D509" s="4">
        <f t="shared" si="71"/>
        <v>1.5554284590900538</v>
      </c>
      <c r="E509" s="4">
        <f t="shared" si="72"/>
        <v>0.57467378325694207</v>
      </c>
      <c r="F509" s="4">
        <f t="shared" si="79"/>
        <v>0</v>
      </c>
      <c r="G509" s="4">
        <f t="shared" si="80"/>
        <v>0.55655717529215432</v>
      </c>
      <c r="H509" s="4">
        <f t="shared" si="73"/>
        <v>0.17035726210350607</v>
      </c>
      <c r="I509" s="4">
        <f t="shared" si="74"/>
        <v>0</v>
      </c>
      <c r="J509" s="2" t="str">
        <f t="shared" si="75"/>
        <v/>
      </c>
      <c r="K509" s="2" t="str">
        <f t="shared" si="76"/>
        <v/>
      </c>
      <c r="L509" s="2" t="str">
        <f t="shared" si="77"/>
        <v/>
      </c>
    </row>
    <row r="510" spans="1:12">
      <c r="A510" s="2">
        <v>498</v>
      </c>
      <c r="B510" s="4">
        <v>0.51400000000000001</v>
      </c>
      <c r="C510" s="4">
        <f t="shared" si="78"/>
        <v>0.16700000000000004</v>
      </c>
      <c r="D510" s="4">
        <f t="shared" si="71"/>
        <v>1.5554284590900538</v>
      </c>
      <c r="E510" s="4">
        <f t="shared" si="72"/>
        <v>0.57467378325694207</v>
      </c>
      <c r="F510" s="4">
        <f t="shared" si="79"/>
        <v>0</v>
      </c>
      <c r="G510" s="4">
        <f t="shared" si="80"/>
        <v>0.55655717529215432</v>
      </c>
      <c r="H510" s="4">
        <f t="shared" si="73"/>
        <v>0.17035726210350607</v>
      </c>
      <c r="I510" s="4">
        <f t="shared" si="74"/>
        <v>0</v>
      </c>
      <c r="J510" s="2" t="str">
        <f t="shared" si="75"/>
        <v/>
      </c>
      <c r="K510" s="2" t="str">
        <f t="shared" si="76"/>
        <v/>
      </c>
      <c r="L510" s="2" t="str">
        <f t="shared" si="77"/>
        <v/>
      </c>
    </row>
    <row r="511" spans="1:12">
      <c r="A511" s="2">
        <v>499</v>
      </c>
      <c r="B511" s="4">
        <v>0.42199999999999999</v>
      </c>
      <c r="C511" s="4">
        <f t="shared" si="78"/>
        <v>9.2000000000000026E-2</v>
      </c>
      <c r="D511" s="4">
        <f t="shared" si="71"/>
        <v>1.5554284590900538</v>
      </c>
      <c r="E511" s="4">
        <f t="shared" si="72"/>
        <v>0.57467378325694207</v>
      </c>
      <c r="F511" s="4">
        <f t="shared" si="79"/>
        <v>0</v>
      </c>
      <c r="G511" s="4">
        <f t="shared" si="80"/>
        <v>0.55655717529215432</v>
      </c>
      <c r="H511" s="4">
        <f t="shared" si="73"/>
        <v>0.17035726210350607</v>
      </c>
      <c r="I511" s="4">
        <f t="shared" si="74"/>
        <v>0</v>
      </c>
      <c r="J511" s="2" t="str">
        <f t="shared" si="75"/>
        <v/>
      </c>
      <c r="K511" s="2" t="str">
        <f t="shared" si="76"/>
        <v/>
      </c>
      <c r="L511" s="2" t="str">
        <f t="shared" si="77"/>
        <v/>
      </c>
    </row>
    <row r="512" spans="1:12">
      <c r="A512" s="2">
        <v>500</v>
      </c>
      <c r="B512" s="4">
        <v>0.40799999999999997</v>
      </c>
      <c r="C512" s="4">
        <f t="shared" si="78"/>
        <v>1.4000000000000012E-2</v>
      </c>
      <c r="D512" s="4">
        <f t="shared" si="71"/>
        <v>1.5554284590900538</v>
      </c>
      <c r="E512" s="4">
        <f t="shared" si="72"/>
        <v>0.57467378325694207</v>
      </c>
      <c r="F512" s="4">
        <f t="shared" si="79"/>
        <v>0</v>
      </c>
      <c r="G512" s="4">
        <f t="shared" si="80"/>
        <v>0.55655717529215432</v>
      </c>
      <c r="H512" s="4">
        <f t="shared" si="73"/>
        <v>0.17035726210350607</v>
      </c>
      <c r="I512" s="4">
        <f t="shared" si="74"/>
        <v>0</v>
      </c>
      <c r="J512" s="2" t="str">
        <f t="shared" si="75"/>
        <v/>
      </c>
      <c r="K512" s="2" t="str">
        <f t="shared" si="76"/>
        <v/>
      </c>
      <c r="L512" s="2" t="str">
        <f t="shared" si="77"/>
        <v/>
      </c>
    </row>
    <row r="513" spans="1:12">
      <c r="A513" s="2">
        <v>501</v>
      </c>
      <c r="B513" s="4">
        <v>0.34399999999999997</v>
      </c>
      <c r="C513" s="4">
        <f t="shared" si="78"/>
        <v>6.4000000000000001E-2</v>
      </c>
      <c r="D513" s="4">
        <f t="shared" si="71"/>
        <v>1.5554284590900538</v>
      </c>
      <c r="E513" s="4">
        <f t="shared" si="72"/>
        <v>0.57467378325694207</v>
      </c>
      <c r="F513" s="4">
        <f t="shared" si="79"/>
        <v>0</v>
      </c>
      <c r="G513" s="4">
        <f t="shared" si="80"/>
        <v>0.55655717529215432</v>
      </c>
      <c r="H513" s="4">
        <f t="shared" si="73"/>
        <v>0.17035726210350607</v>
      </c>
      <c r="I513" s="4">
        <f t="shared" si="74"/>
        <v>0</v>
      </c>
      <c r="J513" s="2" t="str">
        <f t="shared" si="75"/>
        <v/>
      </c>
      <c r="K513" s="2" t="str">
        <f t="shared" si="76"/>
        <v/>
      </c>
      <c r="L513" s="2" t="str">
        <f t="shared" si="77"/>
        <v/>
      </c>
    </row>
    <row r="514" spans="1:12">
      <c r="A514" s="2">
        <v>502</v>
      </c>
      <c r="B514" s="4">
        <v>0.374</v>
      </c>
      <c r="C514" s="4">
        <f t="shared" si="78"/>
        <v>3.0000000000000027E-2</v>
      </c>
      <c r="D514" s="4">
        <f t="shared" si="71"/>
        <v>1.5554284590900538</v>
      </c>
      <c r="E514" s="4">
        <f t="shared" si="72"/>
        <v>0.57467378325694207</v>
      </c>
      <c r="F514" s="4">
        <f t="shared" si="79"/>
        <v>0</v>
      </c>
      <c r="G514" s="4">
        <f t="shared" si="80"/>
        <v>0.55655717529215432</v>
      </c>
      <c r="H514" s="4">
        <f t="shared" si="73"/>
        <v>0.17035726210350607</v>
      </c>
      <c r="I514" s="4">
        <f t="shared" si="74"/>
        <v>0</v>
      </c>
      <c r="J514" s="2" t="str">
        <f t="shared" si="75"/>
        <v/>
      </c>
      <c r="K514" s="2" t="str">
        <f t="shared" si="76"/>
        <v/>
      </c>
      <c r="L514" s="2" t="str">
        <f t="shared" si="77"/>
        <v/>
      </c>
    </row>
    <row r="515" spans="1:12">
      <c r="A515" s="2">
        <v>503</v>
      </c>
      <c r="B515" s="4">
        <v>0.30299999999999999</v>
      </c>
      <c r="C515" s="4">
        <f t="shared" si="78"/>
        <v>7.1000000000000008E-2</v>
      </c>
      <c r="D515" s="4">
        <f t="shared" si="71"/>
        <v>1.5554284590900538</v>
      </c>
      <c r="E515" s="4">
        <f t="shared" si="72"/>
        <v>0.57467378325694207</v>
      </c>
      <c r="F515" s="4">
        <f t="shared" si="79"/>
        <v>0</v>
      </c>
      <c r="G515" s="4">
        <f t="shared" si="80"/>
        <v>0.55655717529215432</v>
      </c>
      <c r="H515" s="4">
        <f t="shared" si="73"/>
        <v>0.17035726210350607</v>
      </c>
      <c r="I515" s="4">
        <f t="shared" si="74"/>
        <v>0</v>
      </c>
      <c r="J515" s="2" t="str">
        <f t="shared" si="75"/>
        <v/>
      </c>
      <c r="K515" s="2" t="str">
        <f t="shared" si="76"/>
        <v/>
      </c>
      <c r="L515" s="2" t="str">
        <f t="shared" si="77"/>
        <v/>
      </c>
    </row>
    <row r="516" spans="1:12">
      <c r="A516" s="2">
        <v>504</v>
      </c>
      <c r="B516" s="4">
        <v>0.17699999999999999</v>
      </c>
      <c r="C516" s="4">
        <f t="shared" si="78"/>
        <v>0.126</v>
      </c>
      <c r="D516" s="4">
        <f t="shared" si="71"/>
        <v>1.5554284590900538</v>
      </c>
      <c r="E516" s="4">
        <f t="shared" si="72"/>
        <v>0.57467378325694207</v>
      </c>
      <c r="F516" s="4">
        <f t="shared" si="79"/>
        <v>0</v>
      </c>
      <c r="G516" s="4">
        <f t="shared" si="80"/>
        <v>0.55655717529215432</v>
      </c>
      <c r="H516" s="4">
        <f t="shared" si="73"/>
        <v>0.17035726210350607</v>
      </c>
      <c r="I516" s="4">
        <f t="shared" si="74"/>
        <v>0</v>
      </c>
      <c r="J516" s="2" t="str">
        <f t="shared" si="75"/>
        <v/>
      </c>
      <c r="K516" s="2" t="str">
        <f t="shared" si="76"/>
        <v/>
      </c>
      <c r="L516" s="2" t="str">
        <f t="shared" si="77"/>
        <v/>
      </c>
    </row>
    <row r="517" spans="1:12">
      <c r="A517" s="2">
        <v>505</v>
      </c>
      <c r="B517" s="4">
        <v>0.41399999999999998</v>
      </c>
      <c r="C517" s="4">
        <f t="shared" si="78"/>
        <v>0.23699999999999999</v>
      </c>
      <c r="D517" s="4">
        <f t="shared" si="71"/>
        <v>1.5554284590900538</v>
      </c>
      <c r="E517" s="4">
        <f t="shared" si="72"/>
        <v>0.57467378325694207</v>
      </c>
      <c r="F517" s="4">
        <f t="shared" si="79"/>
        <v>0</v>
      </c>
      <c r="G517" s="4">
        <f t="shared" si="80"/>
        <v>0.55655717529215432</v>
      </c>
      <c r="H517" s="4">
        <f t="shared" si="73"/>
        <v>0.17035726210350607</v>
      </c>
      <c r="I517" s="4">
        <f t="shared" si="74"/>
        <v>0</v>
      </c>
      <c r="J517" s="2" t="str">
        <f t="shared" si="75"/>
        <v/>
      </c>
      <c r="K517" s="2" t="str">
        <f t="shared" si="76"/>
        <v/>
      </c>
      <c r="L517" s="2" t="str">
        <f t="shared" si="77"/>
        <v/>
      </c>
    </row>
    <row r="518" spans="1:12">
      <c r="A518" s="2">
        <v>506</v>
      </c>
      <c r="B518" s="4">
        <v>0.40899999999999997</v>
      </c>
      <c r="C518" s="4">
        <f t="shared" si="78"/>
        <v>5.0000000000000044E-3</v>
      </c>
      <c r="D518" s="4">
        <f t="shared" si="71"/>
        <v>1.5554284590900538</v>
      </c>
      <c r="E518" s="4">
        <f t="shared" si="72"/>
        <v>0.57467378325694207</v>
      </c>
      <c r="F518" s="4">
        <f t="shared" si="79"/>
        <v>0</v>
      </c>
      <c r="G518" s="4">
        <f t="shared" si="80"/>
        <v>0.55655717529215432</v>
      </c>
      <c r="H518" s="4">
        <f t="shared" si="73"/>
        <v>0.17035726210350607</v>
      </c>
      <c r="I518" s="4">
        <f t="shared" si="74"/>
        <v>0</v>
      </c>
      <c r="J518" s="2" t="str">
        <f t="shared" si="75"/>
        <v/>
      </c>
      <c r="K518" s="2" t="str">
        <f t="shared" si="76"/>
        <v/>
      </c>
      <c r="L518" s="2" t="str">
        <f t="shared" si="77"/>
        <v/>
      </c>
    </row>
    <row r="519" spans="1:12">
      <c r="A519" s="2">
        <v>507</v>
      </c>
      <c r="B519" s="4">
        <v>0.32400000000000001</v>
      </c>
      <c r="C519" s="4">
        <f t="shared" si="78"/>
        <v>8.4999999999999964E-2</v>
      </c>
      <c r="D519" s="4">
        <f t="shared" si="71"/>
        <v>1.5554284590900538</v>
      </c>
      <c r="E519" s="4">
        <f t="shared" si="72"/>
        <v>0.57467378325694207</v>
      </c>
      <c r="F519" s="4">
        <f t="shared" si="79"/>
        <v>0</v>
      </c>
      <c r="G519" s="4">
        <f t="shared" si="80"/>
        <v>0.55655717529215432</v>
      </c>
      <c r="H519" s="4">
        <f t="shared" si="73"/>
        <v>0.17035726210350607</v>
      </c>
      <c r="I519" s="4">
        <f t="shared" si="74"/>
        <v>0</v>
      </c>
      <c r="J519" s="2" t="str">
        <f t="shared" si="75"/>
        <v/>
      </c>
      <c r="K519" s="2" t="str">
        <f t="shared" si="76"/>
        <v/>
      </c>
      <c r="L519" s="2" t="str">
        <f t="shared" si="77"/>
        <v/>
      </c>
    </row>
    <row r="520" spans="1:12">
      <c r="A520" s="2">
        <v>508</v>
      </c>
      <c r="B520" s="4">
        <v>0.41399999999999998</v>
      </c>
      <c r="C520" s="4">
        <f t="shared" si="78"/>
        <v>8.9999999999999969E-2</v>
      </c>
      <c r="D520" s="4">
        <f t="shared" si="71"/>
        <v>1.5554284590900538</v>
      </c>
      <c r="E520" s="4">
        <f t="shared" si="72"/>
        <v>0.57467378325694207</v>
      </c>
      <c r="F520" s="4">
        <f t="shared" si="79"/>
        <v>0</v>
      </c>
      <c r="G520" s="4">
        <f t="shared" si="80"/>
        <v>0.55655717529215432</v>
      </c>
      <c r="H520" s="4">
        <f t="shared" si="73"/>
        <v>0.17035726210350607</v>
      </c>
      <c r="I520" s="4">
        <f t="shared" si="74"/>
        <v>0</v>
      </c>
      <c r="J520" s="2" t="str">
        <f t="shared" si="75"/>
        <v/>
      </c>
      <c r="K520" s="2" t="str">
        <f t="shared" si="76"/>
        <v/>
      </c>
      <c r="L520" s="2" t="str">
        <f t="shared" si="77"/>
        <v/>
      </c>
    </row>
    <row r="521" spans="1:12">
      <c r="A521" s="2">
        <v>509</v>
      </c>
      <c r="B521" s="4">
        <v>0.44900000000000001</v>
      </c>
      <c r="C521" s="4">
        <f t="shared" si="78"/>
        <v>3.5000000000000031E-2</v>
      </c>
      <c r="D521" s="4">
        <f t="shared" si="71"/>
        <v>1.5554284590900538</v>
      </c>
      <c r="E521" s="4">
        <f t="shared" si="72"/>
        <v>0.57467378325694207</v>
      </c>
      <c r="F521" s="4">
        <f t="shared" si="79"/>
        <v>0</v>
      </c>
      <c r="G521" s="4">
        <f t="shared" si="80"/>
        <v>0.55655717529215432</v>
      </c>
      <c r="H521" s="4">
        <f t="shared" si="73"/>
        <v>0.17035726210350607</v>
      </c>
      <c r="I521" s="4">
        <f t="shared" si="74"/>
        <v>0</v>
      </c>
      <c r="J521" s="2" t="str">
        <f t="shared" si="75"/>
        <v/>
      </c>
      <c r="K521" s="2" t="str">
        <f t="shared" si="76"/>
        <v/>
      </c>
      <c r="L521" s="2" t="str">
        <f t="shared" si="77"/>
        <v/>
      </c>
    </row>
    <row r="522" spans="1:12">
      <c r="A522" s="2">
        <v>510</v>
      </c>
      <c r="B522" s="4">
        <v>0.41299999999999998</v>
      </c>
      <c r="C522" s="4">
        <f t="shared" si="78"/>
        <v>3.6000000000000032E-2</v>
      </c>
      <c r="D522" s="4">
        <f t="shared" si="71"/>
        <v>1.5554284590900538</v>
      </c>
      <c r="E522" s="4">
        <f t="shared" si="72"/>
        <v>0.57467378325694207</v>
      </c>
      <c r="F522" s="4">
        <f t="shared" si="79"/>
        <v>0</v>
      </c>
      <c r="G522" s="4">
        <f t="shared" si="80"/>
        <v>0.55655717529215432</v>
      </c>
      <c r="H522" s="4">
        <f t="shared" si="73"/>
        <v>0.17035726210350607</v>
      </c>
      <c r="I522" s="4">
        <f t="shared" si="74"/>
        <v>0</v>
      </c>
      <c r="J522" s="2" t="str">
        <f t="shared" si="75"/>
        <v/>
      </c>
      <c r="K522" s="2" t="str">
        <f t="shared" si="76"/>
        <v/>
      </c>
      <c r="L522" s="2" t="str">
        <f t="shared" si="77"/>
        <v/>
      </c>
    </row>
    <row r="523" spans="1:12">
      <c r="A523" s="2">
        <v>511</v>
      </c>
      <c r="B523" s="4">
        <v>0.35499999999999998</v>
      </c>
      <c r="C523" s="4">
        <f t="shared" si="78"/>
        <v>5.7999999999999996E-2</v>
      </c>
      <c r="D523" s="4">
        <f t="shared" si="71"/>
        <v>1.5554284590900538</v>
      </c>
      <c r="E523" s="4">
        <f t="shared" si="72"/>
        <v>0.57467378325694207</v>
      </c>
      <c r="F523" s="4">
        <f t="shared" si="79"/>
        <v>0</v>
      </c>
      <c r="G523" s="4">
        <f t="shared" si="80"/>
        <v>0.55655717529215432</v>
      </c>
      <c r="H523" s="4">
        <f t="shared" si="73"/>
        <v>0.17035726210350607</v>
      </c>
      <c r="I523" s="4">
        <f t="shared" si="74"/>
        <v>0</v>
      </c>
      <c r="J523" s="2" t="str">
        <f t="shared" si="75"/>
        <v/>
      </c>
      <c r="K523" s="2" t="str">
        <f t="shared" si="76"/>
        <v/>
      </c>
      <c r="L523" s="2" t="str">
        <f t="shared" si="77"/>
        <v/>
      </c>
    </row>
    <row r="524" spans="1:12">
      <c r="A524" s="2">
        <v>512</v>
      </c>
      <c r="B524" s="4">
        <v>0.51800000000000002</v>
      </c>
      <c r="C524" s="4">
        <f t="shared" si="78"/>
        <v>0.16300000000000003</v>
      </c>
      <c r="D524" s="4">
        <f t="shared" si="71"/>
        <v>1.5554284590900538</v>
      </c>
      <c r="E524" s="4">
        <f t="shared" si="72"/>
        <v>0.57467378325694207</v>
      </c>
      <c r="F524" s="4">
        <f t="shared" si="79"/>
        <v>0</v>
      </c>
      <c r="G524" s="4">
        <f t="shared" si="80"/>
        <v>0.55655717529215432</v>
      </c>
      <c r="H524" s="4">
        <f t="shared" si="73"/>
        <v>0.17035726210350607</v>
      </c>
      <c r="I524" s="4">
        <f t="shared" si="74"/>
        <v>0</v>
      </c>
      <c r="J524" s="2" t="str">
        <f t="shared" si="75"/>
        <v/>
      </c>
      <c r="K524" s="2" t="str">
        <f t="shared" si="76"/>
        <v/>
      </c>
      <c r="L524" s="2" t="str">
        <f t="shared" si="77"/>
        <v/>
      </c>
    </row>
    <row r="525" spans="1:12">
      <c r="A525" s="2">
        <v>513</v>
      </c>
      <c r="B525" s="4">
        <v>0.45600000000000002</v>
      </c>
      <c r="C525" s="4">
        <f t="shared" si="78"/>
        <v>6.2E-2</v>
      </c>
      <c r="D525" s="4">
        <f t="shared" ref="D525:D588" si="81">$G$13</f>
        <v>1.5554284590900538</v>
      </c>
      <c r="E525" s="4">
        <f t="shared" ref="E525:E588" si="82">$G$14</f>
        <v>0.57467378325694207</v>
      </c>
      <c r="F525" s="4">
        <f t="shared" si="79"/>
        <v>0</v>
      </c>
      <c r="G525" s="4">
        <f t="shared" si="80"/>
        <v>0.55655717529215432</v>
      </c>
      <c r="H525" s="4">
        <f t="shared" ref="H525:H588" si="83">$G$17</f>
        <v>0.17035726210350607</v>
      </c>
      <c r="I525" s="4">
        <f t="shared" ref="I525:I588" si="84">$G$18</f>
        <v>0</v>
      </c>
      <c r="J525" s="2" t="str">
        <f t="shared" ref="J525:J588" si="85">IF(OR(B525&gt;D525,B525&lt;F525),"Y","")</f>
        <v/>
      </c>
      <c r="K525" s="2" t="str">
        <f t="shared" ref="K525:K588" si="86">IF(AND(C525&lt;&gt;"",C525&gt;G525),"Y","")</f>
        <v/>
      </c>
      <c r="L525" s="2" t="str">
        <f t="shared" ref="L525:L588" si="87">IF(OR(B525&lt;$B$5,B525&gt;$D$5),"Y","")</f>
        <v/>
      </c>
    </row>
    <row r="526" spans="1:12">
      <c r="A526" s="2">
        <v>514</v>
      </c>
      <c r="B526" s="4">
        <v>0.47399999999999998</v>
      </c>
      <c r="C526" s="4">
        <f t="shared" ref="C526:C589" si="88">ABS(B526-B525)</f>
        <v>1.799999999999996E-2</v>
      </c>
      <c r="D526" s="4">
        <f t="shared" si="81"/>
        <v>1.5554284590900538</v>
      </c>
      <c r="E526" s="4">
        <f t="shared" si="82"/>
        <v>0.57467378325694207</v>
      </c>
      <c r="F526" s="4">
        <f t="shared" si="79"/>
        <v>0</v>
      </c>
      <c r="G526" s="4">
        <f t="shared" si="80"/>
        <v>0.55655717529215432</v>
      </c>
      <c r="H526" s="4">
        <f t="shared" si="83"/>
        <v>0.17035726210350607</v>
      </c>
      <c r="I526" s="4">
        <f t="shared" si="84"/>
        <v>0</v>
      </c>
      <c r="J526" s="2" t="str">
        <f t="shared" si="85"/>
        <v/>
      </c>
      <c r="K526" s="2" t="str">
        <f t="shared" si="86"/>
        <v/>
      </c>
      <c r="L526" s="2" t="str">
        <f t="shared" si="87"/>
        <v/>
      </c>
    </row>
    <row r="527" spans="1:12">
      <c r="A527" s="2">
        <v>515</v>
      </c>
      <c r="B527" s="4">
        <v>0.376</v>
      </c>
      <c r="C527" s="4">
        <f t="shared" si="88"/>
        <v>9.7999999999999976E-2</v>
      </c>
      <c r="D527" s="4">
        <f t="shared" si="81"/>
        <v>1.5554284590900538</v>
      </c>
      <c r="E527" s="4">
        <f t="shared" si="82"/>
        <v>0.57467378325694207</v>
      </c>
      <c r="F527" s="4">
        <f t="shared" si="79"/>
        <v>0</v>
      </c>
      <c r="G527" s="4">
        <f t="shared" si="80"/>
        <v>0.55655717529215432</v>
      </c>
      <c r="H527" s="4">
        <f t="shared" si="83"/>
        <v>0.17035726210350607</v>
      </c>
      <c r="I527" s="4">
        <f t="shared" si="84"/>
        <v>0</v>
      </c>
      <c r="J527" s="2" t="str">
        <f t="shared" si="85"/>
        <v/>
      </c>
      <c r="K527" s="2" t="str">
        <f t="shared" si="86"/>
        <v/>
      </c>
      <c r="L527" s="2" t="str">
        <f t="shared" si="87"/>
        <v/>
      </c>
    </row>
    <row r="528" spans="1:12">
      <c r="A528" s="2">
        <v>516</v>
      </c>
      <c r="B528" s="4">
        <v>0.22900000000000001</v>
      </c>
      <c r="C528" s="4">
        <f t="shared" si="88"/>
        <v>0.14699999999999999</v>
      </c>
      <c r="D528" s="4">
        <f t="shared" si="81"/>
        <v>1.5554284590900538</v>
      </c>
      <c r="E528" s="4">
        <f t="shared" si="82"/>
        <v>0.57467378325694207</v>
      </c>
      <c r="F528" s="4">
        <f t="shared" ref="F528:F591" si="89">$G$15</f>
        <v>0</v>
      </c>
      <c r="G528" s="4">
        <f t="shared" si="80"/>
        <v>0.55655717529215432</v>
      </c>
      <c r="H528" s="4">
        <f t="shared" si="83"/>
        <v>0.17035726210350607</v>
      </c>
      <c r="I528" s="4">
        <f t="shared" si="84"/>
        <v>0</v>
      </c>
      <c r="J528" s="2" t="str">
        <f t="shared" si="85"/>
        <v/>
      </c>
      <c r="K528" s="2" t="str">
        <f t="shared" si="86"/>
        <v/>
      </c>
      <c r="L528" s="2" t="str">
        <f t="shared" si="87"/>
        <v/>
      </c>
    </row>
    <row r="529" spans="1:12">
      <c r="A529" s="2">
        <v>517</v>
      </c>
      <c r="B529" s="4">
        <v>0.35199999999999998</v>
      </c>
      <c r="C529" s="4">
        <f t="shared" si="88"/>
        <v>0.12299999999999997</v>
      </c>
      <c r="D529" s="4">
        <f t="shared" si="81"/>
        <v>1.5554284590900538</v>
      </c>
      <c r="E529" s="4">
        <f t="shared" si="82"/>
        <v>0.57467378325694207</v>
      </c>
      <c r="F529" s="4">
        <f t="shared" si="89"/>
        <v>0</v>
      </c>
      <c r="G529" s="4">
        <f t="shared" si="80"/>
        <v>0.55655717529215432</v>
      </c>
      <c r="H529" s="4">
        <f t="shared" si="83"/>
        <v>0.17035726210350607</v>
      </c>
      <c r="I529" s="4">
        <f t="shared" si="84"/>
        <v>0</v>
      </c>
      <c r="J529" s="2" t="str">
        <f t="shared" si="85"/>
        <v/>
      </c>
      <c r="K529" s="2" t="str">
        <f t="shared" si="86"/>
        <v/>
      </c>
      <c r="L529" s="2" t="str">
        <f t="shared" si="87"/>
        <v/>
      </c>
    </row>
    <row r="530" spans="1:12">
      <c r="A530" s="2">
        <v>518</v>
      </c>
      <c r="B530" s="4">
        <v>0.20599999999999999</v>
      </c>
      <c r="C530" s="4">
        <f t="shared" si="88"/>
        <v>0.14599999999999999</v>
      </c>
      <c r="D530" s="4">
        <f t="shared" si="81"/>
        <v>1.5554284590900538</v>
      </c>
      <c r="E530" s="4">
        <f t="shared" si="82"/>
        <v>0.57467378325694207</v>
      </c>
      <c r="F530" s="4">
        <f t="shared" si="89"/>
        <v>0</v>
      </c>
      <c r="G530" s="4">
        <f t="shared" si="80"/>
        <v>0.55655717529215432</v>
      </c>
      <c r="H530" s="4">
        <f t="shared" si="83"/>
        <v>0.17035726210350607</v>
      </c>
      <c r="I530" s="4">
        <f t="shared" si="84"/>
        <v>0</v>
      </c>
      <c r="J530" s="2" t="str">
        <f t="shared" si="85"/>
        <v/>
      </c>
      <c r="K530" s="2" t="str">
        <f t="shared" si="86"/>
        <v/>
      </c>
      <c r="L530" s="2" t="str">
        <f t="shared" si="87"/>
        <v/>
      </c>
    </row>
    <row r="531" spans="1:12">
      <c r="A531" s="2">
        <v>519</v>
      </c>
      <c r="B531" s="4">
        <v>0.33900000000000002</v>
      </c>
      <c r="C531" s="4">
        <f t="shared" si="88"/>
        <v>0.13300000000000003</v>
      </c>
      <c r="D531" s="4">
        <f t="shared" si="81"/>
        <v>1.5554284590900538</v>
      </c>
      <c r="E531" s="4">
        <f t="shared" si="82"/>
        <v>0.57467378325694207</v>
      </c>
      <c r="F531" s="4">
        <f t="shared" si="89"/>
        <v>0</v>
      </c>
      <c r="G531" s="4">
        <f t="shared" ref="G531:G594" si="90">$G$16</f>
        <v>0.55655717529215432</v>
      </c>
      <c r="H531" s="4">
        <f t="shared" si="83"/>
        <v>0.17035726210350607</v>
      </c>
      <c r="I531" s="4">
        <f t="shared" si="84"/>
        <v>0</v>
      </c>
      <c r="J531" s="2" t="str">
        <f t="shared" si="85"/>
        <v/>
      </c>
      <c r="K531" s="2" t="str">
        <f t="shared" si="86"/>
        <v/>
      </c>
      <c r="L531" s="2" t="str">
        <f t="shared" si="87"/>
        <v/>
      </c>
    </row>
    <row r="532" spans="1:12">
      <c r="A532" s="2">
        <v>520</v>
      </c>
      <c r="B532" s="4">
        <v>0.35899999999999999</v>
      </c>
      <c r="C532" s="4">
        <f t="shared" si="88"/>
        <v>1.9999999999999962E-2</v>
      </c>
      <c r="D532" s="4">
        <f t="shared" si="81"/>
        <v>1.5554284590900538</v>
      </c>
      <c r="E532" s="4">
        <f t="shared" si="82"/>
        <v>0.57467378325694207</v>
      </c>
      <c r="F532" s="4">
        <f t="shared" si="89"/>
        <v>0</v>
      </c>
      <c r="G532" s="4">
        <f t="shared" si="90"/>
        <v>0.55655717529215432</v>
      </c>
      <c r="H532" s="4">
        <f t="shared" si="83"/>
        <v>0.17035726210350607</v>
      </c>
      <c r="I532" s="4">
        <f t="shared" si="84"/>
        <v>0</v>
      </c>
      <c r="J532" s="2" t="str">
        <f t="shared" si="85"/>
        <v/>
      </c>
      <c r="K532" s="2" t="str">
        <f t="shared" si="86"/>
        <v/>
      </c>
      <c r="L532" s="2" t="str">
        <f t="shared" si="87"/>
        <v/>
      </c>
    </row>
    <row r="533" spans="1:12">
      <c r="A533" s="2">
        <v>521</v>
      </c>
      <c r="B533" s="4">
        <v>0.24099999999999999</v>
      </c>
      <c r="C533" s="4">
        <f t="shared" si="88"/>
        <v>0.11799999999999999</v>
      </c>
      <c r="D533" s="4">
        <f t="shared" si="81"/>
        <v>1.5554284590900538</v>
      </c>
      <c r="E533" s="4">
        <f t="shared" si="82"/>
        <v>0.57467378325694207</v>
      </c>
      <c r="F533" s="4">
        <f t="shared" si="89"/>
        <v>0</v>
      </c>
      <c r="G533" s="4">
        <f t="shared" si="90"/>
        <v>0.55655717529215432</v>
      </c>
      <c r="H533" s="4">
        <f t="shared" si="83"/>
        <v>0.17035726210350607</v>
      </c>
      <c r="I533" s="4">
        <f t="shared" si="84"/>
        <v>0</v>
      </c>
      <c r="J533" s="2" t="str">
        <f t="shared" si="85"/>
        <v/>
      </c>
      <c r="K533" s="2" t="str">
        <f t="shared" si="86"/>
        <v/>
      </c>
      <c r="L533" s="2" t="str">
        <f t="shared" si="87"/>
        <v/>
      </c>
    </row>
    <row r="534" spans="1:12">
      <c r="A534" s="2">
        <v>522</v>
      </c>
      <c r="B534" s="4">
        <v>0.28899999999999998</v>
      </c>
      <c r="C534" s="4">
        <f t="shared" si="88"/>
        <v>4.7999999999999987E-2</v>
      </c>
      <c r="D534" s="4">
        <f t="shared" si="81"/>
        <v>1.5554284590900538</v>
      </c>
      <c r="E534" s="4">
        <f t="shared" si="82"/>
        <v>0.57467378325694207</v>
      </c>
      <c r="F534" s="4">
        <f t="shared" si="89"/>
        <v>0</v>
      </c>
      <c r="G534" s="4">
        <f t="shared" si="90"/>
        <v>0.55655717529215432</v>
      </c>
      <c r="H534" s="4">
        <f t="shared" si="83"/>
        <v>0.17035726210350607</v>
      </c>
      <c r="I534" s="4">
        <f t="shared" si="84"/>
        <v>0</v>
      </c>
      <c r="J534" s="2" t="str">
        <f t="shared" si="85"/>
        <v/>
      </c>
      <c r="K534" s="2" t="str">
        <f t="shared" si="86"/>
        <v/>
      </c>
      <c r="L534" s="2" t="str">
        <f t="shared" si="87"/>
        <v/>
      </c>
    </row>
    <row r="535" spans="1:12">
      <c r="A535" s="2">
        <v>523</v>
      </c>
      <c r="B535" s="4">
        <v>0.27200000000000002</v>
      </c>
      <c r="C535" s="4">
        <f t="shared" si="88"/>
        <v>1.699999999999996E-2</v>
      </c>
      <c r="D535" s="4">
        <f t="shared" si="81"/>
        <v>1.5554284590900538</v>
      </c>
      <c r="E535" s="4">
        <f t="shared" si="82"/>
        <v>0.57467378325694207</v>
      </c>
      <c r="F535" s="4">
        <f t="shared" si="89"/>
        <v>0</v>
      </c>
      <c r="G535" s="4">
        <f t="shared" si="90"/>
        <v>0.55655717529215432</v>
      </c>
      <c r="H535" s="4">
        <f t="shared" si="83"/>
        <v>0.17035726210350607</v>
      </c>
      <c r="I535" s="4">
        <f t="shared" si="84"/>
        <v>0</v>
      </c>
      <c r="J535" s="2" t="str">
        <f t="shared" si="85"/>
        <v/>
      </c>
      <c r="K535" s="2" t="str">
        <f t="shared" si="86"/>
        <v/>
      </c>
      <c r="L535" s="2" t="str">
        <f t="shared" si="87"/>
        <v/>
      </c>
    </row>
    <row r="536" spans="1:12">
      <c r="A536" s="2">
        <v>524</v>
      </c>
      <c r="B536" s="4">
        <v>0.22</v>
      </c>
      <c r="C536" s="4">
        <f t="shared" si="88"/>
        <v>5.2000000000000018E-2</v>
      </c>
      <c r="D536" s="4">
        <f t="shared" si="81"/>
        <v>1.5554284590900538</v>
      </c>
      <c r="E536" s="4">
        <f t="shared" si="82"/>
        <v>0.57467378325694207</v>
      </c>
      <c r="F536" s="4">
        <f t="shared" si="89"/>
        <v>0</v>
      </c>
      <c r="G536" s="4">
        <f t="shared" si="90"/>
        <v>0.55655717529215432</v>
      </c>
      <c r="H536" s="4">
        <f t="shared" si="83"/>
        <v>0.17035726210350607</v>
      </c>
      <c r="I536" s="4">
        <f t="shared" si="84"/>
        <v>0</v>
      </c>
      <c r="J536" s="2" t="str">
        <f t="shared" si="85"/>
        <v/>
      </c>
      <c r="K536" s="2" t="str">
        <f t="shared" si="86"/>
        <v/>
      </c>
      <c r="L536" s="2" t="str">
        <f t="shared" si="87"/>
        <v/>
      </c>
    </row>
    <row r="537" spans="1:12">
      <c r="A537" s="2">
        <v>525</v>
      </c>
      <c r="B537" s="4">
        <v>0.39900000000000002</v>
      </c>
      <c r="C537" s="4">
        <f t="shared" si="88"/>
        <v>0.17900000000000002</v>
      </c>
      <c r="D537" s="4">
        <f t="shared" si="81"/>
        <v>1.5554284590900538</v>
      </c>
      <c r="E537" s="4">
        <f t="shared" si="82"/>
        <v>0.57467378325694207</v>
      </c>
      <c r="F537" s="4">
        <f t="shared" si="89"/>
        <v>0</v>
      </c>
      <c r="G537" s="4">
        <f t="shared" si="90"/>
        <v>0.55655717529215432</v>
      </c>
      <c r="H537" s="4">
        <f t="shared" si="83"/>
        <v>0.17035726210350607</v>
      </c>
      <c r="I537" s="4">
        <f t="shared" si="84"/>
        <v>0</v>
      </c>
      <c r="J537" s="2" t="str">
        <f t="shared" si="85"/>
        <v/>
      </c>
      <c r="K537" s="2" t="str">
        <f t="shared" si="86"/>
        <v/>
      </c>
      <c r="L537" s="2" t="str">
        <f t="shared" si="87"/>
        <v/>
      </c>
    </row>
    <row r="538" spans="1:12">
      <c r="A538" s="2">
        <v>526</v>
      </c>
      <c r="B538" s="4">
        <v>0.55900000000000005</v>
      </c>
      <c r="C538" s="4">
        <f t="shared" si="88"/>
        <v>0.16000000000000003</v>
      </c>
      <c r="D538" s="4">
        <f t="shared" si="81"/>
        <v>1.5554284590900538</v>
      </c>
      <c r="E538" s="4">
        <f t="shared" si="82"/>
        <v>0.57467378325694207</v>
      </c>
      <c r="F538" s="4">
        <f t="shared" si="89"/>
        <v>0</v>
      </c>
      <c r="G538" s="4">
        <f t="shared" si="90"/>
        <v>0.55655717529215432</v>
      </c>
      <c r="H538" s="4">
        <f t="shared" si="83"/>
        <v>0.17035726210350607</v>
      </c>
      <c r="I538" s="4">
        <f t="shared" si="84"/>
        <v>0</v>
      </c>
      <c r="J538" s="2" t="str">
        <f t="shared" si="85"/>
        <v/>
      </c>
      <c r="K538" s="2" t="str">
        <f t="shared" si="86"/>
        <v/>
      </c>
      <c r="L538" s="2" t="str">
        <f t="shared" si="87"/>
        <v/>
      </c>
    </row>
    <row r="539" spans="1:12">
      <c r="A539" s="2">
        <v>527</v>
      </c>
      <c r="B539" s="4">
        <v>0.435</v>
      </c>
      <c r="C539" s="4">
        <f t="shared" si="88"/>
        <v>0.12400000000000005</v>
      </c>
      <c r="D539" s="4">
        <f t="shared" si="81"/>
        <v>1.5554284590900538</v>
      </c>
      <c r="E539" s="4">
        <f t="shared" si="82"/>
        <v>0.57467378325694207</v>
      </c>
      <c r="F539" s="4">
        <f t="shared" si="89"/>
        <v>0</v>
      </c>
      <c r="G539" s="4">
        <f t="shared" si="90"/>
        <v>0.55655717529215432</v>
      </c>
      <c r="H539" s="4">
        <f t="shared" si="83"/>
        <v>0.17035726210350607</v>
      </c>
      <c r="I539" s="4">
        <f t="shared" si="84"/>
        <v>0</v>
      </c>
      <c r="J539" s="2" t="str">
        <f t="shared" si="85"/>
        <v/>
      </c>
      <c r="K539" s="2" t="str">
        <f t="shared" si="86"/>
        <v/>
      </c>
      <c r="L539" s="2" t="str">
        <f t="shared" si="87"/>
        <v/>
      </c>
    </row>
    <row r="540" spans="1:12">
      <c r="A540" s="2">
        <v>528</v>
      </c>
      <c r="B540" s="4">
        <v>0.40500000000000003</v>
      </c>
      <c r="C540" s="4">
        <f t="shared" si="88"/>
        <v>2.9999999999999971E-2</v>
      </c>
      <c r="D540" s="4">
        <f t="shared" si="81"/>
        <v>1.5554284590900538</v>
      </c>
      <c r="E540" s="4">
        <f t="shared" si="82"/>
        <v>0.57467378325694207</v>
      </c>
      <c r="F540" s="4">
        <f t="shared" si="89"/>
        <v>0</v>
      </c>
      <c r="G540" s="4">
        <f t="shared" si="90"/>
        <v>0.55655717529215432</v>
      </c>
      <c r="H540" s="4">
        <f t="shared" si="83"/>
        <v>0.17035726210350607</v>
      </c>
      <c r="I540" s="4">
        <f t="shared" si="84"/>
        <v>0</v>
      </c>
      <c r="J540" s="2" t="str">
        <f t="shared" si="85"/>
        <v/>
      </c>
      <c r="K540" s="2" t="str">
        <f t="shared" si="86"/>
        <v/>
      </c>
      <c r="L540" s="2" t="str">
        <f t="shared" si="87"/>
        <v/>
      </c>
    </row>
    <row r="541" spans="1:12">
      <c r="A541" s="2">
        <v>529</v>
      </c>
      <c r="B541" s="4">
        <v>0.36499999999999999</v>
      </c>
      <c r="C541" s="4">
        <f t="shared" si="88"/>
        <v>4.0000000000000036E-2</v>
      </c>
      <c r="D541" s="4">
        <f t="shared" si="81"/>
        <v>1.5554284590900538</v>
      </c>
      <c r="E541" s="4">
        <f t="shared" si="82"/>
        <v>0.57467378325694207</v>
      </c>
      <c r="F541" s="4">
        <f t="shared" si="89"/>
        <v>0</v>
      </c>
      <c r="G541" s="4">
        <f t="shared" si="90"/>
        <v>0.55655717529215432</v>
      </c>
      <c r="H541" s="4">
        <f t="shared" si="83"/>
        <v>0.17035726210350607</v>
      </c>
      <c r="I541" s="4">
        <f t="shared" si="84"/>
        <v>0</v>
      </c>
      <c r="J541" s="2" t="str">
        <f t="shared" si="85"/>
        <v/>
      </c>
      <c r="K541" s="2" t="str">
        <f t="shared" si="86"/>
        <v/>
      </c>
      <c r="L541" s="2" t="str">
        <f t="shared" si="87"/>
        <v/>
      </c>
    </row>
    <row r="542" spans="1:12">
      <c r="A542" s="2">
        <v>530</v>
      </c>
      <c r="B542" s="4">
        <v>0.14399999999999999</v>
      </c>
      <c r="C542" s="4">
        <f t="shared" si="88"/>
        <v>0.221</v>
      </c>
      <c r="D542" s="4">
        <f t="shared" si="81"/>
        <v>1.5554284590900538</v>
      </c>
      <c r="E542" s="4">
        <f t="shared" si="82"/>
        <v>0.57467378325694207</v>
      </c>
      <c r="F542" s="4">
        <f t="shared" si="89"/>
        <v>0</v>
      </c>
      <c r="G542" s="4">
        <f t="shared" si="90"/>
        <v>0.55655717529215432</v>
      </c>
      <c r="H542" s="4">
        <f t="shared" si="83"/>
        <v>0.17035726210350607</v>
      </c>
      <c r="I542" s="4">
        <f t="shared" si="84"/>
        <v>0</v>
      </c>
      <c r="J542" s="2" t="str">
        <f t="shared" si="85"/>
        <v/>
      </c>
      <c r="K542" s="2" t="str">
        <f t="shared" si="86"/>
        <v/>
      </c>
      <c r="L542" s="2" t="str">
        <f t="shared" si="87"/>
        <v/>
      </c>
    </row>
    <row r="543" spans="1:12">
      <c r="A543" s="2">
        <v>531</v>
      </c>
      <c r="B543" s="4">
        <v>0.44900000000000001</v>
      </c>
      <c r="C543" s="4">
        <f t="shared" si="88"/>
        <v>0.30500000000000005</v>
      </c>
      <c r="D543" s="4">
        <f t="shared" si="81"/>
        <v>1.5554284590900538</v>
      </c>
      <c r="E543" s="4">
        <f t="shared" si="82"/>
        <v>0.57467378325694207</v>
      </c>
      <c r="F543" s="4">
        <f t="shared" si="89"/>
        <v>0</v>
      </c>
      <c r="G543" s="4">
        <f t="shared" si="90"/>
        <v>0.55655717529215432</v>
      </c>
      <c r="H543" s="4">
        <f t="shared" si="83"/>
        <v>0.17035726210350607</v>
      </c>
      <c r="I543" s="4">
        <f t="shared" si="84"/>
        <v>0</v>
      </c>
      <c r="J543" s="2" t="str">
        <f t="shared" si="85"/>
        <v/>
      </c>
      <c r="K543" s="2" t="str">
        <f t="shared" si="86"/>
        <v/>
      </c>
      <c r="L543" s="2" t="str">
        <f t="shared" si="87"/>
        <v/>
      </c>
    </row>
    <row r="544" spans="1:12">
      <c r="A544" s="2">
        <v>532</v>
      </c>
      <c r="B544" s="4">
        <v>0.89</v>
      </c>
      <c r="C544" s="4">
        <f t="shared" si="88"/>
        <v>0.441</v>
      </c>
      <c r="D544" s="4">
        <f t="shared" si="81"/>
        <v>1.5554284590900538</v>
      </c>
      <c r="E544" s="4">
        <f t="shared" si="82"/>
        <v>0.57467378325694207</v>
      </c>
      <c r="F544" s="4">
        <f t="shared" si="89"/>
        <v>0</v>
      </c>
      <c r="G544" s="4">
        <f t="shared" si="90"/>
        <v>0.55655717529215432</v>
      </c>
      <c r="H544" s="4">
        <f t="shared" si="83"/>
        <v>0.17035726210350607</v>
      </c>
      <c r="I544" s="4">
        <f t="shared" si="84"/>
        <v>0</v>
      </c>
      <c r="J544" s="2" t="str">
        <f t="shared" si="85"/>
        <v/>
      </c>
      <c r="K544" s="2" t="str">
        <f t="shared" si="86"/>
        <v/>
      </c>
      <c r="L544" s="2" t="str">
        <f t="shared" si="87"/>
        <v/>
      </c>
    </row>
    <row r="545" spans="1:12">
      <c r="A545" s="2">
        <v>533</v>
      </c>
      <c r="B545" s="4">
        <v>0.42199999999999999</v>
      </c>
      <c r="C545" s="4">
        <f t="shared" si="88"/>
        <v>0.46800000000000003</v>
      </c>
      <c r="D545" s="4">
        <f t="shared" si="81"/>
        <v>1.5554284590900538</v>
      </c>
      <c r="E545" s="4">
        <f t="shared" si="82"/>
        <v>0.57467378325694207</v>
      </c>
      <c r="F545" s="4">
        <f t="shared" si="89"/>
        <v>0</v>
      </c>
      <c r="G545" s="4">
        <f t="shared" si="90"/>
        <v>0.55655717529215432</v>
      </c>
      <c r="H545" s="4">
        <f t="shared" si="83"/>
        <v>0.17035726210350607</v>
      </c>
      <c r="I545" s="4">
        <f t="shared" si="84"/>
        <v>0</v>
      </c>
      <c r="J545" s="2" t="str">
        <f t="shared" si="85"/>
        <v/>
      </c>
      <c r="K545" s="2" t="str">
        <f t="shared" si="86"/>
        <v/>
      </c>
      <c r="L545" s="2" t="str">
        <f t="shared" si="87"/>
        <v/>
      </c>
    </row>
    <row r="546" spans="1:12">
      <c r="A546" s="2">
        <v>534</v>
      </c>
      <c r="B546" s="4">
        <v>0.81899999999999995</v>
      </c>
      <c r="C546" s="4">
        <f t="shared" si="88"/>
        <v>0.39699999999999996</v>
      </c>
      <c r="D546" s="4">
        <f t="shared" si="81"/>
        <v>1.5554284590900538</v>
      </c>
      <c r="E546" s="4">
        <f t="shared" si="82"/>
        <v>0.57467378325694207</v>
      </c>
      <c r="F546" s="4">
        <f t="shared" si="89"/>
        <v>0</v>
      </c>
      <c r="G546" s="4">
        <f t="shared" si="90"/>
        <v>0.55655717529215432</v>
      </c>
      <c r="H546" s="4">
        <f t="shared" si="83"/>
        <v>0.17035726210350607</v>
      </c>
      <c r="I546" s="4">
        <f t="shared" si="84"/>
        <v>0</v>
      </c>
      <c r="J546" s="2" t="str">
        <f t="shared" si="85"/>
        <v/>
      </c>
      <c r="K546" s="2" t="str">
        <f t="shared" si="86"/>
        <v/>
      </c>
      <c r="L546" s="2" t="str">
        <f t="shared" si="87"/>
        <v/>
      </c>
    </row>
    <row r="547" spans="1:12">
      <c r="A547" s="2">
        <v>535</v>
      </c>
      <c r="B547" s="4">
        <v>0.73499999999999999</v>
      </c>
      <c r="C547" s="4">
        <f t="shared" si="88"/>
        <v>8.3999999999999964E-2</v>
      </c>
      <c r="D547" s="4">
        <f t="shared" si="81"/>
        <v>1.5554284590900538</v>
      </c>
      <c r="E547" s="4">
        <f t="shared" si="82"/>
        <v>0.57467378325694207</v>
      </c>
      <c r="F547" s="4">
        <f t="shared" si="89"/>
        <v>0</v>
      </c>
      <c r="G547" s="4">
        <f t="shared" si="90"/>
        <v>0.55655717529215432</v>
      </c>
      <c r="H547" s="4">
        <f t="shared" si="83"/>
        <v>0.17035726210350607</v>
      </c>
      <c r="I547" s="4">
        <f t="shared" si="84"/>
        <v>0</v>
      </c>
      <c r="J547" s="2" t="str">
        <f t="shared" si="85"/>
        <v/>
      </c>
      <c r="K547" s="2" t="str">
        <f t="shared" si="86"/>
        <v/>
      </c>
      <c r="L547" s="2" t="str">
        <f t="shared" si="87"/>
        <v/>
      </c>
    </row>
    <row r="548" spans="1:12">
      <c r="A548" s="2">
        <v>536</v>
      </c>
      <c r="B548" s="4">
        <v>0.443</v>
      </c>
      <c r="C548" s="4">
        <f t="shared" si="88"/>
        <v>0.29199999999999998</v>
      </c>
      <c r="D548" s="4">
        <f t="shared" si="81"/>
        <v>1.5554284590900538</v>
      </c>
      <c r="E548" s="4">
        <f t="shared" si="82"/>
        <v>0.57467378325694207</v>
      </c>
      <c r="F548" s="4">
        <f t="shared" si="89"/>
        <v>0</v>
      </c>
      <c r="G548" s="4">
        <f t="shared" si="90"/>
        <v>0.55655717529215432</v>
      </c>
      <c r="H548" s="4">
        <f t="shared" si="83"/>
        <v>0.17035726210350607</v>
      </c>
      <c r="I548" s="4">
        <f t="shared" si="84"/>
        <v>0</v>
      </c>
      <c r="J548" s="2" t="str">
        <f t="shared" si="85"/>
        <v/>
      </c>
      <c r="K548" s="2" t="str">
        <f t="shared" si="86"/>
        <v/>
      </c>
      <c r="L548" s="2" t="str">
        <f t="shared" si="87"/>
        <v/>
      </c>
    </row>
    <row r="549" spans="1:12">
      <c r="A549" s="2">
        <v>537</v>
      </c>
      <c r="B549" s="4">
        <v>0.26500000000000001</v>
      </c>
      <c r="C549" s="4">
        <f t="shared" si="88"/>
        <v>0.17799999999999999</v>
      </c>
      <c r="D549" s="4">
        <f t="shared" si="81"/>
        <v>1.5554284590900538</v>
      </c>
      <c r="E549" s="4">
        <f t="shared" si="82"/>
        <v>0.57467378325694207</v>
      </c>
      <c r="F549" s="4">
        <f t="shared" si="89"/>
        <v>0</v>
      </c>
      <c r="G549" s="4">
        <f t="shared" si="90"/>
        <v>0.55655717529215432</v>
      </c>
      <c r="H549" s="4">
        <f t="shared" si="83"/>
        <v>0.17035726210350607</v>
      </c>
      <c r="I549" s="4">
        <f t="shared" si="84"/>
        <v>0</v>
      </c>
      <c r="J549" s="2" t="str">
        <f t="shared" si="85"/>
        <v/>
      </c>
      <c r="K549" s="2" t="str">
        <f t="shared" si="86"/>
        <v/>
      </c>
      <c r="L549" s="2" t="str">
        <f t="shared" si="87"/>
        <v/>
      </c>
    </row>
    <row r="550" spans="1:12">
      <c r="A550" s="2">
        <v>538</v>
      </c>
      <c r="B550" s="4">
        <v>0.32400000000000001</v>
      </c>
      <c r="C550" s="4">
        <f t="shared" si="88"/>
        <v>5.8999999999999997E-2</v>
      </c>
      <c r="D550" s="4">
        <f t="shared" si="81"/>
        <v>1.5554284590900538</v>
      </c>
      <c r="E550" s="4">
        <f t="shared" si="82"/>
        <v>0.57467378325694207</v>
      </c>
      <c r="F550" s="4">
        <f t="shared" si="89"/>
        <v>0</v>
      </c>
      <c r="G550" s="4">
        <f t="shared" si="90"/>
        <v>0.55655717529215432</v>
      </c>
      <c r="H550" s="4">
        <f t="shared" si="83"/>
        <v>0.17035726210350607</v>
      </c>
      <c r="I550" s="4">
        <f t="shared" si="84"/>
        <v>0</v>
      </c>
      <c r="J550" s="2" t="str">
        <f t="shared" si="85"/>
        <v/>
      </c>
      <c r="K550" s="2" t="str">
        <f t="shared" si="86"/>
        <v/>
      </c>
      <c r="L550" s="2" t="str">
        <f t="shared" si="87"/>
        <v/>
      </c>
    </row>
    <row r="551" spans="1:12">
      <c r="A551" s="2">
        <v>539</v>
      </c>
      <c r="B551" s="4">
        <v>0.44600000000000001</v>
      </c>
      <c r="C551" s="4">
        <f t="shared" si="88"/>
        <v>0.122</v>
      </c>
      <c r="D551" s="4">
        <f t="shared" si="81"/>
        <v>1.5554284590900538</v>
      </c>
      <c r="E551" s="4">
        <f t="shared" si="82"/>
        <v>0.57467378325694207</v>
      </c>
      <c r="F551" s="4">
        <f t="shared" si="89"/>
        <v>0</v>
      </c>
      <c r="G551" s="4">
        <f t="shared" si="90"/>
        <v>0.55655717529215432</v>
      </c>
      <c r="H551" s="4">
        <f t="shared" si="83"/>
        <v>0.17035726210350607</v>
      </c>
      <c r="I551" s="4">
        <f t="shared" si="84"/>
        <v>0</v>
      </c>
      <c r="J551" s="2" t="str">
        <f t="shared" si="85"/>
        <v/>
      </c>
      <c r="K551" s="2" t="str">
        <f t="shared" si="86"/>
        <v/>
      </c>
      <c r="L551" s="2" t="str">
        <f t="shared" si="87"/>
        <v/>
      </c>
    </row>
    <row r="552" spans="1:12">
      <c r="A552" s="2">
        <v>540</v>
      </c>
      <c r="B552" s="4">
        <v>0.26400000000000001</v>
      </c>
      <c r="C552" s="4">
        <f t="shared" si="88"/>
        <v>0.182</v>
      </c>
      <c r="D552" s="4">
        <f t="shared" si="81"/>
        <v>1.5554284590900538</v>
      </c>
      <c r="E552" s="4">
        <f t="shared" si="82"/>
        <v>0.57467378325694207</v>
      </c>
      <c r="F552" s="4">
        <f t="shared" si="89"/>
        <v>0</v>
      </c>
      <c r="G552" s="4">
        <f t="shared" si="90"/>
        <v>0.55655717529215432</v>
      </c>
      <c r="H552" s="4">
        <f t="shared" si="83"/>
        <v>0.17035726210350607</v>
      </c>
      <c r="I552" s="4">
        <f t="shared" si="84"/>
        <v>0</v>
      </c>
      <c r="J552" s="2" t="str">
        <f t="shared" si="85"/>
        <v/>
      </c>
      <c r="K552" s="2" t="str">
        <f t="shared" si="86"/>
        <v/>
      </c>
      <c r="L552" s="2" t="str">
        <f t="shared" si="87"/>
        <v/>
      </c>
    </row>
    <row r="553" spans="1:12">
      <c r="A553" s="2">
        <v>541</v>
      </c>
      <c r="B553" s="4">
        <v>0.27</v>
      </c>
      <c r="C553" s="4">
        <f t="shared" si="88"/>
        <v>6.0000000000000053E-3</v>
      </c>
      <c r="D553" s="4">
        <f t="shared" si="81"/>
        <v>1.5554284590900538</v>
      </c>
      <c r="E553" s="4">
        <f t="shared" si="82"/>
        <v>0.57467378325694207</v>
      </c>
      <c r="F553" s="4">
        <f t="shared" si="89"/>
        <v>0</v>
      </c>
      <c r="G553" s="4">
        <f t="shared" si="90"/>
        <v>0.55655717529215432</v>
      </c>
      <c r="H553" s="4">
        <f t="shared" si="83"/>
        <v>0.17035726210350607</v>
      </c>
      <c r="I553" s="4">
        <f t="shared" si="84"/>
        <v>0</v>
      </c>
      <c r="J553" s="2" t="str">
        <f t="shared" si="85"/>
        <v/>
      </c>
      <c r="K553" s="2" t="str">
        <f t="shared" si="86"/>
        <v/>
      </c>
      <c r="L553" s="2" t="str">
        <f t="shared" si="87"/>
        <v/>
      </c>
    </row>
    <row r="554" spans="1:12">
      <c r="A554" s="2">
        <v>542</v>
      </c>
      <c r="B554" s="4">
        <v>0.29299999999999998</v>
      </c>
      <c r="C554" s="4">
        <f t="shared" si="88"/>
        <v>2.2999999999999965E-2</v>
      </c>
      <c r="D554" s="4">
        <f t="shared" si="81"/>
        <v>1.5554284590900538</v>
      </c>
      <c r="E554" s="4">
        <f t="shared" si="82"/>
        <v>0.57467378325694207</v>
      </c>
      <c r="F554" s="4">
        <f t="shared" si="89"/>
        <v>0</v>
      </c>
      <c r="G554" s="4">
        <f t="shared" si="90"/>
        <v>0.55655717529215432</v>
      </c>
      <c r="H554" s="4">
        <f t="shared" si="83"/>
        <v>0.17035726210350607</v>
      </c>
      <c r="I554" s="4">
        <f t="shared" si="84"/>
        <v>0</v>
      </c>
      <c r="J554" s="2" t="str">
        <f t="shared" si="85"/>
        <v/>
      </c>
      <c r="K554" s="2" t="str">
        <f t="shared" si="86"/>
        <v/>
      </c>
      <c r="L554" s="2" t="str">
        <f t="shared" si="87"/>
        <v/>
      </c>
    </row>
    <row r="555" spans="1:12">
      <c r="A555" s="2">
        <v>543</v>
      </c>
      <c r="B555" s="4">
        <v>0.45700000000000002</v>
      </c>
      <c r="C555" s="4">
        <f t="shared" si="88"/>
        <v>0.16400000000000003</v>
      </c>
      <c r="D555" s="4">
        <f t="shared" si="81"/>
        <v>1.5554284590900538</v>
      </c>
      <c r="E555" s="4">
        <f t="shared" si="82"/>
        <v>0.57467378325694207</v>
      </c>
      <c r="F555" s="4">
        <f t="shared" si="89"/>
        <v>0</v>
      </c>
      <c r="G555" s="4">
        <f t="shared" si="90"/>
        <v>0.55655717529215432</v>
      </c>
      <c r="H555" s="4">
        <f t="shared" si="83"/>
        <v>0.17035726210350607</v>
      </c>
      <c r="I555" s="4">
        <f t="shared" si="84"/>
        <v>0</v>
      </c>
      <c r="J555" s="2" t="str">
        <f t="shared" si="85"/>
        <v/>
      </c>
      <c r="K555" s="2" t="str">
        <f t="shared" si="86"/>
        <v/>
      </c>
      <c r="L555" s="2" t="str">
        <f t="shared" si="87"/>
        <v/>
      </c>
    </row>
    <row r="556" spans="1:12">
      <c r="A556" s="2">
        <v>544</v>
      </c>
      <c r="B556" s="4">
        <v>0.55000000000000004</v>
      </c>
      <c r="C556" s="4">
        <f t="shared" si="88"/>
        <v>9.3000000000000027E-2</v>
      </c>
      <c r="D556" s="4">
        <f t="shared" si="81"/>
        <v>1.5554284590900538</v>
      </c>
      <c r="E556" s="4">
        <f t="shared" si="82"/>
        <v>0.57467378325694207</v>
      </c>
      <c r="F556" s="4">
        <f t="shared" si="89"/>
        <v>0</v>
      </c>
      <c r="G556" s="4">
        <f t="shared" si="90"/>
        <v>0.55655717529215432</v>
      </c>
      <c r="H556" s="4">
        <f t="shared" si="83"/>
        <v>0.17035726210350607</v>
      </c>
      <c r="I556" s="4">
        <f t="shared" si="84"/>
        <v>0</v>
      </c>
      <c r="J556" s="2" t="str">
        <f t="shared" si="85"/>
        <v/>
      </c>
      <c r="K556" s="2" t="str">
        <f t="shared" si="86"/>
        <v/>
      </c>
      <c r="L556" s="2" t="str">
        <f t="shared" si="87"/>
        <v/>
      </c>
    </row>
    <row r="557" spans="1:12">
      <c r="A557" s="2">
        <v>545</v>
      </c>
      <c r="B557" s="4">
        <v>0.28599999999999998</v>
      </c>
      <c r="C557" s="4">
        <f t="shared" si="88"/>
        <v>0.26400000000000007</v>
      </c>
      <c r="D557" s="4">
        <f t="shared" si="81"/>
        <v>1.5554284590900538</v>
      </c>
      <c r="E557" s="4">
        <f t="shared" si="82"/>
        <v>0.57467378325694207</v>
      </c>
      <c r="F557" s="4">
        <f t="shared" si="89"/>
        <v>0</v>
      </c>
      <c r="G557" s="4">
        <f t="shared" si="90"/>
        <v>0.55655717529215432</v>
      </c>
      <c r="H557" s="4">
        <f t="shared" si="83"/>
        <v>0.17035726210350607</v>
      </c>
      <c r="I557" s="4">
        <f t="shared" si="84"/>
        <v>0</v>
      </c>
      <c r="J557" s="2" t="str">
        <f t="shared" si="85"/>
        <v/>
      </c>
      <c r="K557" s="2" t="str">
        <f t="shared" si="86"/>
        <v/>
      </c>
      <c r="L557" s="2" t="str">
        <f t="shared" si="87"/>
        <v/>
      </c>
    </row>
    <row r="558" spans="1:12">
      <c r="A558" s="2">
        <v>546</v>
      </c>
      <c r="B558" s="4">
        <v>0.193</v>
      </c>
      <c r="C558" s="4">
        <f t="shared" si="88"/>
        <v>9.2999999999999972E-2</v>
      </c>
      <c r="D558" s="4">
        <f t="shared" si="81"/>
        <v>1.5554284590900538</v>
      </c>
      <c r="E558" s="4">
        <f t="shared" si="82"/>
        <v>0.57467378325694207</v>
      </c>
      <c r="F558" s="4">
        <f t="shared" si="89"/>
        <v>0</v>
      </c>
      <c r="G558" s="4">
        <f t="shared" si="90"/>
        <v>0.55655717529215432</v>
      </c>
      <c r="H558" s="4">
        <f t="shared" si="83"/>
        <v>0.17035726210350607</v>
      </c>
      <c r="I558" s="4">
        <f t="shared" si="84"/>
        <v>0</v>
      </c>
      <c r="J558" s="2" t="str">
        <f t="shared" si="85"/>
        <v/>
      </c>
      <c r="K558" s="2" t="str">
        <f t="shared" si="86"/>
        <v/>
      </c>
      <c r="L558" s="2" t="str">
        <f t="shared" si="87"/>
        <v/>
      </c>
    </row>
    <row r="559" spans="1:12">
      <c r="A559" s="2">
        <v>547</v>
      </c>
      <c r="B559" s="4">
        <v>0.39200000000000002</v>
      </c>
      <c r="C559" s="4">
        <f t="shared" si="88"/>
        <v>0.19900000000000001</v>
      </c>
      <c r="D559" s="4">
        <f t="shared" si="81"/>
        <v>1.5554284590900538</v>
      </c>
      <c r="E559" s="4">
        <f t="shared" si="82"/>
        <v>0.57467378325694207</v>
      </c>
      <c r="F559" s="4">
        <f t="shared" si="89"/>
        <v>0</v>
      </c>
      <c r="G559" s="4">
        <f t="shared" si="90"/>
        <v>0.55655717529215432</v>
      </c>
      <c r="H559" s="4">
        <f t="shared" si="83"/>
        <v>0.17035726210350607</v>
      </c>
      <c r="I559" s="4">
        <f t="shared" si="84"/>
        <v>0</v>
      </c>
      <c r="J559" s="2" t="str">
        <f t="shared" si="85"/>
        <v/>
      </c>
      <c r="K559" s="2" t="str">
        <f t="shared" si="86"/>
        <v/>
      </c>
      <c r="L559" s="2" t="str">
        <f t="shared" si="87"/>
        <v/>
      </c>
    </row>
    <row r="560" spans="1:12">
      <c r="A560" s="2">
        <v>548</v>
      </c>
      <c r="B560" s="4">
        <v>0.27200000000000002</v>
      </c>
      <c r="C560" s="4">
        <f t="shared" si="88"/>
        <v>0.12</v>
      </c>
      <c r="D560" s="4">
        <f t="shared" si="81"/>
        <v>1.5554284590900538</v>
      </c>
      <c r="E560" s="4">
        <f t="shared" si="82"/>
        <v>0.57467378325694207</v>
      </c>
      <c r="F560" s="4">
        <f t="shared" si="89"/>
        <v>0</v>
      </c>
      <c r="G560" s="4">
        <f t="shared" si="90"/>
        <v>0.55655717529215432</v>
      </c>
      <c r="H560" s="4">
        <f t="shared" si="83"/>
        <v>0.17035726210350607</v>
      </c>
      <c r="I560" s="4">
        <f t="shared" si="84"/>
        <v>0</v>
      </c>
      <c r="J560" s="2" t="str">
        <f t="shared" si="85"/>
        <v/>
      </c>
      <c r="K560" s="2" t="str">
        <f t="shared" si="86"/>
        <v/>
      </c>
      <c r="L560" s="2" t="str">
        <f t="shared" si="87"/>
        <v/>
      </c>
    </row>
    <row r="561" spans="1:12">
      <c r="A561" s="2">
        <v>549</v>
      </c>
      <c r="B561" s="4">
        <v>0.314</v>
      </c>
      <c r="C561" s="4">
        <f t="shared" si="88"/>
        <v>4.1999999999999982E-2</v>
      </c>
      <c r="D561" s="4">
        <f t="shared" si="81"/>
        <v>1.5554284590900538</v>
      </c>
      <c r="E561" s="4">
        <f t="shared" si="82"/>
        <v>0.57467378325694207</v>
      </c>
      <c r="F561" s="4">
        <f t="shared" si="89"/>
        <v>0</v>
      </c>
      <c r="G561" s="4">
        <f t="shared" si="90"/>
        <v>0.55655717529215432</v>
      </c>
      <c r="H561" s="4">
        <f t="shared" si="83"/>
        <v>0.17035726210350607</v>
      </c>
      <c r="I561" s="4">
        <f t="shared" si="84"/>
        <v>0</v>
      </c>
      <c r="J561" s="2" t="str">
        <f t="shared" si="85"/>
        <v/>
      </c>
      <c r="K561" s="2" t="str">
        <f t="shared" si="86"/>
        <v/>
      </c>
      <c r="L561" s="2" t="str">
        <f t="shared" si="87"/>
        <v/>
      </c>
    </row>
    <row r="562" spans="1:12">
      <c r="A562" s="2">
        <v>550</v>
      </c>
      <c r="B562" s="4">
        <v>0.28199999999999997</v>
      </c>
      <c r="C562" s="4">
        <f t="shared" si="88"/>
        <v>3.2000000000000028E-2</v>
      </c>
      <c r="D562" s="4">
        <f t="shared" si="81"/>
        <v>1.5554284590900538</v>
      </c>
      <c r="E562" s="4">
        <f t="shared" si="82"/>
        <v>0.57467378325694207</v>
      </c>
      <c r="F562" s="4">
        <f t="shared" si="89"/>
        <v>0</v>
      </c>
      <c r="G562" s="4">
        <f t="shared" si="90"/>
        <v>0.55655717529215432</v>
      </c>
      <c r="H562" s="4">
        <f t="shared" si="83"/>
        <v>0.17035726210350607</v>
      </c>
      <c r="I562" s="4">
        <f t="shared" si="84"/>
        <v>0</v>
      </c>
      <c r="J562" s="2" t="str">
        <f t="shared" si="85"/>
        <v/>
      </c>
      <c r="K562" s="2" t="str">
        <f t="shared" si="86"/>
        <v/>
      </c>
      <c r="L562" s="2" t="str">
        <f t="shared" si="87"/>
        <v/>
      </c>
    </row>
    <row r="563" spans="1:12">
      <c r="A563" s="2">
        <v>551</v>
      </c>
      <c r="B563" s="4">
        <v>0.54400000000000004</v>
      </c>
      <c r="C563" s="4">
        <f t="shared" si="88"/>
        <v>0.26200000000000007</v>
      </c>
      <c r="D563" s="4">
        <f t="shared" si="81"/>
        <v>1.5554284590900538</v>
      </c>
      <c r="E563" s="4">
        <f t="shared" si="82"/>
        <v>0.57467378325694207</v>
      </c>
      <c r="F563" s="4">
        <f t="shared" si="89"/>
        <v>0</v>
      </c>
      <c r="G563" s="4">
        <f t="shared" si="90"/>
        <v>0.55655717529215432</v>
      </c>
      <c r="H563" s="4">
        <f t="shared" si="83"/>
        <v>0.17035726210350607</v>
      </c>
      <c r="I563" s="4">
        <f t="shared" si="84"/>
        <v>0</v>
      </c>
      <c r="J563" s="2" t="str">
        <f t="shared" si="85"/>
        <v/>
      </c>
      <c r="K563" s="2" t="str">
        <f t="shared" si="86"/>
        <v/>
      </c>
      <c r="L563" s="2" t="str">
        <f t="shared" si="87"/>
        <v/>
      </c>
    </row>
    <row r="564" spans="1:12">
      <c r="A564" s="2">
        <v>552</v>
      </c>
      <c r="B564" s="4">
        <v>0.60399999999999998</v>
      </c>
      <c r="C564" s="4">
        <f t="shared" si="88"/>
        <v>5.9999999999999942E-2</v>
      </c>
      <c r="D564" s="4">
        <f t="shared" si="81"/>
        <v>1.5554284590900538</v>
      </c>
      <c r="E564" s="4">
        <f t="shared" si="82"/>
        <v>0.57467378325694207</v>
      </c>
      <c r="F564" s="4">
        <f t="shared" si="89"/>
        <v>0</v>
      </c>
      <c r="G564" s="4">
        <f t="shared" si="90"/>
        <v>0.55655717529215432</v>
      </c>
      <c r="H564" s="4">
        <f t="shared" si="83"/>
        <v>0.17035726210350607</v>
      </c>
      <c r="I564" s="4">
        <f t="shared" si="84"/>
        <v>0</v>
      </c>
      <c r="J564" s="2" t="str">
        <f t="shared" si="85"/>
        <v/>
      </c>
      <c r="K564" s="2" t="str">
        <f t="shared" si="86"/>
        <v/>
      </c>
      <c r="L564" s="2" t="str">
        <f t="shared" si="87"/>
        <v/>
      </c>
    </row>
    <row r="565" spans="1:12">
      <c r="A565" s="2">
        <v>553</v>
      </c>
      <c r="B565" s="4">
        <v>0.26200000000000001</v>
      </c>
      <c r="C565" s="4">
        <f t="shared" si="88"/>
        <v>0.34199999999999997</v>
      </c>
      <c r="D565" s="4">
        <f t="shared" si="81"/>
        <v>1.5554284590900538</v>
      </c>
      <c r="E565" s="4">
        <f t="shared" si="82"/>
        <v>0.57467378325694207</v>
      </c>
      <c r="F565" s="4">
        <f t="shared" si="89"/>
        <v>0</v>
      </c>
      <c r="G565" s="4">
        <f t="shared" si="90"/>
        <v>0.55655717529215432</v>
      </c>
      <c r="H565" s="4">
        <f t="shared" si="83"/>
        <v>0.17035726210350607</v>
      </c>
      <c r="I565" s="4">
        <f t="shared" si="84"/>
        <v>0</v>
      </c>
      <c r="J565" s="2" t="str">
        <f t="shared" si="85"/>
        <v/>
      </c>
      <c r="K565" s="2" t="str">
        <f t="shared" si="86"/>
        <v/>
      </c>
      <c r="L565" s="2" t="str">
        <f t="shared" si="87"/>
        <v/>
      </c>
    </row>
    <row r="566" spans="1:12">
      <c r="A566" s="2">
        <v>554</v>
      </c>
      <c r="B566" s="4">
        <v>0.32900000000000001</v>
      </c>
      <c r="C566" s="4">
        <f t="shared" si="88"/>
        <v>6.7000000000000004E-2</v>
      </c>
      <c r="D566" s="4">
        <f t="shared" si="81"/>
        <v>1.5554284590900538</v>
      </c>
      <c r="E566" s="4">
        <f t="shared" si="82"/>
        <v>0.57467378325694207</v>
      </c>
      <c r="F566" s="4">
        <f t="shared" si="89"/>
        <v>0</v>
      </c>
      <c r="G566" s="4">
        <f t="shared" si="90"/>
        <v>0.55655717529215432</v>
      </c>
      <c r="H566" s="4">
        <f t="shared" si="83"/>
        <v>0.17035726210350607</v>
      </c>
      <c r="I566" s="4">
        <f t="shared" si="84"/>
        <v>0</v>
      </c>
      <c r="J566" s="2" t="str">
        <f t="shared" si="85"/>
        <v/>
      </c>
      <c r="K566" s="2" t="str">
        <f t="shared" si="86"/>
        <v/>
      </c>
      <c r="L566" s="2" t="str">
        <f t="shared" si="87"/>
        <v/>
      </c>
    </row>
    <row r="567" spans="1:12">
      <c r="A567" s="2">
        <v>555</v>
      </c>
      <c r="B567" s="4">
        <v>0.316</v>
      </c>
      <c r="C567" s="4">
        <f t="shared" si="88"/>
        <v>1.3000000000000012E-2</v>
      </c>
      <c r="D567" s="4">
        <f t="shared" si="81"/>
        <v>1.5554284590900538</v>
      </c>
      <c r="E567" s="4">
        <f t="shared" si="82"/>
        <v>0.57467378325694207</v>
      </c>
      <c r="F567" s="4">
        <f t="shared" si="89"/>
        <v>0</v>
      </c>
      <c r="G567" s="4">
        <f t="shared" si="90"/>
        <v>0.55655717529215432</v>
      </c>
      <c r="H567" s="4">
        <f t="shared" si="83"/>
        <v>0.17035726210350607</v>
      </c>
      <c r="I567" s="4">
        <f t="shared" si="84"/>
        <v>0</v>
      </c>
      <c r="J567" s="2" t="str">
        <f t="shared" si="85"/>
        <v/>
      </c>
      <c r="K567" s="2" t="str">
        <f t="shared" si="86"/>
        <v/>
      </c>
      <c r="L567" s="2" t="str">
        <f t="shared" si="87"/>
        <v/>
      </c>
    </row>
    <row r="568" spans="1:12">
      <c r="A568" s="2">
        <v>556</v>
      </c>
      <c r="B568" s="4">
        <v>0.39700000000000002</v>
      </c>
      <c r="C568" s="4">
        <f t="shared" si="88"/>
        <v>8.1000000000000016E-2</v>
      </c>
      <c r="D568" s="4">
        <f t="shared" si="81"/>
        <v>1.5554284590900538</v>
      </c>
      <c r="E568" s="4">
        <f t="shared" si="82"/>
        <v>0.57467378325694207</v>
      </c>
      <c r="F568" s="4">
        <f t="shared" si="89"/>
        <v>0</v>
      </c>
      <c r="G568" s="4">
        <f t="shared" si="90"/>
        <v>0.55655717529215432</v>
      </c>
      <c r="H568" s="4">
        <f t="shared" si="83"/>
        <v>0.17035726210350607</v>
      </c>
      <c r="I568" s="4">
        <f t="shared" si="84"/>
        <v>0</v>
      </c>
      <c r="J568" s="2" t="str">
        <f t="shared" si="85"/>
        <v/>
      </c>
      <c r="K568" s="2" t="str">
        <f t="shared" si="86"/>
        <v/>
      </c>
      <c r="L568" s="2" t="str">
        <f t="shared" si="87"/>
        <v/>
      </c>
    </row>
    <row r="569" spans="1:12">
      <c r="A569" s="2">
        <v>557</v>
      </c>
      <c r="B569" s="4">
        <v>0.35899999999999999</v>
      </c>
      <c r="C569" s="4">
        <f t="shared" si="88"/>
        <v>3.8000000000000034E-2</v>
      </c>
      <c r="D569" s="4">
        <f t="shared" si="81"/>
        <v>1.5554284590900538</v>
      </c>
      <c r="E569" s="4">
        <f t="shared" si="82"/>
        <v>0.57467378325694207</v>
      </c>
      <c r="F569" s="4">
        <f t="shared" si="89"/>
        <v>0</v>
      </c>
      <c r="G569" s="4">
        <f t="shared" si="90"/>
        <v>0.55655717529215432</v>
      </c>
      <c r="H569" s="4">
        <f t="shared" si="83"/>
        <v>0.17035726210350607</v>
      </c>
      <c r="I569" s="4">
        <f t="shared" si="84"/>
        <v>0</v>
      </c>
      <c r="J569" s="2" t="str">
        <f t="shared" si="85"/>
        <v/>
      </c>
      <c r="K569" s="2" t="str">
        <f t="shared" si="86"/>
        <v/>
      </c>
      <c r="L569" s="2" t="str">
        <f t="shared" si="87"/>
        <v/>
      </c>
    </row>
    <row r="570" spans="1:12">
      <c r="A570" s="2">
        <v>558</v>
      </c>
      <c r="B570" s="4">
        <v>0.36599999999999999</v>
      </c>
      <c r="C570" s="4">
        <f t="shared" si="88"/>
        <v>7.0000000000000062E-3</v>
      </c>
      <c r="D570" s="4">
        <f t="shared" si="81"/>
        <v>1.5554284590900538</v>
      </c>
      <c r="E570" s="4">
        <f t="shared" si="82"/>
        <v>0.57467378325694207</v>
      </c>
      <c r="F570" s="4">
        <f t="shared" si="89"/>
        <v>0</v>
      </c>
      <c r="G570" s="4">
        <f t="shared" si="90"/>
        <v>0.55655717529215432</v>
      </c>
      <c r="H570" s="4">
        <f t="shared" si="83"/>
        <v>0.17035726210350607</v>
      </c>
      <c r="I570" s="4">
        <f t="shared" si="84"/>
        <v>0</v>
      </c>
      <c r="J570" s="2" t="str">
        <f t="shared" si="85"/>
        <v/>
      </c>
      <c r="K570" s="2" t="str">
        <f t="shared" si="86"/>
        <v/>
      </c>
      <c r="L570" s="2" t="str">
        <f t="shared" si="87"/>
        <v/>
      </c>
    </row>
    <row r="571" spans="1:12">
      <c r="A571" s="2">
        <v>559</v>
      </c>
      <c r="B571" s="4">
        <v>0.24199999999999999</v>
      </c>
      <c r="C571" s="4">
        <f t="shared" si="88"/>
        <v>0.124</v>
      </c>
      <c r="D571" s="4">
        <f t="shared" si="81"/>
        <v>1.5554284590900538</v>
      </c>
      <c r="E571" s="4">
        <f t="shared" si="82"/>
        <v>0.57467378325694207</v>
      </c>
      <c r="F571" s="4">
        <f t="shared" si="89"/>
        <v>0</v>
      </c>
      <c r="G571" s="4">
        <f t="shared" si="90"/>
        <v>0.55655717529215432</v>
      </c>
      <c r="H571" s="4">
        <f t="shared" si="83"/>
        <v>0.17035726210350607</v>
      </c>
      <c r="I571" s="4">
        <f t="shared" si="84"/>
        <v>0</v>
      </c>
      <c r="J571" s="2" t="str">
        <f t="shared" si="85"/>
        <v/>
      </c>
      <c r="K571" s="2" t="str">
        <f t="shared" si="86"/>
        <v/>
      </c>
      <c r="L571" s="2" t="str">
        <f t="shared" si="87"/>
        <v/>
      </c>
    </row>
    <row r="572" spans="1:12">
      <c r="A572" s="2">
        <v>560</v>
      </c>
      <c r="B572" s="4">
        <v>0.30199999999999999</v>
      </c>
      <c r="C572" s="4">
        <f t="shared" si="88"/>
        <v>0.06</v>
      </c>
      <c r="D572" s="4">
        <f t="shared" si="81"/>
        <v>1.5554284590900538</v>
      </c>
      <c r="E572" s="4">
        <f t="shared" si="82"/>
        <v>0.57467378325694207</v>
      </c>
      <c r="F572" s="4">
        <f t="shared" si="89"/>
        <v>0</v>
      </c>
      <c r="G572" s="4">
        <f t="shared" si="90"/>
        <v>0.55655717529215432</v>
      </c>
      <c r="H572" s="4">
        <f t="shared" si="83"/>
        <v>0.17035726210350607</v>
      </c>
      <c r="I572" s="4">
        <f t="shared" si="84"/>
        <v>0</v>
      </c>
      <c r="J572" s="2" t="str">
        <f t="shared" si="85"/>
        <v/>
      </c>
      <c r="K572" s="2" t="str">
        <f t="shared" si="86"/>
        <v/>
      </c>
      <c r="L572" s="2" t="str">
        <f t="shared" si="87"/>
        <v/>
      </c>
    </row>
    <row r="573" spans="1:12">
      <c r="A573" s="2">
        <v>561</v>
      </c>
      <c r="B573" s="4">
        <v>0.33600000000000002</v>
      </c>
      <c r="C573" s="4">
        <f t="shared" si="88"/>
        <v>3.400000000000003E-2</v>
      </c>
      <c r="D573" s="4">
        <f t="shared" si="81"/>
        <v>1.5554284590900538</v>
      </c>
      <c r="E573" s="4">
        <f t="shared" si="82"/>
        <v>0.57467378325694207</v>
      </c>
      <c r="F573" s="4">
        <f t="shared" si="89"/>
        <v>0</v>
      </c>
      <c r="G573" s="4">
        <f t="shared" si="90"/>
        <v>0.55655717529215432</v>
      </c>
      <c r="H573" s="4">
        <f t="shared" si="83"/>
        <v>0.17035726210350607</v>
      </c>
      <c r="I573" s="4">
        <f t="shared" si="84"/>
        <v>0</v>
      </c>
      <c r="J573" s="2" t="str">
        <f t="shared" si="85"/>
        <v/>
      </c>
      <c r="K573" s="2" t="str">
        <f t="shared" si="86"/>
        <v/>
      </c>
      <c r="L573" s="2" t="str">
        <f t="shared" si="87"/>
        <v/>
      </c>
    </row>
    <row r="574" spans="1:12">
      <c r="A574" s="2">
        <v>562</v>
      </c>
      <c r="B574" s="4">
        <v>0.41699999999999998</v>
      </c>
      <c r="C574" s="4">
        <f t="shared" si="88"/>
        <v>8.0999999999999961E-2</v>
      </c>
      <c r="D574" s="4">
        <f t="shared" si="81"/>
        <v>1.5554284590900538</v>
      </c>
      <c r="E574" s="4">
        <f t="shared" si="82"/>
        <v>0.57467378325694207</v>
      </c>
      <c r="F574" s="4">
        <f t="shared" si="89"/>
        <v>0</v>
      </c>
      <c r="G574" s="4">
        <f t="shared" si="90"/>
        <v>0.55655717529215432</v>
      </c>
      <c r="H574" s="4">
        <f t="shared" si="83"/>
        <v>0.17035726210350607</v>
      </c>
      <c r="I574" s="4">
        <f t="shared" si="84"/>
        <v>0</v>
      </c>
      <c r="J574" s="2" t="str">
        <f t="shared" si="85"/>
        <v/>
      </c>
      <c r="K574" s="2" t="str">
        <f t="shared" si="86"/>
        <v/>
      </c>
      <c r="L574" s="2" t="str">
        <f t="shared" si="87"/>
        <v/>
      </c>
    </row>
    <row r="575" spans="1:12">
      <c r="A575" s="2">
        <v>563</v>
      </c>
      <c r="B575" s="4">
        <v>0.52500000000000002</v>
      </c>
      <c r="C575" s="4">
        <f t="shared" si="88"/>
        <v>0.10800000000000004</v>
      </c>
      <c r="D575" s="4">
        <f t="shared" si="81"/>
        <v>1.5554284590900538</v>
      </c>
      <c r="E575" s="4">
        <f t="shared" si="82"/>
        <v>0.57467378325694207</v>
      </c>
      <c r="F575" s="4">
        <f t="shared" si="89"/>
        <v>0</v>
      </c>
      <c r="G575" s="4">
        <f t="shared" si="90"/>
        <v>0.55655717529215432</v>
      </c>
      <c r="H575" s="4">
        <f t="shared" si="83"/>
        <v>0.17035726210350607</v>
      </c>
      <c r="I575" s="4">
        <f t="shared" si="84"/>
        <v>0</v>
      </c>
      <c r="J575" s="2" t="str">
        <f t="shared" si="85"/>
        <v/>
      </c>
      <c r="K575" s="2" t="str">
        <f t="shared" si="86"/>
        <v/>
      </c>
      <c r="L575" s="2" t="str">
        <f t="shared" si="87"/>
        <v/>
      </c>
    </row>
    <row r="576" spans="1:12">
      <c r="A576" s="2">
        <v>564</v>
      </c>
      <c r="B576" s="4">
        <v>0.46500000000000002</v>
      </c>
      <c r="C576" s="4">
        <f t="shared" si="88"/>
        <v>0.06</v>
      </c>
      <c r="D576" s="4">
        <f t="shared" si="81"/>
        <v>1.5554284590900538</v>
      </c>
      <c r="E576" s="4">
        <f t="shared" si="82"/>
        <v>0.57467378325694207</v>
      </c>
      <c r="F576" s="4">
        <f t="shared" si="89"/>
        <v>0</v>
      </c>
      <c r="G576" s="4">
        <f t="shared" si="90"/>
        <v>0.55655717529215432</v>
      </c>
      <c r="H576" s="4">
        <f t="shared" si="83"/>
        <v>0.17035726210350607</v>
      </c>
      <c r="I576" s="4">
        <f t="shared" si="84"/>
        <v>0</v>
      </c>
      <c r="J576" s="2" t="str">
        <f t="shared" si="85"/>
        <v/>
      </c>
      <c r="K576" s="2" t="str">
        <f t="shared" si="86"/>
        <v/>
      </c>
      <c r="L576" s="2" t="str">
        <f t="shared" si="87"/>
        <v/>
      </c>
    </row>
    <row r="577" spans="1:12">
      <c r="A577" s="2">
        <v>565</v>
      </c>
      <c r="B577" s="4">
        <v>0.48199999999999998</v>
      </c>
      <c r="C577" s="4">
        <f t="shared" si="88"/>
        <v>1.699999999999996E-2</v>
      </c>
      <c r="D577" s="4">
        <f t="shared" si="81"/>
        <v>1.5554284590900538</v>
      </c>
      <c r="E577" s="4">
        <f t="shared" si="82"/>
        <v>0.57467378325694207</v>
      </c>
      <c r="F577" s="4">
        <f t="shared" si="89"/>
        <v>0</v>
      </c>
      <c r="G577" s="4">
        <f t="shared" si="90"/>
        <v>0.55655717529215432</v>
      </c>
      <c r="H577" s="4">
        <f t="shared" si="83"/>
        <v>0.17035726210350607</v>
      </c>
      <c r="I577" s="4">
        <f t="shared" si="84"/>
        <v>0</v>
      </c>
      <c r="J577" s="2" t="str">
        <f t="shared" si="85"/>
        <v/>
      </c>
      <c r="K577" s="2" t="str">
        <f t="shared" si="86"/>
        <v/>
      </c>
      <c r="L577" s="2" t="str">
        <f t="shared" si="87"/>
        <v/>
      </c>
    </row>
    <row r="578" spans="1:12">
      <c r="A578" s="2">
        <v>566</v>
      </c>
      <c r="B578" s="4">
        <v>0.38300000000000001</v>
      </c>
      <c r="C578" s="4">
        <f t="shared" si="88"/>
        <v>9.8999999999999977E-2</v>
      </c>
      <c r="D578" s="4">
        <f t="shared" si="81"/>
        <v>1.5554284590900538</v>
      </c>
      <c r="E578" s="4">
        <f t="shared" si="82"/>
        <v>0.57467378325694207</v>
      </c>
      <c r="F578" s="4">
        <f t="shared" si="89"/>
        <v>0</v>
      </c>
      <c r="G578" s="4">
        <f t="shared" si="90"/>
        <v>0.55655717529215432</v>
      </c>
      <c r="H578" s="4">
        <f t="shared" si="83"/>
        <v>0.17035726210350607</v>
      </c>
      <c r="I578" s="4">
        <f t="shared" si="84"/>
        <v>0</v>
      </c>
      <c r="J578" s="2" t="str">
        <f t="shared" si="85"/>
        <v/>
      </c>
      <c r="K578" s="2" t="str">
        <f t="shared" si="86"/>
        <v/>
      </c>
      <c r="L578" s="2" t="str">
        <f t="shared" si="87"/>
        <v/>
      </c>
    </row>
    <row r="579" spans="1:12">
      <c r="A579" s="2">
        <v>567</v>
      </c>
      <c r="B579" s="4">
        <v>0.41499999999999998</v>
      </c>
      <c r="C579" s="4">
        <f t="shared" si="88"/>
        <v>3.1999999999999973E-2</v>
      </c>
      <c r="D579" s="4">
        <f t="shared" si="81"/>
        <v>1.5554284590900538</v>
      </c>
      <c r="E579" s="4">
        <f t="shared" si="82"/>
        <v>0.57467378325694207</v>
      </c>
      <c r="F579" s="4">
        <f t="shared" si="89"/>
        <v>0</v>
      </c>
      <c r="G579" s="4">
        <f t="shared" si="90"/>
        <v>0.55655717529215432</v>
      </c>
      <c r="H579" s="4">
        <f t="shared" si="83"/>
        <v>0.17035726210350607</v>
      </c>
      <c r="I579" s="4">
        <f t="shared" si="84"/>
        <v>0</v>
      </c>
      <c r="J579" s="2" t="str">
        <f t="shared" si="85"/>
        <v/>
      </c>
      <c r="K579" s="2" t="str">
        <f t="shared" si="86"/>
        <v/>
      </c>
      <c r="L579" s="2" t="str">
        <f t="shared" si="87"/>
        <v/>
      </c>
    </row>
    <row r="580" spans="1:12">
      <c r="A580" s="2">
        <v>568</v>
      </c>
      <c r="B580" s="4">
        <v>0.26300000000000001</v>
      </c>
      <c r="C580" s="4">
        <f t="shared" si="88"/>
        <v>0.15199999999999997</v>
      </c>
      <c r="D580" s="4">
        <f t="shared" si="81"/>
        <v>1.5554284590900538</v>
      </c>
      <c r="E580" s="4">
        <f t="shared" si="82"/>
        <v>0.57467378325694207</v>
      </c>
      <c r="F580" s="4">
        <f t="shared" si="89"/>
        <v>0</v>
      </c>
      <c r="G580" s="4">
        <f t="shared" si="90"/>
        <v>0.55655717529215432</v>
      </c>
      <c r="H580" s="4">
        <f t="shared" si="83"/>
        <v>0.17035726210350607</v>
      </c>
      <c r="I580" s="4">
        <f t="shared" si="84"/>
        <v>0</v>
      </c>
      <c r="J580" s="2" t="str">
        <f t="shared" si="85"/>
        <v/>
      </c>
      <c r="K580" s="2" t="str">
        <f t="shared" si="86"/>
        <v/>
      </c>
      <c r="L580" s="2" t="str">
        <f t="shared" si="87"/>
        <v/>
      </c>
    </row>
    <row r="581" spans="1:12">
      <c r="A581" s="2">
        <v>569</v>
      </c>
      <c r="B581" s="4">
        <v>0.19500000000000001</v>
      </c>
      <c r="C581" s="4">
        <f t="shared" si="88"/>
        <v>6.8000000000000005E-2</v>
      </c>
      <c r="D581" s="4">
        <f t="shared" si="81"/>
        <v>1.5554284590900538</v>
      </c>
      <c r="E581" s="4">
        <f t="shared" si="82"/>
        <v>0.57467378325694207</v>
      </c>
      <c r="F581" s="4">
        <f t="shared" si="89"/>
        <v>0</v>
      </c>
      <c r="G581" s="4">
        <f t="shared" si="90"/>
        <v>0.55655717529215432</v>
      </c>
      <c r="H581" s="4">
        <f t="shared" si="83"/>
        <v>0.17035726210350607</v>
      </c>
      <c r="I581" s="4">
        <f t="shared" si="84"/>
        <v>0</v>
      </c>
      <c r="J581" s="2" t="str">
        <f t="shared" si="85"/>
        <v/>
      </c>
      <c r="K581" s="2" t="str">
        <f t="shared" si="86"/>
        <v/>
      </c>
      <c r="L581" s="2" t="str">
        <f t="shared" si="87"/>
        <v/>
      </c>
    </row>
    <row r="582" spans="1:12">
      <c r="A582" s="2">
        <v>570</v>
      </c>
      <c r="B582" s="4">
        <v>0.39300000000000002</v>
      </c>
      <c r="C582" s="4">
        <f t="shared" si="88"/>
        <v>0.19800000000000001</v>
      </c>
      <c r="D582" s="4">
        <f t="shared" si="81"/>
        <v>1.5554284590900538</v>
      </c>
      <c r="E582" s="4">
        <f t="shared" si="82"/>
        <v>0.57467378325694207</v>
      </c>
      <c r="F582" s="4">
        <f t="shared" si="89"/>
        <v>0</v>
      </c>
      <c r="G582" s="4">
        <f t="shared" si="90"/>
        <v>0.55655717529215432</v>
      </c>
      <c r="H582" s="4">
        <f t="shared" si="83"/>
        <v>0.17035726210350607</v>
      </c>
      <c r="I582" s="4">
        <f t="shared" si="84"/>
        <v>0</v>
      </c>
      <c r="J582" s="2" t="str">
        <f t="shared" si="85"/>
        <v/>
      </c>
      <c r="K582" s="2" t="str">
        <f t="shared" si="86"/>
        <v/>
      </c>
      <c r="L582" s="2" t="str">
        <f t="shared" si="87"/>
        <v/>
      </c>
    </row>
    <row r="583" spans="1:12">
      <c r="A583" s="2">
        <v>571</v>
      </c>
      <c r="B583" s="4">
        <v>0.437</v>
      </c>
      <c r="C583" s="4">
        <f t="shared" si="88"/>
        <v>4.3999999999999984E-2</v>
      </c>
      <c r="D583" s="4">
        <f t="shared" si="81"/>
        <v>1.5554284590900538</v>
      </c>
      <c r="E583" s="4">
        <f t="shared" si="82"/>
        <v>0.57467378325694207</v>
      </c>
      <c r="F583" s="4">
        <f t="shared" si="89"/>
        <v>0</v>
      </c>
      <c r="G583" s="4">
        <f t="shared" si="90"/>
        <v>0.55655717529215432</v>
      </c>
      <c r="H583" s="4">
        <f t="shared" si="83"/>
        <v>0.17035726210350607</v>
      </c>
      <c r="I583" s="4">
        <f t="shared" si="84"/>
        <v>0</v>
      </c>
      <c r="J583" s="2" t="str">
        <f t="shared" si="85"/>
        <v/>
      </c>
      <c r="K583" s="2" t="str">
        <f t="shared" si="86"/>
        <v/>
      </c>
      <c r="L583" s="2" t="str">
        <f t="shared" si="87"/>
        <v/>
      </c>
    </row>
    <row r="584" spans="1:12">
      <c r="A584" s="2">
        <v>572</v>
      </c>
      <c r="B584" s="4">
        <v>0.26900000000000002</v>
      </c>
      <c r="C584" s="4">
        <f t="shared" si="88"/>
        <v>0.16799999999999998</v>
      </c>
      <c r="D584" s="4">
        <f t="shared" si="81"/>
        <v>1.5554284590900538</v>
      </c>
      <c r="E584" s="4">
        <f t="shared" si="82"/>
        <v>0.57467378325694207</v>
      </c>
      <c r="F584" s="4">
        <f t="shared" si="89"/>
        <v>0</v>
      </c>
      <c r="G584" s="4">
        <f t="shared" si="90"/>
        <v>0.55655717529215432</v>
      </c>
      <c r="H584" s="4">
        <f t="shared" si="83"/>
        <v>0.17035726210350607</v>
      </c>
      <c r="I584" s="4">
        <f t="shared" si="84"/>
        <v>0</v>
      </c>
      <c r="J584" s="2" t="str">
        <f t="shared" si="85"/>
        <v/>
      </c>
      <c r="K584" s="2" t="str">
        <f t="shared" si="86"/>
        <v/>
      </c>
      <c r="L584" s="2" t="str">
        <f t="shared" si="87"/>
        <v/>
      </c>
    </row>
    <row r="585" spans="1:12">
      <c r="A585" s="2">
        <v>573</v>
      </c>
      <c r="B585" s="4">
        <v>0.318</v>
      </c>
      <c r="C585" s="4">
        <f t="shared" si="88"/>
        <v>4.8999999999999988E-2</v>
      </c>
      <c r="D585" s="4">
        <f t="shared" si="81"/>
        <v>1.5554284590900538</v>
      </c>
      <c r="E585" s="4">
        <f t="shared" si="82"/>
        <v>0.57467378325694207</v>
      </c>
      <c r="F585" s="4">
        <f t="shared" si="89"/>
        <v>0</v>
      </c>
      <c r="G585" s="4">
        <f t="shared" si="90"/>
        <v>0.55655717529215432</v>
      </c>
      <c r="H585" s="4">
        <f t="shared" si="83"/>
        <v>0.17035726210350607</v>
      </c>
      <c r="I585" s="4">
        <f t="shared" si="84"/>
        <v>0</v>
      </c>
      <c r="J585" s="2" t="str">
        <f t="shared" si="85"/>
        <v/>
      </c>
      <c r="K585" s="2" t="str">
        <f t="shared" si="86"/>
        <v/>
      </c>
      <c r="L585" s="2" t="str">
        <f t="shared" si="87"/>
        <v/>
      </c>
    </row>
    <row r="586" spans="1:12">
      <c r="A586" s="2">
        <v>574</v>
      </c>
      <c r="B586" s="4">
        <v>0.33200000000000002</v>
      </c>
      <c r="C586" s="4">
        <f t="shared" si="88"/>
        <v>1.4000000000000012E-2</v>
      </c>
      <c r="D586" s="4">
        <f t="shared" si="81"/>
        <v>1.5554284590900538</v>
      </c>
      <c r="E586" s="4">
        <f t="shared" si="82"/>
        <v>0.57467378325694207</v>
      </c>
      <c r="F586" s="4">
        <f t="shared" si="89"/>
        <v>0</v>
      </c>
      <c r="G586" s="4">
        <f t="shared" si="90"/>
        <v>0.55655717529215432</v>
      </c>
      <c r="H586" s="4">
        <f t="shared" si="83"/>
        <v>0.17035726210350607</v>
      </c>
      <c r="I586" s="4">
        <f t="shared" si="84"/>
        <v>0</v>
      </c>
      <c r="J586" s="2" t="str">
        <f t="shared" si="85"/>
        <v/>
      </c>
      <c r="K586" s="2" t="str">
        <f t="shared" si="86"/>
        <v/>
      </c>
      <c r="L586" s="2" t="str">
        <f t="shared" si="87"/>
        <v/>
      </c>
    </row>
    <row r="587" spans="1:12">
      <c r="A587" s="2">
        <v>575</v>
      </c>
      <c r="B587" s="4">
        <v>0.47899999999999998</v>
      </c>
      <c r="C587" s="4">
        <f t="shared" si="88"/>
        <v>0.14699999999999996</v>
      </c>
      <c r="D587" s="4">
        <f t="shared" si="81"/>
        <v>1.5554284590900538</v>
      </c>
      <c r="E587" s="4">
        <f t="shared" si="82"/>
        <v>0.57467378325694207</v>
      </c>
      <c r="F587" s="4">
        <f t="shared" si="89"/>
        <v>0</v>
      </c>
      <c r="G587" s="4">
        <f t="shared" si="90"/>
        <v>0.55655717529215432</v>
      </c>
      <c r="H587" s="4">
        <f t="shared" si="83"/>
        <v>0.17035726210350607</v>
      </c>
      <c r="I587" s="4">
        <f t="shared" si="84"/>
        <v>0</v>
      </c>
      <c r="J587" s="2" t="str">
        <f t="shared" si="85"/>
        <v/>
      </c>
      <c r="K587" s="2" t="str">
        <f t="shared" si="86"/>
        <v/>
      </c>
      <c r="L587" s="2" t="str">
        <f t="shared" si="87"/>
        <v/>
      </c>
    </row>
    <row r="588" spans="1:12">
      <c r="A588" s="2">
        <v>576</v>
      </c>
      <c r="B588" s="4">
        <v>0.32100000000000001</v>
      </c>
      <c r="C588" s="4">
        <f t="shared" si="88"/>
        <v>0.15799999999999997</v>
      </c>
      <c r="D588" s="4">
        <f t="shared" si="81"/>
        <v>1.5554284590900538</v>
      </c>
      <c r="E588" s="4">
        <f t="shared" si="82"/>
        <v>0.57467378325694207</v>
      </c>
      <c r="F588" s="4">
        <f t="shared" si="89"/>
        <v>0</v>
      </c>
      <c r="G588" s="4">
        <f t="shared" si="90"/>
        <v>0.55655717529215432</v>
      </c>
      <c r="H588" s="4">
        <f t="shared" si="83"/>
        <v>0.17035726210350607</v>
      </c>
      <c r="I588" s="4">
        <f t="shared" si="84"/>
        <v>0</v>
      </c>
      <c r="J588" s="2" t="str">
        <f t="shared" si="85"/>
        <v/>
      </c>
      <c r="K588" s="2" t="str">
        <f t="shared" si="86"/>
        <v/>
      </c>
      <c r="L588" s="2" t="str">
        <f t="shared" si="87"/>
        <v/>
      </c>
    </row>
    <row r="589" spans="1:12">
      <c r="A589" s="2">
        <v>577</v>
      </c>
      <c r="B589" s="4">
        <v>0.624</v>
      </c>
      <c r="C589" s="4">
        <f t="shared" si="88"/>
        <v>0.30299999999999999</v>
      </c>
      <c r="D589" s="4">
        <f t="shared" ref="D589:D612" si="91">$G$13</f>
        <v>1.5554284590900538</v>
      </c>
      <c r="E589" s="4">
        <f t="shared" ref="E589:E612" si="92">$G$14</f>
        <v>0.57467378325694207</v>
      </c>
      <c r="F589" s="4">
        <f t="shared" si="89"/>
        <v>0</v>
      </c>
      <c r="G589" s="4">
        <f t="shared" si="90"/>
        <v>0.55655717529215432</v>
      </c>
      <c r="H589" s="4">
        <f t="shared" ref="H589:H612" si="93">$G$17</f>
        <v>0.17035726210350607</v>
      </c>
      <c r="I589" s="4">
        <f t="shared" ref="I589:I612" si="94">$G$18</f>
        <v>0</v>
      </c>
      <c r="J589" s="2" t="str">
        <f t="shared" ref="J589:J612" si="95">IF(OR(B589&gt;D589,B589&lt;F589),"Y","")</f>
        <v/>
      </c>
      <c r="K589" s="2" t="str">
        <f t="shared" ref="K589:K612" si="96">IF(AND(C589&lt;&gt;"",C589&gt;G589),"Y","")</f>
        <v/>
      </c>
      <c r="L589" s="2" t="str">
        <f t="shared" ref="L589:L612" si="97">IF(OR(B589&lt;$B$5,B589&gt;$D$5),"Y","")</f>
        <v/>
      </c>
    </row>
    <row r="590" spans="1:12">
      <c r="A590" s="2">
        <v>578</v>
      </c>
      <c r="B590" s="4">
        <v>0.52900000000000003</v>
      </c>
      <c r="C590" s="4">
        <f t="shared" ref="C590:C612" si="98">ABS(B590-B589)</f>
        <v>9.4999999999999973E-2</v>
      </c>
      <c r="D590" s="4">
        <f t="shared" si="91"/>
        <v>1.5554284590900538</v>
      </c>
      <c r="E590" s="4">
        <f t="shared" si="92"/>
        <v>0.57467378325694207</v>
      </c>
      <c r="F590" s="4">
        <f t="shared" si="89"/>
        <v>0</v>
      </c>
      <c r="G590" s="4">
        <f t="shared" si="90"/>
        <v>0.55655717529215432</v>
      </c>
      <c r="H590" s="4">
        <f t="shared" si="93"/>
        <v>0.17035726210350607</v>
      </c>
      <c r="I590" s="4">
        <f t="shared" si="94"/>
        <v>0</v>
      </c>
      <c r="J590" s="2" t="str">
        <f t="shared" si="95"/>
        <v/>
      </c>
      <c r="K590" s="2" t="str">
        <f t="shared" si="96"/>
        <v/>
      </c>
      <c r="L590" s="2" t="str">
        <f t="shared" si="97"/>
        <v/>
      </c>
    </row>
    <row r="591" spans="1:12">
      <c r="A591" s="2">
        <v>579</v>
      </c>
      <c r="B591" s="4">
        <v>0.34799999999999998</v>
      </c>
      <c r="C591" s="4">
        <f t="shared" si="98"/>
        <v>0.18100000000000005</v>
      </c>
      <c r="D591" s="4">
        <f t="shared" si="91"/>
        <v>1.5554284590900538</v>
      </c>
      <c r="E591" s="4">
        <f t="shared" si="92"/>
        <v>0.57467378325694207</v>
      </c>
      <c r="F591" s="4">
        <f t="shared" si="89"/>
        <v>0</v>
      </c>
      <c r="G591" s="4">
        <f t="shared" si="90"/>
        <v>0.55655717529215432</v>
      </c>
      <c r="H591" s="4">
        <f t="shared" si="93"/>
        <v>0.17035726210350607</v>
      </c>
      <c r="I591" s="4">
        <f t="shared" si="94"/>
        <v>0</v>
      </c>
      <c r="J591" s="2" t="str">
        <f t="shared" si="95"/>
        <v/>
      </c>
      <c r="K591" s="2" t="str">
        <f t="shared" si="96"/>
        <v/>
      </c>
      <c r="L591" s="2" t="str">
        <f t="shared" si="97"/>
        <v/>
      </c>
    </row>
    <row r="592" spans="1:12">
      <c r="A592" s="2">
        <v>580</v>
      </c>
      <c r="B592" s="4">
        <v>0.27400000000000002</v>
      </c>
      <c r="C592" s="4">
        <f t="shared" si="98"/>
        <v>7.3999999999999955E-2</v>
      </c>
      <c r="D592" s="4">
        <f t="shared" si="91"/>
        <v>1.5554284590900538</v>
      </c>
      <c r="E592" s="4">
        <f t="shared" si="92"/>
        <v>0.57467378325694207</v>
      </c>
      <c r="F592" s="4">
        <f t="shared" ref="F592:F612" si="99">$G$15</f>
        <v>0</v>
      </c>
      <c r="G592" s="4">
        <f t="shared" si="90"/>
        <v>0.55655717529215432</v>
      </c>
      <c r="H592" s="4">
        <f t="shared" si="93"/>
        <v>0.17035726210350607</v>
      </c>
      <c r="I592" s="4">
        <f t="shared" si="94"/>
        <v>0</v>
      </c>
      <c r="J592" s="2" t="str">
        <f t="shared" si="95"/>
        <v/>
      </c>
      <c r="K592" s="2" t="str">
        <f t="shared" si="96"/>
        <v/>
      </c>
      <c r="L592" s="2" t="str">
        <f t="shared" si="97"/>
        <v/>
      </c>
    </row>
    <row r="593" spans="1:12">
      <c r="A593" s="2">
        <v>581</v>
      </c>
      <c r="B593" s="4">
        <v>0.311</v>
      </c>
      <c r="C593" s="4">
        <f t="shared" si="98"/>
        <v>3.6999999999999977E-2</v>
      </c>
      <c r="D593" s="4">
        <f t="shared" si="91"/>
        <v>1.5554284590900538</v>
      </c>
      <c r="E593" s="4">
        <f t="shared" si="92"/>
        <v>0.57467378325694207</v>
      </c>
      <c r="F593" s="4">
        <f t="shared" si="99"/>
        <v>0</v>
      </c>
      <c r="G593" s="4">
        <f t="shared" si="90"/>
        <v>0.55655717529215432</v>
      </c>
      <c r="H593" s="4">
        <f t="shared" si="93"/>
        <v>0.17035726210350607</v>
      </c>
      <c r="I593" s="4">
        <f t="shared" si="94"/>
        <v>0</v>
      </c>
      <c r="J593" s="2" t="str">
        <f t="shared" si="95"/>
        <v/>
      </c>
      <c r="K593" s="2" t="str">
        <f t="shared" si="96"/>
        <v/>
      </c>
      <c r="L593" s="2" t="str">
        <f t="shared" si="97"/>
        <v/>
      </c>
    </row>
    <row r="594" spans="1:12">
      <c r="A594" s="2">
        <v>582</v>
      </c>
      <c r="B594" s="4">
        <v>0.40300000000000002</v>
      </c>
      <c r="C594" s="4">
        <f t="shared" si="98"/>
        <v>9.2000000000000026E-2</v>
      </c>
      <c r="D594" s="4">
        <f t="shared" si="91"/>
        <v>1.5554284590900538</v>
      </c>
      <c r="E594" s="4">
        <f t="shared" si="92"/>
        <v>0.57467378325694207</v>
      </c>
      <c r="F594" s="4">
        <f t="shared" si="99"/>
        <v>0</v>
      </c>
      <c r="G594" s="4">
        <f t="shared" si="90"/>
        <v>0.55655717529215432</v>
      </c>
      <c r="H594" s="4">
        <f t="shared" si="93"/>
        <v>0.17035726210350607</v>
      </c>
      <c r="I594" s="4">
        <f t="shared" si="94"/>
        <v>0</v>
      </c>
      <c r="J594" s="2" t="str">
        <f t="shared" si="95"/>
        <v/>
      </c>
      <c r="K594" s="2" t="str">
        <f t="shared" si="96"/>
        <v/>
      </c>
      <c r="L594" s="2" t="str">
        <f t="shared" si="97"/>
        <v/>
      </c>
    </row>
    <row r="595" spans="1:12">
      <c r="A595" s="2">
        <v>583</v>
      </c>
      <c r="B595" s="4">
        <v>0.40899999999999997</v>
      </c>
      <c r="C595" s="4">
        <f t="shared" si="98"/>
        <v>5.9999999999999498E-3</v>
      </c>
      <c r="D595" s="4">
        <f t="shared" si="91"/>
        <v>1.5554284590900538</v>
      </c>
      <c r="E595" s="4">
        <f t="shared" si="92"/>
        <v>0.57467378325694207</v>
      </c>
      <c r="F595" s="4">
        <f t="shared" si="99"/>
        <v>0</v>
      </c>
      <c r="G595" s="4">
        <f t="shared" ref="G595:G612" si="100">$G$16</f>
        <v>0.55655717529215432</v>
      </c>
      <c r="H595" s="4">
        <f t="shared" si="93"/>
        <v>0.17035726210350607</v>
      </c>
      <c r="I595" s="4">
        <f t="shared" si="94"/>
        <v>0</v>
      </c>
      <c r="J595" s="2" t="str">
        <f t="shared" si="95"/>
        <v/>
      </c>
      <c r="K595" s="2" t="str">
        <f t="shared" si="96"/>
        <v/>
      </c>
      <c r="L595" s="2" t="str">
        <f t="shared" si="97"/>
        <v/>
      </c>
    </row>
    <row r="596" spans="1:12">
      <c r="A596" s="2">
        <v>584</v>
      </c>
      <c r="B596" s="4">
        <v>0.47599999999999998</v>
      </c>
      <c r="C596" s="4">
        <f t="shared" si="98"/>
        <v>6.7000000000000004E-2</v>
      </c>
      <c r="D596" s="4">
        <f t="shared" si="91"/>
        <v>1.5554284590900538</v>
      </c>
      <c r="E596" s="4">
        <f t="shared" si="92"/>
        <v>0.57467378325694207</v>
      </c>
      <c r="F596" s="4">
        <f t="shared" si="99"/>
        <v>0</v>
      </c>
      <c r="G596" s="4">
        <f t="shared" si="100"/>
        <v>0.55655717529215432</v>
      </c>
      <c r="H596" s="4">
        <f t="shared" si="93"/>
        <v>0.17035726210350607</v>
      </c>
      <c r="I596" s="4">
        <f t="shared" si="94"/>
        <v>0</v>
      </c>
      <c r="J596" s="2" t="str">
        <f t="shared" si="95"/>
        <v/>
      </c>
      <c r="K596" s="2" t="str">
        <f t="shared" si="96"/>
        <v/>
      </c>
      <c r="L596" s="2" t="str">
        <f t="shared" si="97"/>
        <v/>
      </c>
    </row>
    <row r="597" spans="1:12">
      <c r="A597" s="2">
        <v>585</v>
      </c>
      <c r="B597" s="4">
        <v>0.55900000000000005</v>
      </c>
      <c r="C597" s="4">
        <f t="shared" si="98"/>
        <v>8.3000000000000074E-2</v>
      </c>
      <c r="D597" s="4">
        <f t="shared" si="91"/>
        <v>1.5554284590900538</v>
      </c>
      <c r="E597" s="4">
        <f t="shared" si="92"/>
        <v>0.57467378325694207</v>
      </c>
      <c r="F597" s="4">
        <f t="shared" si="99"/>
        <v>0</v>
      </c>
      <c r="G597" s="4">
        <f t="shared" si="100"/>
        <v>0.55655717529215432</v>
      </c>
      <c r="H597" s="4">
        <f t="shared" si="93"/>
        <v>0.17035726210350607</v>
      </c>
      <c r="I597" s="4">
        <f t="shared" si="94"/>
        <v>0</v>
      </c>
      <c r="J597" s="2" t="str">
        <f t="shared" si="95"/>
        <v/>
      </c>
      <c r="K597" s="2" t="str">
        <f t="shared" si="96"/>
        <v/>
      </c>
      <c r="L597" s="2" t="str">
        <f t="shared" si="97"/>
        <v/>
      </c>
    </row>
    <row r="598" spans="1:12">
      <c r="A598" s="2">
        <v>586</v>
      </c>
      <c r="B598" s="4">
        <v>0.14199999999999999</v>
      </c>
      <c r="C598" s="4">
        <f t="shared" si="98"/>
        <v>0.41700000000000004</v>
      </c>
      <c r="D598" s="4">
        <f t="shared" si="91"/>
        <v>1.5554284590900538</v>
      </c>
      <c r="E598" s="4">
        <f t="shared" si="92"/>
        <v>0.57467378325694207</v>
      </c>
      <c r="F598" s="4">
        <f t="shared" si="99"/>
        <v>0</v>
      </c>
      <c r="G598" s="4">
        <f t="shared" si="100"/>
        <v>0.55655717529215432</v>
      </c>
      <c r="H598" s="4">
        <f t="shared" si="93"/>
        <v>0.17035726210350607</v>
      </c>
      <c r="I598" s="4">
        <f t="shared" si="94"/>
        <v>0</v>
      </c>
      <c r="J598" s="2" t="str">
        <f t="shared" si="95"/>
        <v/>
      </c>
      <c r="K598" s="2" t="str">
        <f t="shared" si="96"/>
        <v/>
      </c>
      <c r="L598" s="2" t="str">
        <f t="shared" si="97"/>
        <v/>
      </c>
    </row>
    <row r="599" spans="1:12">
      <c r="A599" s="2">
        <v>587</v>
      </c>
      <c r="B599" s="4">
        <v>0.33900000000000002</v>
      </c>
      <c r="C599" s="4">
        <f t="shared" si="98"/>
        <v>0.19700000000000004</v>
      </c>
      <c r="D599" s="4">
        <f t="shared" si="91"/>
        <v>1.5554284590900538</v>
      </c>
      <c r="E599" s="4">
        <f t="shared" si="92"/>
        <v>0.57467378325694207</v>
      </c>
      <c r="F599" s="4">
        <f t="shared" si="99"/>
        <v>0</v>
      </c>
      <c r="G599" s="4">
        <f t="shared" si="100"/>
        <v>0.55655717529215432</v>
      </c>
      <c r="H599" s="4">
        <f t="shared" si="93"/>
        <v>0.17035726210350607</v>
      </c>
      <c r="I599" s="4">
        <f t="shared" si="94"/>
        <v>0</v>
      </c>
      <c r="J599" s="2" t="str">
        <f t="shared" si="95"/>
        <v/>
      </c>
      <c r="K599" s="2" t="str">
        <f t="shared" si="96"/>
        <v/>
      </c>
      <c r="L599" s="2" t="str">
        <f t="shared" si="97"/>
        <v/>
      </c>
    </row>
    <row r="600" spans="1:12">
      <c r="A600" s="2">
        <v>588</v>
      </c>
      <c r="B600" s="4">
        <v>0.30199999999999999</v>
      </c>
      <c r="C600" s="4">
        <f t="shared" si="98"/>
        <v>3.7000000000000033E-2</v>
      </c>
      <c r="D600" s="4">
        <f t="shared" si="91"/>
        <v>1.5554284590900538</v>
      </c>
      <c r="E600" s="4">
        <f t="shared" si="92"/>
        <v>0.57467378325694207</v>
      </c>
      <c r="F600" s="4">
        <f t="shared" si="99"/>
        <v>0</v>
      </c>
      <c r="G600" s="4">
        <f t="shared" si="100"/>
        <v>0.55655717529215432</v>
      </c>
      <c r="H600" s="4">
        <f t="shared" si="93"/>
        <v>0.17035726210350607</v>
      </c>
      <c r="I600" s="4">
        <f t="shared" si="94"/>
        <v>0</v>
      </c>
      <c r="J600" s="2" t="str">
        <f t="shared" si="95"/>
        <v/>
      </c>
      <c r="K600" s="2" t="str">
        <f t="shared" si="96"/>
        <v/>
      </c>
      <c r="L600" s="2" t="str">
        <f t="shared" si="97"/>
        <v/>
      </c>
    </row>
    <row r="601" spans="1:12">
      <c r="A601" s="2">
        <v>589</v>
      </c>
      <c r="B601" s="4">
        <v>0.20399999999999999</v>
      </c>
      <c r="C601" s="4">
        <f t="shared" si="98"/>
        <v>9.8000000000000004E-2</v>
      </c>
      <c r="D601" s="4">
        <f t="shared" si="91"/>
        <v>1.5554284590900538</v>
      </c>
      <c r="E601" s="4">
        <f t="shared" si="92"/>
        <v>0.57467378325694207</v>
      </c>
      <c r="F601" s="4">
        <f t="shared" si="99"/>
        <v>0</v>
      </c>
      <c r="G601" s="4">
        <f t="shared" si="100"/>
        <v>0.55655717529215432</v>
      </c>
      <c r="H601" s="4">
        <f t="shared" si="93"/>
        <v>0.17035726210350607</v>
      </c>
      <c r="I601" s="4">
        <f t="shared" si="94"/>
        <v>0</v>
      </c>
      <c r="J601" s="2" t="str">
        <f t="shared" si="95"/>
        <v/>
      </c>
      <c r="K601" s="2" t="str">
        <f t="shared" si="96"/>
        <v/>
      </c>
      <c r="L601" s="2" t="str">
        <f t="shared" si="97"/>
        <v/>
      </c>
    </row>
    <row r="602" spans="1:12">
      <c r="A602" s="2">
        <v>590</v>
      </c>
      <c r="B602" s="4">
        <v>0.25700000000000001</v>
      </c>
      <c r="C602" s="4">
        <f t="shared" si="98"/>
        <v>5.3000000000000019E-2</v>
      </c>
      <c r="D602" s="4">
        <f t="shared" si="91"/>
        <v>1.5554284590900538</v>
      </c>
      <c r="E602" s="4">
        <f t="shared" si="92"/>
        <v>0.57467378325694207</v>
      </c>
      <c r="F602" s="4">
        <f t="shared" si="99"/>
        <v>0</v>
      </c>
      <c r="G602" s="4">
        <f t="shared" si="100"/>
        <v>0.55655717529215432</v>
      </c>
      <c r="H602" s="4">
        <f t="shared" si="93"/>
        <v>0.17035726210350607</v>
      </c>
      <c r="I602" s="4">
        <f t="shared" si="94"/>
        <v>0</v>
      </c>
      <c r="J602" s="2" t="str">
        <f t="shared" si="95"/>
        <v/>
      </c>
      <c r="K602" s="2" t="str">
        <f t="shared" si="96"/>
        <v/>
      </c>
      <c r="L602" s="2" t="str">
        <f t="shared" si="97"/>
        <v/>
      </c>
    </row>
    <row r="603" spans="1:12">
      <c r="A603" s="2">
        <v>591</v>
      </c>
      <c r="B603" s="4">
        <v>0.29799999999999999</v>
      </c>
      <c r="C603" s="4">
        <f t="shared" si="98"/>
        <v>4.0999999999999981E-2</v>
      </c>
      <c r="D603" s="4">
        <f t="shared" si="91"/>
        <v>1.5554284590900538</v>
      </c>
      <c r="E603" s="4">
        <f t="shared" si="92"/>
        <v>0.57467378325694207</v>
      </c>
      <c r="F603" s="4">
        <f t="shared" si="99"/>
        <v>0</v>
      </c>
      <c r="G603" s="4">
        <f t="shared" si="100"/>
        <v>0.55655717529215432</v>
      </c>
      <c r="H603" s="4">
        <f t="shared" si="93"/>
        <v>0.17035726210350607</v>
      </c>
      <c r="I603" s="4">
        <f t="shared" si="94"/>
        <v>0</v>
      </c>
      <c r="J603" s="2" t="str">
        <f t="shared" si="95"/>
        <v/>
      </c>
      <c r="K603" s="2" t="str">
        <f t="shared" si="96"/>
        <v/>
      </c>
      <c r="L603" s="2" t="str">
        <f t="shared" si="97"/>
        <v/>
      </c>
    </row>
    <row r="604" spans="1:12">
      <c r="A604" s="2">
        <v>592</v>
      </c>
      <c r="B604" s="4">
        <v>0.26</v>
      </c>
      <c r="C604" s="4">
        <f t="shared" si="98"/>
        <v>3.7999999999999978E-2</v>
      </c>
      <c r="D604" s="4">
        <f t="shared" si="91"/>
        <v>1.5554284590900538</v>
      </c>
      <c r="E604" s="4">
        <f t="shared" si="92"/>
        <v>0.57467378325694207</v>
      </c>
      <c r="F604" s="4">
        <f t="shared" si="99"/>
        <v>0</v>
      </c>
      <c r="G604" s="4">
        <f t="shared" si="100"/>
        <v>0.55655717529215432</v>
      </c>
      <c r="H604" s="4">
        <f t="shared" si="93"/>
        <v>0.17035726210350607</v>
      </c>
      <c r="I604" s="4">
        <f t="shared" si="94"/>
        <v>0</v>
      </c>
      <c r="J604" s="2" t="str">
        <f t="shared" si="95"/>
        <v/>
      </c>
      <c r="K604" s="2" t="str">
        <f t="shared" si="96"/>
        <v/>
      </c>
      <c r="L604" s="2" t="str">
        <f t="shared" si="97"/>
        <v/>
      </c>
    </row>
    <row r="605" spans="1:12">
      <c r="A605" s="2">
        <v>593</v>
      </c>
      <c r="B605" s="4">
        <v>0.34599999999999997</v>
      </c>
      <c r="C605" s="4">
        <f t="shared" si="98"/>
        <v>8.5999999999999965E-2</v>
      </c>
      <c r="D605" s="4">
        <f t="shared" si="91"/>
        <v>1.5554284590900538</v>
      </c>
      <c r="E605" s="4">
        <f t="shared" si="92"/>
        <v>0.57467378325694207</v>
      </c>
      <c r="F605" s="4">
        <f t="shared" si="99"/>
        <v>0</v>
      </c>
      <c r="G605" s="4">
        <f t="shared" si="100"/>
        <v>0.55655717529215432</v>
      </c>
      <c r="H605" s="4">
        <f t="shared" si="93"/>
        <v>0.17035726210350607</v>
      </c>
      <c r="I605" s="4">
        <f t="shared" si="94"/>
        <v>0</v>
      </c>
      <c r="J605" s="2" t="str">
        <f t="shared" si="95"/>
        <v/>
      </c>
      <c r="K605" s="2" t="str">
        <f t="shared" si="96"/>
        <v/>
      </c>
      <c r="L605" s="2" t="str">
        <f t="shared" si="97"/>
        <v/>
      </c>
    </row>
    <row r="606" spans="1:12">
      <c r="A606" s="2">
        <v>594</v>
      </c>
      <c r="B606" s="4">
        <v>0.312</v>
      </c>
      <c r="C606" s="4">
        <f t="shared" si="98"/>
        <v>3.3999999999999975E-2</v>
      </c>
      <c r="D606" s="4">
        <f t="shared" si="91"/>
        <v>1.5554284590900538</v>
      </c>
      <c r="E606" s="4">
        <f t="shared" si="92"/>
        <v>0.57467378325694207</v>
      </c>
      <c r="F606" s="4">
        <f t="shared" si="99"/>
        <v>0</v>
      </c>
      <c r="G606" s="4">
        <f t="shared" si="100"/>
        <v>0.55655717529215432</v>
      </c>
      <c r="H606" s="4">
        <f t="shared" si="93"/>
        <v>0.17035726210350607</v>
      </c>
      <c r="I606" s="4">
        <f t="shared" si="94"/>
        <v>0</v>
      </c>
      <c r="J606" s="2" t="str">
        <f t="shared" si="95"/>
        <v/>
      </c>
      <c r="K606" s="2" t="str">
        <f t="shared" si="96"/>
        <v/>
      </c>
      <c r="L606" s="2" t="str">
        <f t="shared" si="97"/>
        <v/>
      </c>
    </row>
    <row r="607" spans="1:12">
      <c r="A607" s="2">
        <v>595</v>
      </c>
      <c r="B607" s="4">
        <v>0.41799999999999998</v>
      </c>
      <c r="C607" s="4">
        <f t="shared" si="98"/>
        <v>0.10599999999999998</v>
      </c>
      <c r="D607" s="4">
        <f t="shared" si="91"/>
        <v>1.5554284590900538</v>
      </c>
      <c r="E607" s="4">
        <f t="shared" si="92"/>
        <v>0.57467378325694207</v>
      </c>
      <c r="F607" s="4">
        <f t="shared" si="99"/>
        <v>0</v>
      </c>
      <c r="G607" s="4">
        <f t="shared" si="100"/>
        <v>0.55655717529215432</v>
      </c>
      <c r="H607" s="4">
        <f t="shared" si="93"/>
        <v>0.17035726210350607</v>
      </c>
      <c r="I607" s="4">
        <f t="shared" si="94"/>
        <v>0</v>
      </c>
      <c r="J607" s="2" t="str">
        <f t="shared" si="95"/>
        <v/>
      </c>
      <c r="K607" s="2" t="str">
        <f t="shared" si="96"/>
        <v/>
      </c>
      <c r="L607" s="2" t="str">
        <f t="shared" si="97"/>
        <v/>
      </c>
    </row>
    <row r="608" spans="1:12">
      <c r="A608" s="2">
        <v>596</v>
      </c>
      <c r="B608" s="4">
        <v>0.46100000000000002</v>
      </c>
      <c r="C608" s="4">
        <f t="shared" si="98"/>
        <v>4.3000000000000038E-2</v>
      </c>
      <c r="D608" s="4">
        <f t="shared" si="91"/>
        <v>1.5554284590900538</v>
      </c>
      <c r="E608" s="4">
        <f t="shared" si="92"/>
        <v>0.57467378325694207</v>
      </c>
      <c r="F608" s="4">
        <f t="shared" si="99"/>
        <v>0</v>
      </c>
      <c r="G608" s="4">
        <f t="shared" si="100"/>
        <v>0.55655717529215432</v>
      </c>
      <c r="H608" s="4">
        <f t="shared" si="93"/>
        <v>0.17035726210350607</v>
      </c>
      <c r="I608" s="4">
        <f t="shared" si="94"/>
        <v>0</v>
      </c>
      <c r="J608" s="2" t="str">
        <f t="shared" si="95"/>
        <v/>
      </c>
      <c r="K608" s="2" t="str">
        <f t="shared" si="96"/>
        <v/>
      </c>
      <c r="L608" s="2" t="str">
        <f t="shared" si="97"/>
        <v/>
      </c>
    </row>
    <row r="609" spans="1:12">
      <c r="A609" s="2">
        <v>597</v>
      </c>
      <c r="B609" s="4">
        <v>0.41699999999999998</v>
      </c>
      <c r="C609" s="4">
        <f t="shared" si="98"/>
        <v>4.4000000000000039E-2</v>
      </c>
      <c r="D609" s="4">
        <f t="shared" si="91"/>
        <v>1.5554284590900538</v>
      </c>
      <c r="E609" s="4">
        <f t="shared" si="92"/>
        <v>0.57467378325694207</v>
      </c>
      <c r="F609" s="4">
        <f t="shared" si="99"/>
        <v>0</v>
      </c>
      <c r="G609" s="4">
        <f t="shared" si="100"/>
        <v>0.55655717529215432</v>
      </c>
      <c r="H609" s="4">
        <f t="shared" si="93"/>
        <v>0.17035726210350607</v>
      </c>
      <c r="I609" s="4">
        <f t="shared" si="94"/>
        <v>0</v>
      </c>
      <c r="J609" s="2" t="str">
        <f t="shared" si="95"/>
        <v/>
      </c>
      <c r="K609" s="2" t="str">
        <f t="shared" si="96"/>
        <v/>
      </c>
      <c r="L609" s="2" t="str">
        <f t="shared" si="97"/>
        <v/>
      </c>
    </row>
    <row r="610" spans="1:12">
      <c r="A610" s="2">
        <v>598</v>
      </c>
      <c r="B610" s="4">
        <v>0.39400000000000002</v>
      </c>
      <c r="C610" s="4">
        <f t="shared" si="98"/>
        <v>2.2999999999999965E-2</v>
      </c>
      <c r="D610" s="4">
        <f t="shared" si="91"/>
        <v>1.5554284590900538</v>
      </c>
      <c r="E610" s="4">
        <f t="shared" si="92"/>
        <v>0.57467378325694207</v>
      </c>
      <c r="F610" s="4">
        <f t="shared" si="99"/>
        <v>0</v>
      </c>
      <c r="G610" s="4">
        <f t="shared" si="100"/>
        <v>0.55655717529215432</v>
      </c>
      <c r="H610" s="4">
        <f t="shared" si="93"/>
        <v>0.17035726210350607</v>
      </c>
      <c r="I610" s="4">
        <f t="shared" si="94"/>
        <v>0</v>
      </c>
      <c r="J610" s="2" t="str">
        <f t="shared" si="95"/>
        <v/>
      </c>
      <c r="K610" s="2" t="str">
        <f t="shared" si="96"/>
        <v/>
      </c>
      <c r="L610" s="2" t="str">
        <f t="shared" si="97"/>
        <v/>
      </c>
    </row>
    <row r="611" spans="1:12">
      <c r="A611" s="2">
        <v>599</v>
      </c>
      <c r="B611" s="4">
        <v>0.223</v>
      </c>
      <c r="C611" s="4">
        <f t="shared" si="98"/>
        <v>0.17100000000000001</v>
      </c>
      <c r="D611" s="4">
        <f t="shared" si="91"/>
        <v>1.5554284590900538</v>
      </c>
      <c r="E611" s="4">
        <f t="shared" si="92"/>
        <v>0.57467378325694207</v>
      </c>
      <c r="F611" s="4">
        <f t="shared" si="99"/>
        <v>0</v>
      </c>
      <c r="G611" s="4">
        <f t="shared" si="100"/>
        <v>0.55655717529215432</v>
      </c>
      <c r="H611" s="4">
        <f t="shared" si="93"/>
        <v>0.17035726210350607</v>
      </c>
      <c r="I611" s="4">
        <f t="shared" si="94"/>
        <v>0</v>
      </c>
      <c r="J611" s="2" t="str">
        <f t="shared" si="95"/>
        <v/>
      </c>
      <c r="K611" s="2" t="str">
        <f t="shared" si="96"/>
        <v/>
      </c>
      <c r="L611" s="2" t="str">
        <f t="shared" si="97"/>
        <v/>
      </c>
    </row>
    <row r="612" spans="1:12">
      <c r="A612" s="2">
        <v>600</v>
      </c>
      <c r="B612" s="4">
        <v>0.44</v>
      </c>
      <c r="C612" s="4">
        <f t="shared" si="98"/>
        <v>0.217</v>
      </c>
      <c r="D612" s="4">
        <f t="shared" si="91"/>
        <v>1.5554284590900538</v>
      </c>
      <c r="E612" s="4">
        <f t="shared" si="92"/>
        <v>0.57467378325694207</v>
      </c>
      <c r="F612" s="4">
        <f t="shared" si="99"/>
        <v>0</v>
      </c>
      <c r="G612" s="4">
        <f t="shared" si="100"/>
        <v>0.55655717529215432</v>
      </c>
      <c r="H612" s="4">
        <f t="shared" si="93"/>
        <v>0.17035726210350607</v>
      </c>
      <c r="I612" s="4">
        <f t="shared" si="94"/>
        <v>0</v>
      </c>
      <c r="J612" s="2" t="str">
        <f t="shared" si="95"/>
        <v/>
      </c>
      <c r="K612" s="2" t="str">
        <f t="shared" si="96"/>
        <v/>
      </c>
      <c r="L612" s="2" t="str">
        <f t="shared" si="97"/>
        <v/>
      </c>
    </row>
  </sheetData>
  <mergeCells count="4">
    <mergeCell ref="A2:L4"/>
    <mergeCell ref="A1:L1"/>
    <mergeCell ref="F5:G5"/>
    <mergeCell ref="I5:J5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MR12-03(004)總結報告</vt:lpstr>
      <vt:lpstr>Summary</vt:lpstr>
      <vt:lpstr>Settings</vt:lpstr>
      <vt:lpstr>Raw_Data</vt:lpstr>
      <vt:lpstr>AOI_u_Laney</vt:lpstr>
      <vt:lpstr>Thickness_IMR</vt:lpstr>
      <vt:lpstr>TTV_IMR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2026-02-06T05:40:23Z</dcterms:created>
  <dcterms:modified xsi:type="dcterms:W3CDTF">2026-02-11T09:01:32Z</dcterms:modified>
</cp:coreProperties>
</file>