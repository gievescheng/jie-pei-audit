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三階文件\"/>
    </mc:Choice>
  </mc:AlternateContent>
  <bookViews>
    <workbookView xWindow="0" yWindow="0" windowWidth="28800" windowHeight="11925" activeTab="1"/>
  </bookViews>
  <sheets>
    <sheet name="PFMEA封面" sheetId="1" r:id="rId1"/>
    <sheet name="PFMEA" sheetId="2" r:id="rId2"/>
    <sheet name="SOD定義" sheetId="3" r:id="rId3"/>
  </sheets>
  <calcPr calcId="162913"/>
  <extLst>
    <ext uri="GoogleSheetsCustomDataVersion2">
      <go:sheetsCustomData xmlns:go="http://customooxmlschemas.google.com/" r:id="rId7" roundtripDataChecksum="YbnC6MAWYsAy8NpW7kABYC7BDtlvzQMYRlf28BohB4U="/>
    </ext>
  </extLst>
</workbook>
</file>

<file path=xl/calcChain.xml><?xml version="1.0" encoding="utf-8"?>
<calcChain xmlns="http://schemas.openxmlformats.org/spreadsheetml/2006/main">
  <c r="S52" i="2" l="1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S28" i="2"/>
  <c r="L28" i="2"/>
  <c r="L27" i="2"/>
  <c r="L26" i="2"/>
  <c r="L25" i="2"/>
  <c r="L24" i="2"/>
  <c r="L23" i="2"/>
  <c r="L22" i="2"/>
  <c r="L21" i="2"/>
  <c r="L20" i="2"/>
  <c r="L19" i="2"/>
  <c r="L18" i="2"/>
  <c r="S17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</calcChain>
</file>

<file path=xl/sharedStrings.xml><?xml version="1.0" encoding="utf-8"?>
<sst xmlns="http://schemas.openxmlformats.org/spreadsheetml/2006/main" count="658" uniqueCount="531">
  <si>
    <t>潔沛企業有限公司</t>
  </si>
  <si>
    <r>
      <rPr>
        <sz val="11"/>
        <color theme="1"/>
        <rFont val="Calibri"/>
        <family val="2"/>
      </rPr>
      <t>製程失效模式與效應分析（</t>
    </r>
    <r>
      <rPr>
        <sz val="11"/>
        <color theme="1"/>
        <rFont val="Calibri"/>
        <family val="2"/>
      </rPr>
      <t>PFMEA</t>
    </r>
    <r>
      <rPr>
        <sz val="11"/>
        <color theme="1"/>
        <rFont val="Calibri"/>
        <family val="2"/>
      </rPr>
      <t>）紀錄表單封面</t>
    </r>
  </si>
  <si>
    <t xml:space="preserve">AIAG FMEA 第四版架構 </t>
  </si>
  <si>
    <t>文件識別資訊（Document Identification）</t>
  </si>
  <si>
    <t>公司名稱</t>
  </si>
  <si>
    <t>負責單位/姓名</t>
  </si>
  <si>
    <t>工程部/林佑翰</t>
  </si>
  <si>
    <t>文件名稱</t>
  </si>
  <si>
    <t>製程失效模式與效應分析（PFMEA）紀錄表單</t>
  </si>
  <si>
    <t>文件編號</t>
  </si>
  <si>
    <t>RW-18</t>
  </si>
  <si>
    <t>版本/版次</t>
  </si>
  <si>
    <t>A</t>
  </si>
  <si>
    <t>生效日期</t>
  </si>
  <si>
    <t>適用客戶</t>
  </si>
  <si>
    <t>C001</t>
  </si>
  <si>
    <t>製程/站別範圍</t>
  </si>
  <si>
    <t>入料/OCR/超音波清洗 / AOI / TTV / 目檢 / 出貨包裝/破片</t>
  </si>
  <si>
    <t>保存年限</t>
  </si>
  <si>
    <t>16年</t>
  </si>
  <si>
    <t>簽核（Prepared / Reviewed / Approved / Released）</t>
  </si>
  <si>
    <t>編制(工程部)</t>
  </si>
  <si>
    <t>姓名：林佑翰</t>
  </si>
  <si>
    <t>日期：</t>
  </si>
  <si>
    <t>核准(協理)</t>
  </si>
  <si>
    <t>姓名：劉哲驊</t>
  </si>
  <si>
    <t>發行(管理部)</t>
  </si>
  <si>
    <t>姓名：蔡有為</t>
  </si>
  <si>
    <t>修訂紀錄（Revision History）</t>
  </si>
  <si>
    <t>版本</t>
  </si>
  <si>
    <t>修訂日期</t>
  </si>
  <si>
    <t>修訂內容摘要</t>
  </si>
  <si>
    <t>修訂人</t>
  </si>
  <si>
    <t>核准人</t>
  </si>
  <si>
    <t>提示：本封面用於對外稽核或客戶審查之文件識別與追溯；
實際表單內容請參照受控文件內容。</t>
  </si>
  <si>
    <t xml:space="preserve">PFMEA                                                                   </t>
  </si>
  <si>
    <t>製程名稱</t>
  </si>
  <si>
    <t>Process Step 製程步驟</t>
  </si>
  <si>
    <t>Function / Requirement 製程功能/要求</t>
  </si>
  <si>
    <t>Potential Failure Mode 潛在失效模式</t>
  </si>
  <si>
    <t>Potential Effects of Failure 潛在失效後果</t>
  </si>
  <si>
    <t>Severity (S) 嚴重度</t>
  </si>
  <si>
    <t>Potential Causes of Failure 潛在失效原因</t>
  </si>
  <si>
    <t>Occurrence (O) 發生頻度</t>
  </si>
  <si>
    <t>Current Process Controls – Prevention 目前預防管制</t>
  </si>
  <si>
    <t>Current Process Controls – Detection 目前偵測管制</t>
  </si>
  <si>
    <t>Detection (D) 偵測度</t>
  </si>
  <si>
    <t>RPN 風險優先數</t>
  </si>
  <si>
    <t>Recommended Actions 建議改善措施</t>
  </si>
  <si>
    <t>Responsibility / Target Date 責任人/目標完成時間</t>
  </si>
  <si>
    <t>Action Taken 實際採取措施</t>
  </si>
  <si>
    <t>S after Action 改善後S</t>
  </si>
  <si>
    <t>O after Action 改善後O</t>
  </si>
  <si>
    <t>D after Action 改善後D</t>
  </si>
  <si>
    <t>RPN after Action 改善後RPN</t>
  </si>
  <si>
    <t>對應control plan編號</t>
  </si>
  <si>
    <t>入料</t>
  </si>
  <si>
    <t>廠商來料</t>
  </si>
  <si>
    <t>正確接收供應商來料並確認收貨項目</t>
  </si>
  <si>
    <t>收錯料、收錯批號、收錯數量、漏收</t>
  </si>
  <si>
    <t>入庫錯誤、後段領料錯誤、產線缺料</t>
  </si>
  <si>
    <t>供應商標示錯誤、收貨未核對</t>
  </si>
  <si>
    <t>收料清單核對、外箱標示比對、必要時雙人確認</t>
  </si>
  <si>
    <t>供應商標示異常作8D</t>
  </si>
  <si>
    <t>建議：依目前風險評估屬低風險項目，且現行管制方式足以預防或偵測失效，過去12個月無相關異常紀錄，故維持現況。</t>
  </si>
  <si>
    <t>OP/管理部日常持續監控</t>
  </si>
  <si>
    <t>NA</t>
  </si>
  <si>
    <t>外箱檢查</t>
  </si>
  <si>
    <t>確認外箱完好、避免破損料投入庫存</t>
  </si>
  <si>
    <t>外箱破損未發現、標示不符未處理、封條破損未記錄</t>
  </si>
  <si>
    <t>造成物料損傷、批號不明、物料污染或破片</t>
  </si>
  <si>
    <t>人員疏忽、檢查項目不完整</t>
  </si>
  <si>
    <t>100% 外觀檢查、記錄外箱破損、拍照留存</t>
  </si>
  <si>
    <t>制定外箱檢查 Checklist、要求供應商改善</t>
  </si>
  <si>
    <t>建議：1) 制定外箱檢查SOP或標準圖片（範例破損/標示不符/封條破損等）；2) 進料須100%依檢查清單逐項勾選；3) 若發現外箱異常，該批進料標示Hold並隔離，通知採購與品質確認後再處置。</t>
  </si>
  <si>
    <t>林佑翰/2025/12/01</t>
  </si>
  <si>
    <t>已建立OCAP執行：1) 制定外箱檢查SOP或標準圖片（範例破損/標示不符/封條破損等）；2) 進料須100%依檢查清單逐項勾選；3) 若發現外箱異常，該批進料標示Hold並隔離，通知採購與品質確認後再處置。</t>
  </si>
  <si>
    <t>FOSB檢查</t>
  </si>
  <si>
    <t>確認 FOSB（晶圓盒）外觀與標示正確且未受損</t>
  </si>
  <si>
    <t>FOSB 破損、標示錯誤</t>
  </si>
  <si>
    <t>玻璃載板污染、破片風險、批號錯誤、造成後端整批報廢</t>
  </si>
  <si>
    <t>運輸不當、供應商包裝不良、人員檢查疏忽</t>
  </si>
  <si>
    <t>開箱後逐一確認 FOSB裝況、標示比對、拍照留存</t>
  </si>
  <si>
    <t>導入 FOSB 檢查 SOP、要求供應商改善</t>
  </si>
  <si>
    <t>建議：1) 建立FOSB目視檢查標準（破損、污染、標示不符）；2) 增加FOSB檢查光源與翻轉檢查動作；3) 對FOSB異常建立更換流程與紀錄表單，避免污染流入製程。</t>
  </si>
  <si>
    <t>已建立SOP執行：1) 建立FOSB目視檢查標準（破損、污染、標示不符）；2) 增加FOSB檢查光源與翻轉檢查動作；3) 對FOSB異常建立更換流程與紀錄表單，避免污染流入製程。</t>
  </si>
  <si>
    <t>入庫</t>
  </si>
  <si>
    <t>正確入帳並將物料上架於正確儲位</t>
  </si>
  <si>
    <t>放置錯的儲位、未過帳、過帳錯誤</t>
  </si>
  <si>
    <t>找不到料、批號錯誤、造成生產延遲或混批</t>
  </si>
  <si>
    <t>系統操作錯誤、儲位混亂</t>
  </si>
  <si>
    <t>儲位標示確實</t>
  </si>
  <si>
    <t>儲位標示標準化</t>
  </si>
  <si>
    <t>建議：1) 安排好動線；2)標示現場各儲位位置；3) 每日盤點檢查，對錯帳紀錄進行原因分析與人員再訓練。</t>
  </si>
  <si>
    <t>已建立並執行：1) 安排好動線；2)標示現場各儲位位置；3) 每日盤點檢查。</t>
  </si>
  <si>
    <t>OCR</t>
  </si>
  <si>
    <t>領料上架</t>
  </si>
  <si>
    <t>依工單指示準確取出所需物料</t>
  </si>
  <si>
    <t>取錯料、取錯批號、取錯數量</t>
  </si>
  <si>
    <t>產線停線、混批、生產不良、帳物不符</t>
  </si>
  <si>
    <t>標示不清、儲位錯誤、人員疏忽、未依 SOP 操作</t>
  </si>
  <si>
    <t>系統儲位指引、目視確認、料架標示</t>
  </si>
  <si>
    <t>儲位/批號加大標示、雙人覆核（視需要）</t>
  </si>
  <si>
    <t>建議：1) 領料/上架全程使用批號條碼掃描，避免手寫與人工輸入；2) 相同料號不同批次需分區存放並明確標示；3) 對發生錯領事件執行教育訓練並檢討領料流程。</t>
  </si>
  <si>
    <t>已建立SOP並執行：1) 領料/上架全程使用批號條碼掃描，避免手寫與人工輸入；2) 相同料號不同批次需分區存放並明確標示；3) 對發生錯領事件執行教育訓練並檢討領料流程。</t>
  </si>
  <si>
    <t>來料目檢</t>
  </si>
  <si>
    <t>玻璃載板外觀確認</t>
  </si>
  <si>
    <t>Chipping、破片、邊緣缺角</t>
  </si>
  <si>
    <t>載板報廢、後製程無法加工、刻號無法辨識</t>
  </si>
  <si>
    <t>來料不良、運輸碰撞、人員未正確拿取</t>
  </si>
  <si>
    <t>100% 人工目檢</t>
  </si>
  <si>
    <t>人員教育訓練、導入雙人確認（視需要）</t>
  </si>
  <si>
    <t>OCR 讀取刻號</t>
  </si>
  <si>
    <t>正確讀取玻璃載板刻號</t>
  </si>
  <si>
    <t>刻號辨識錯誤、光源亮度不足、鏡頭髒污、吸持不良</t>
  </si>
  <si>
    <t>讀不到刻號、產線停線</t>
  </si>
  <si>
    <t>鏡頭未清潔、真空不足</t>
  </si>
  <si>
    <t>OCR 自動辨識、每日設備點檢、光源清潔</t>
  </si>
  <si>
    <t>更嚴格清潔頻率</t>
  </si>
  <si>
    <t>分類 &amp; 放置</t>
  </si>
  <si>
    <t>正確分類玻璃載板流向</t>
  </si>
  <si>
    <t>分類錯誤、錯放 FOSB、標示紙貼錯</t>
  </si>
  <si>
    <t>生產異常、報廢</t>
  </si>
  <si>
    <t>人員疏忽、標示不清楚、作業導引不足</t>
  </si>
  <si>
    <t>桌面標示(分類)、人工確認（可視需要雙人覆核）</t>
  </si>
  <si>
    <t>標示該 FOSB名稱於桌面、導入雙人覆核</t>
  </si>
  <si>
    <t>建議：1) 明確區分各類FOSB區域並加貼大標籤；2) 分類/放置時搭配批號/類別條碼掃描；3) 每班對FOSB存放區進行5S與巡檢。</t>
  </si>
  <si>
    <t>已建立SOP並執行：1) 明確區分各類FOSB區域並加貼大標籤；2) 分類/放置時搭配批號/類別條碼掃描；3) 每班對FOSB存放區進行5S與巡檢。</t>
  </si>
  <si>
    <t>超音波清洗</t>
  </si>
  <si>
    <t>抽氣裝置啟動</t>
  </si>
  <si>
    <t>確保抽風正常運作以排除異味及維持設備內部流場穩定</t>
  </si>
  <si>
    <t>抽風未啟動、風量不足、噪音異常</t>
  </si>
  <si>
    <t>熱氣或化學氣體累積、清洗效果變差</t>
  </si>
  <si>
    <t>風機故障、電源異常、操作未啟動</t>
  </si>
  <si>
    <t>每日保養表檢查</t>
  </si>
  <si>
    <t>目視風量、聽聲音確認運轉狀態</t>
  </si>
  <si>
    <t>超音波槽液位確認</t>
  </si>
  <si>
    <t>液面需達到標準高度以確保超音波清洗效果及正常運作</t>
  </si>
  <si>
    <t>液位不足</t>
  </si>
  <si>
    <t>清洗不足、無法溢流</t>
  </si>
  <si>
    <t>補水不足、液位感測異常</t>
  </si>
  <si>
    <t>補水 SOP、每日檢查水位</t>
  </si>
  <si>
    <t>目視液面切齊溢流口</t>
  </si>
  <si>
    <t>熱媒油槽液位檢查</t>
  </si>
  <si>
    <t>熱媒油需保持在 MIN～MAX 之間以確保持續加熱能力</t>
  </si>
  <si>
    <t>油位不足、油位過高</t>
  </si>
  <si>
    <t>加熱效率不足、過熱危險、設備異常</t>
  </si>
  <si>
    <t>漏油、蒸發、補油不足</t>
  </si>
  <si>
    <t>檢查設備是否漏油、定期補油</t>
  </si>
  <si>
    <t>目視油位刻度（MIN～MAX）</t>
  </si>
  <si>
    <t>設備加熱確認</t>
  </si>
  <si>
    <t>確保熱媒油槽與藥水槽均達到設定溫度</t>
  </si>
  <si>
    <t>溫度未達標、溫度過高、溫控異常</t>
  </si>
  <si>
    <t>清洗效果下降、藥水反應不完全</t>
  </si>
  <si>
    <t>加熱器故障、溫控器異常、設定值不正確</t>
  </si>
  <si>
    <t>定期校正溫度感測器、加熱器保養</t>
  </si>
  <si>
    <t>溫度表 + 溫度計雙重確認（每批）</t>
  </si>
  <si>
    <t>藥水槽清洗除膠作業</t>
  </si>
  <si>
    <t>確保玻璃殘膠完全去除</t>
  </si>
  <si>
    <t>殘膠未完全去除</t>
  </si>
  <si>
    <t>清洗後產品 NG、後段製程停擺</t>
  </si>
  <si>
    <t>藥水濃度不足、藥水老化、除膠時間不足、溫度不足</t>
  </si>
  <si>
    <t>定期更換藥水、控制藥水濃度、設定加熱溫度</t>
  </si>
  <si>
    <t>清洗後人工目視確認殘膠</t>
  </si>
  <si>
    <t>清水槽洗淨</t>
  </si>
  <si>
    <t>去除殘膠並讓玻璃表面透明、無污染</t>
  </si>
  <si>
    <t>洗淨不足、表面仍有殘留</t>
  </si>
  <si>
    <t>目檢不良、後製程停擺</t>
  </si>
  <si>
    <t>清水槽污染、超音波效果不足、流量不足</t>
  </si>
  <si>
    <t>定期更換清水、設備保養</t>
  </si>
  <si>
    <t>清洗後目視確認透明無殘留</t>
  </si>
  <si>
    <t>人工目檢（外觀）</t>
  </si>
  <si>
    <t>玻璃載板外觀均無汙染、透亮且無Chipping</t>
  </si>
  <si>
    <t>外觀不透亮、Chipping 漏檢</t>
  </si>
  <si>
    <t>NG 品流入後段、客訴、批退</t>
  </si>
  <si>
    <t>人為疏忽、光源不足、檢查角度不一致</t>
  </si>
  <si>
    <t>人員教育訓練、規範檢查流程</t>
  </si>
  <si>
    <t>人工目視檢查、必要時雙人覆核</t>
  </si>
  <si>
    <t>建議：1) 建立目檢標準圖片（OK/NG範例，尤其是Chipping與外觀不透亮案例）；2) 改善檢查光源與檢查姿勢，確保同一環境條件；3) 實施雙人覆判；4) 定期對目檢人員進行稽核與再訓練。</t>
  </si>
  <si>
    <t>已建立SOP並執行：1) 建立目檢標準圖片（OK/NG範例，尤其是Chipping與外觀不透亮案例）；2) 改善檢查光源與檢查姿勢，確保同一環境條件；3) 實施雙人覆判；4) 定期對目檢人員進行稽核與再訓練。</t>
  </si>
  <si>
    <t>終端清洗</t>
  </si>
  <si>
    <t>開機前檢查</t>
  </si>
  <si>
    <t>確認在運作清洗時無異常狀態</t>
  </si>
  <si>
    <t>水位不足</t>
  </si>
  <si>
    <t>感測異常、清洗不完全</t>
  </si>
  <si>
    <t>水位未補齊至140L導致不夠用</t>
  </si>
  <si>
    <t>開機前目視、及確實補至標準</t>
  </si>
  <si>
    <t>記錄補水、雙人覆核</t>
  </si>
  <si>
    <t>毛刷檢查</t>
  </si>
  <si>
    <t>確保毛刷乾淨、無異物、能有效清洗</t>
  </si>
  <si>
    <t>毛刷卡髒污、殘留異物；毛刷磨耗</t>
  </si>
  <si>
    <t>清洗不良、產品表面刮傷、污染</t>
  </si>
  <si>
    <t>毛刷未清潔、老化、操作疏忽</t>
  </si>
  <si>
    <t>每日開機前清潔毛刷、制定更換週期</t>
  </si>
  <si>
    <t>目視檢查毛刷乾淨程度</t>
  </si>
  <si>
    <t>建議：1) 制定毛刷壽命與更換頻率標準（依批數或時間）；2) 每班目視檢查毛刷是否卡污/變形，並填寫點檢紀錄；3) 對毛刷拆裝與清潔方式訂立SOP，避免因清潔不當導致汙染。</t>
  </si>
  <si>
    <t>已建立保養紀錄表單及SOP並執行：1) 制定毛刷壽命與更換頻率標準（依批數或時間）；2) 每班目視檢查毛刷是否卡污/變形，並填寫點檢紀錄；3) 對毛刷拆裝與清潔方式訂立SOP，避免因清潔不當導致汙染。</t>
  </si>
  <si>
    <t>三槽水位確認</t>
  </si>
  <si>
    <t>水位達到 140L（H 位）以提供正常噴洗能力</t>
  </si>
  <si>
    <t>水位不足、水位感測異常</t>
  </si>
  <si>
    <t>清洗壓力不足、清洗不完全</t>
  </si>
  <si>
    <t>補水不足、水位感測器故障、誤判水位</t>
  </si>
  <si>
    <t>制定補水 SOP、每日檢查水位</t>
  </si>
  <si>
    <t>目視檢查 H 標線；設備水位警示功能</t>
  </si>
  <si>
    <t>系統警示確認</t>
  </si>
  <si>
    <t>設備處於正常狀態且無 Error</t>
  </si>
  <si>
    <t>警報未處理</t>
  </si>
  <si>
    <t>清洗中斷、清潔度不足、設備損壞</t>
  </si>
  <si>
    <t>操作者忽略警示</t>
  </si>
  <si>
    <t>開機檢查項目確保無Error顯示</t>
  </si>
  <si>
    <t>系統顯示警示畫面、自動異常提示</t>
  </si>
  <si>
    <t>配方設定確認</t>
  </si>
  <si>
    <t>使用正確清洗配方（C001）</t>
  </si>
  <si>
    <t>選錯配方、參數設定異常</t>
  </si>
  <si>
    <t>清洗條件不符、清潔度不足</t>
  </si>
  <si>
    <t>人為誤操作、參數未儲存載入</t>
  </si>
  <si>
    <t>設定流程 SOP、限制可更改人員</t>
  </si>
  <si>
    <t>開機時確認 C001</t>
  </si>
  <si>
    <t>脫脂噴洗流量確認</t>
  </si>
  <si>
    <t>脫脂流量足夠以達成清潔效果</t>
  </si>
  <si>
    <t>流量不足、無流量</t>
  </si>
  <si>
    <t>產品髒污未能有效去除</t>
  </si>
  <si>
    <t>噴嘴堵塞、幫浦故障、液位不足</t>
  </si>
  <si>
    <t>定期保養噴嘴、流量確認</t>
  </si>
  <si>
    <t>清洗前流量面板確認</t>
  </si>
  <si>
    <t>壓力標準確認</t>
  </si>
  <si>
    <t>噴洗壓力在標準範圍內</t>
  </si>
  <si>
    <t>壓力不足或過高</t>
  </si>
  <si>
    <t>清洗不足或損傷產品</t>
  </si>
  <si>
    <t>濾心無定期更換、壓力設定錯誤</t>
  </si>
  <si>
    <t>定期更換濾心；設定壓力受控</t>
  </si>
  <si>
    <t>清洗前壓力表顯示檢查</t>
  </si>
  <si>
    <t>測試片清洗確認</t>
  </si>
  <si>
    <t>設備清洗能力正常</t>
  </si>
  <si>
    <t>測試片有水痕、污漬</t>
  </si>
  <si>
    <t>設備清洗能力 NG、需停機檢修</t>
  </si>
  <si>
    <t>清洗槽污染、噴嘴堵塞、乾燥不足</t>
  </si>
  <si>
    <t>設備維護、槽液定期更換</t>
  </si>
  <si>
    <t>每次清洗後目視檢查測試片</t>
  </si>
  <si>
    <t>正式產品清洗</t>
  </si>
  <si>
    <t>產品無水痕、無殘膠、清洗乾淨</t>
  </si>
  <si>
    <t>水痕、殘膠、清洗未乾淨</t>
  </si>
  <si>
    <t>產品 NG、需返工或報廢</t>
  </si>
  <si>
    <t>清洗條件錯誤、乾燥不良</t>
  </si>
  <si>
    <t>設備參數控管、清洗 SOP</t>
  </si>
  <si>
    <t>每次清洗後目視檢查</t>
  </si>
  <si>
    <t>目檢</t>
  </si>
  <si>
    <t>目檢燈檢查</t>
  </si>
  <si>
    <t>亮度充足以判定表面是否潔淨</t>
  </si>
  <si>
    <t>亮度不足、閃爍</t>
  </si>
  <si>
    <t>判定錯誤</t>
  </si>
  <si>
    <t>燈泡老化、電源不穩</t>
  </si>
  <si>
    <t>定期檢查、更換目檢燈</t>
  </si>
  <si>
    <t>每日目視確認亮度</t>
  </si>
  <si>
    <t>無塵室目檢</t>
  </si>
  <si>
    <t>產品表面無刮傷、無殘膠、無水痕</t>
  </si>
  <si>
    <t>表面殘污、刮傷、水痕未被發現</t>
  </si>
  <si>
    <t>NG 品流出、客訴、批退</t>
  </si>
  <si>
    <t>操作疏忽、環境光不佳、清洗未達標</t>
  </si>
  <si>
    <t>培訓作業員、目檢 SOP 控管</t>
  </si>
  <si>
    <t>無塵室內目視全檢</t>
  </si>
  <si>
    <t>建議：1) 設置標準無塵室檢查工位（固定光源、檢查距離與角度）；2) 對表面殘污/刮傷/水痕建立分類準則與影像範例；3) 高風險產品增加抽樣比例或全檢；4) 建立NG品標示與隔離流程。</t>
  </si>
  <si>
    <t>已建立SOP並執行：1) 設置標準無塵室檢查工位（固定光源、檢查距離與角度）；2) 對表面殘污/刮傷/水痕建立分類準則與影像範例；3)設立全檢4) 建立NG品標示與隔離流程。</t>
  </si>
  <si>
    <t>TTV</t>
  </si>
  <si>
    <t>真空系統啟動</t>
  </si>
  <si>
    <t>真空 Pump 達到正常負壓、能進行量測</t>
  </si>
  <si>
    <t>無法抽真空、負壓不足、真空值不穩定</t>
  </si>
  <si>
    <t>無法固定載板、量測錯誤、無法啟動 TTV 量測</t>
  </si>
  <si>
    <t>Pump 故障、管路洩漏、操作未啟動</t>
  </si>
  <si>
    <t>每日開機檢查、準備備用機</t>
  </si>
  <si>
    <t>目視負壓表讀值是否正常</t>
  </si>
  <si>
    <t>TTV 設備開機</t>
  </si>
  <si>
    <t>設備正常開機並顯示檢測主頁</t>
  </si>
  <si>
    <t>無法開機、系統異常、無法進入主頁</t>
  </si>
  <si>
    <t>無法量測、造成作業延誤</t>
  </si>
  <si>
    <t>電源異常、軟體錯誤、系統未更新</t>
  </si>
  <si>
    <t>電源檢查、軟體版本管理</t>
  </si>
  <si>
    <t>目視確認主頁畫面是否正常顯示</t>
  </si>
  <si>
    <t>設備復歸 / Ready</t>
  </si>
  <si>
    <t>設備必須進入 Ready（綠色框）狀態</t>
  </si>
  <si>
    <t>無法復歸、未進入 Ready 狀態</t>
  </si>
  <si>
    <t>無法開始量測、設備可能異常</t>
  </si>
  <si>
    <t>軟體錯誤、感測器異常、機構卡住</t>
  </si>
  <si>
    <t>定期校正與保養、更新設備韌體</t>
  </si>
  <si>
    <t>目視確認螢幕顯示 Ready 綠色框</t>
  </si>
  <si>
    <t>使用正確量測配方：12" Wafer 2L4P</t>
  </si>
  <si>
    <t>使用錯誤配方</t>
  </si>
  <si>
    <t>量測數據異常、不準確、產品誤判</t>
  </si>
  <si>
    <t>人員選錯配方、記憶錯誤、配方未更新</t>
  </si>
  <si>
    <t>每日量測前確認配方設定完成</t>
  </si>
  <si>
    <t>螢幕上確認配方名稱</t>
  </si>
  <si>
    <t>建議：1) 所有配方設定由工程部以Recipe ID管控，作業員僅能選擇不可修改；2) 重要配方變更需ECN/變更程序審核與主管同意簽核；3) 每日比對實際使用配方與工單/規格是否一致。</t>
  </si>
  <si>
    <t>已建立OCAP及變更程序並執行：1) 所有配方設定由工程部以Recipe ID管控，作業員僅能選擇不可修改；2) 重要配方變更需ECN/變更程序審核與主管同意簽核；3) 每日比對實際使用配方與工單/規格是否一致。</t>
  </si>
  <si>
    <t>玻璃載板放置</t>
  </si>
  <si>
    <t>玻璃載板需平整放置並確實蓋上上蓋</t>
  </si>
  <si>
    <t>放置不平、未蓋上蓋，導致偏移</t>
  </si>
  <si>
    <t>量測異常、負壓無法吸附、TTV 無法量測</t>
  </si>
  <si>
    <t>操作不當、載板有異物、治具未清潔</t>
  </si>
  <si>
    <t>訓練 SOP、保持治具清潔</t>
  </si>
  <si>
    <t>目視確認載板是否平整、上蓋是否蓋緊</t>
  </si>
  <si>
    <t>厚度量測</t>
  </si>
  <si>
    <t>厚度需符合規格 700 ± 5 μm</t>
  </si>
  <si>
    <t>厚度超規、顯示錯誤</t>
  </si>
  <si>
    <t>NG 判定、流入後段不良</t>
  </si>
  <si>
    <t>設備校正不良、量測點異常</t>
  </si>
  <si>
    <t>定期校正量測系統</t>
  </si>
  <si>
    <t>量測畫面厚度數據確認</t>
  </si>
  <si>
    <t>建議：1) 量測程式與點位設定採Recipe鎖定，禁止現場任意修改；2) 以標準片進行量測校正，執行儀器MSA；3) 量測數據納入SPC，異常時啟動OCAP，包含重測與製程參數檢討。</t>
  </si>
  <si>
    <t>已建立OCAP執行：1) 量測程式與點位設定採Recipe鎖定，禁止現場任意修改；2) 以標準片進行量測校正，執行儀器MSA；3) 量測數據納入SPC，異常時啟動OCAP，包含重測與製程參數檢討。</t>
  </si>
  <si>
    <t>TTV量測</t>
  </si>
  <si>
    <t>確保 TTV 落在 1 μm 以內</t>
  </si>
  <si>
    <t>TTV 超規、數據跳動</t>
  </si>
  <si>
    <t>產品 NG、生產線不良率增加</t>
  </si>
  <si>
    <t>玻璃平整度不佳、平台未吸附完全、校正異常</t>
  </si>
  <si>
    <t>定期校正、保持平台清潔、穩定真空</t>
  </si>
  <si>
    <t>量測後確認 TTV 數據</t>
  </si>
  <si>
    <t>測量數據上傳</t>
  </si>
  <si>
    <t>每日測試資料需成功上傳 NAS</t>
  </si>
  <si>
    <t>上傳失敗、資料遺失、未上傳</t>
  </si>
  <si>
    <t>無法追溯、不良分析失準、客訴風險</t>
  </si>
  <si>
    <t>網路異常、NAS 空間不足、操作未上傳</t>
  </si>
  <si>
    <t>網路每日巡檢、NAS 空間管理</t>
  </si>
  <si>
    <t>每日核對上傳紀錄、有無錯誤訊息</t>
  </si>
  <si>
    <t>建議：1) 導入量測設備自動上傳至NAS/伺服器的機制，降低人工操作；2) 建立每日上傳紀錄檢查表，由品保或工程確認無漏傳；3) 若發現資料遺失，應啟動補測或風險評估機制並形成報告。</t>
  </si>
  <si>
    <t>已建立並執行：1)導入量測設備自動上傳至NAS/伺服器的機制，降低人工操作；2) 建立每日上傳紀錄檢查，由品保或工程確認無漏傳；3) 依照OCAP執行。</t>
  </si>
  <si>
    <t>操作員手動輸入刻號</t>
  </si>
  <si>
    <t>厚度數據對應到玻璃 ID</t>
  </si>
  <si>
    <t>厚度數據對應到錯誤的晶圓 ID，導致資料追溯錯誤</t>
  </si>
  <si>
    <t>無法追溯</t>
  </si>
  <si>
    <t>人為疏忽、輸入錯誤</t>
  </si>
  <si>
    <t>SOP 規範： 操作員目檢刻號後需進行自我複核 (Self-check)。實體隔離： NG 品立即分流至 NG FOSB 。</t>
  </si>
  <si>
    <t>AOI 站會再次進行 OCR 自動讀取，確保最終出貨 ID 正確。</t>
  </si>
  <si>
    <t>AOI</t>
  </si>
  <si>
    <t>將玻璃載板確實吸附至載台檢測</t>
  </si>
  <si>
    <t>無法吸附、產品飛片</t>
  </si>
  <si>
    <t>載板掉落、刮傷玻璃</t>
  </si>
  <si>
    <t>氣壓每日點檢、紀錄</t>
  </si>
  <si>
    <t>壓力數值畫面、異常警報、工程部複核檢查</t>
  </si>
  <si>
    <t>設備開機、遠端連線、登入 AOI 系統</t>
  </si>
  <si>
    <t>確保設備正常啟動並進入可操作狀態</t>
  </si>
  <si>
    <t>無法登入系統 / 程式無法開啟</t>
  </si>
  <si>
    <t>無法進行 AOI 檢測、產線延遲</t>
  </si>
  <si>
    <t>主機故障、程式錯誤、人員操作不正確</t>
  </si>
  <si>
    <t>定期電腦維護、使用者帳號權限管理</t>
  </si>
  <si>
    <t>登入錯誤訊息提示、系統 LOG、工程端錯誤碼分析</t>
  </si>
  <si>
    <t>機台載台原點復歸</t>
  </si>
  <si>
    <t>確保機台軸向回正、位置基準正確</t>
  </si>
  <si>
    <t>無法原點復歸 、 軸卡住、 回歸不完整</t>
  </si>
  <si>
    <t>影像位置錯位、產生誤判、設備可能碰撞</t>
  </si>
  <si>
    <t>軌道異物、感測器失效、硬體故障</t>
  </si>
  <si>
    <t>設備定期保養、軌道清潔、螺桿上油</t>
  </si>
  <si>
    <t>設備錯誤訊息、動作模組自動偵測、工程確認程序</t>
  </si>
  <si>
    <t>AOI載台除塵</t>
  </si>
  <si>
    <t>平台無粉塵、碎屑，避免造成二次污染</t>
  </si>
  <si>
    <t>平台未清潔乾淨 、遺留粉塵或玻璃碎屑</t>
  </si>
  <si>
    <t>玻璃載板放上後二次污染 、AOI 出現髒污 NG</t>
  </si>
  <si>
    <t>SOP 未依規範、人員疏忽</t>
  </si>
  <si>
    <t>清潔 SOP教育訓練</t>
  </si>
  <si>
    <t>目視檢查、填寫每日保養單</t>
  </si>
  <si>
    <t>工單載入</t>
  </si>
  <si>
    <t>確保使用正確工單與檢測設定</t>
  </si>
  <si>
    <t>工單載錯 、 未載入、 帶入舊工單</t>
  </si>
  <si>
    <t>採用錯誤參數、判讀不準確 、不良流出或良品誤判成 NG</t>
  </si>
  <si>
    <t>人為疏失、未確認批號、工單命名不一致</t>
  </si>
  <si>
    <t>人員教育訓練、工單命名規範、雙人確認</t>
  </si>
  <si>
    <t>系統工單畫面顯示、批號比對、工程部抽查</t>
  </si>
  <si>
    <t>玻璃載板放置與對位</t>
  </si>
  <si>
    <t>將載板依規定方向放置於載台（對位角朝下）</t>
  </si>
  <si>
    <t>載板對位錯誤、 放偏 、未切齊定位治具</t>
  </si>
  <si>
    <t>檢測區域偏移 → 漏檢 、誤檢 → NG 誤判</t>
  </si>
  <si>
    <t>人員未對位、載台磨損、玻璃載板髒污</t>
  </si>
  <si>
    <t>對位治具固定、操作教育訓練</t>
  </si>
  <si>
    <t>AOI 自動定位偵測、首件確認</t>
  </si>
  <si>
    <t>AOI 判讀</t>
  </si>
  <si>
    <t>系統顯示檢測結果，人工依 OK/NG 區分</t>
  </si>
  <si>
    <t>誤判 、 NG 未分類 、 OK 放錯區</t>
  </si>
  <si>
    <t>不良流出或良品報廢、客訴風險</t>
  </si>
  <si>
    <t>AOI 參數確認、操作員教育訓練</t>
  </si>
  <si>
    <t>不良率監控、結果 LOG 紀錄</t>
  </si>
  <si>
    <t>工單上傳</t>
  </si>
  <si>
    <t>上傳報表至 NAS</t>
  </si>
  <si>
    <t>報表未上傳</t>
  </si>
  <si>
    <t>資料遺失、無法追溯</t>
  </si>
  <si>
    <t>網路異常、人員遺漏步驟</t>
  </si>
  <si>
    <t>上傳 SOP、NAS 空間定期檢查</t>
  </si>
  <si>
    <t>NAS 上傳紀錄、工程部查核</t>
  </si>
  <si>
    <t>標籤內容與內容物不一致（ID/Lot/Qty/狀態錯誤）</t>
  </si>
  <si>
    <t>產品無法識別</t>
  </si>
  <si>
    <t>造成客戶端混料或帳料不符 (Customer Complaint)</t>
  </si>
  <si>
    <t>標籤列印軟體異常或貼錯 FOSB、人員漏作業</t>
  </si>
  <si>
    <t>出貨包裝</t>
  </si>
  <si>
    <t>FOSB 套塑膠套</t>
  </si>
  <si>
    <t>將FOSB完整並深入套入塑膠套內，並固定膠帶以防汙染與鬆脫</t>
  </si>
  <si>
    <t>塑膠套未套到底、塑膠套鬆脫、膠帶未黏牢</t>
  </si>
  <si>
    <t>FOSB 汙染、運輸過程套子脫落造成產品暴露</t>
  </si>
  <si>
    <t>作業不熟悉、未確認深度、膠帶黏貼不足</t>
  </si>
  <si>
    <t>SOP 圖示、作業員教育訓練</t>
  </si>
  <si>
    <t>作業後 100% 目視檢查</t>
  </si>
  <si>
    <t>建議：1) 針對FOSB套塑膠套動作製作標準作業圖示與檢查重點（套到底位置示意、膠帶纏繞圈數與位置）；2) 明定每批包裝完成後，由第二人員進行抽查或全檢確認塑膠套無鬆脫、開口方向正確；3) 對發生過包裝鬆脫或污染異常之人員進行再訓練，並檢討作業節拍是否過快；4) 針對客戶出貨前增加隨機拆箱確認包裝完整性之稽核機制，並保留紀錄以利追溯。</t>
  </si>
  <si>
    <t>已建立OCAP執行：1)立即停止包裝/出貨作業2)異常批次Hold隔離並登錄異常資訊3)依SOP進行全檢或重工，並完成作業員再訓練、管制點強化與文件更新。</t>
  </si>
  <si>
    <t>放置 HYBOX 底層發泡棉</t>
  </si>
  <si>
    <t>發泡棉需平整放置於 HYBOX 底部，提供 FOSB 完整保護</t>
  </si>
  <si>
    <t>發泡棉放置不平整、擠壓變形</t>
  </si>
  <si>
    <t>FOSB 受力不均、運輸晃動造成損傷</t>
  </si>
  <si>
    <t>作業疏忽、發泡棉瑕疵、箱體變形</t>
  </si>
  <si>
    <t>材料來料檢查、作業教導</t>
  </si>
  <si>
    <t>放置後目視＋手動確認穩固度</t>
  </si>
  <si>
    <t>FOSB 置入 HYBOX</t>
  </si>
  <si>
    <t>FOSB 必須完全置入發泡棉定位處，不可晃動</t>
  </si>
  <si>
    <t>FOSB 未放定位、偏位、傾斜</t>
  </si>
  <si>
    <t>運送過程產品晃動、損傷、污染</t>
  </si>
  <si>
    <t>作業不注意、發泡棉偏移</t>
  </si>
  <si>
    <t>HYBOX、發泡棉入料檢查</t>
  </si>
  <si>
    <t>作業中目視＋手動確認穩固度</t>
  </si>
  <si>
    <t>上層發泡棉與上蓋安裝</t>
  </si>
  <si>
    <t>上層發泡棉需完整覆蓋，並確保上蓋密合</t>
  </si>
  <si>
    <t>發泡棉未完全覆蓋、上蓋未蓋緊</t>
  </si>
  <si>
    <t>內部晃動、外力壓迫造成 FOSB 損壞</t>
  </si>
  <si>
    <t>上蓋變形、發泡棉尺寸不良、作業未確認</t>
  </si>
  <si>
    <t>材料標準、教育訓練</t>
  </si>
  <si>
    <t>作業後目視檢查上蓋密合度</t>
  </si>
  <si>
    <t>外部膠模打包</t>
  </si>
  <si>
    <t>打包需確實拉緊，使 HYBOX 上蓋與箱體固定</t>
  </si>
  <si>
    <t>膠模鬆脫、未綁緊</t>
  </si>
  <si>
    <t>運送途中箱蓋鬆開、內容物外露、產品受損</t>
  </si>
  <si>
    <t>操作不當</t>
  </si>
  <si>
    <t>人員教育訓練</t>
  </si>
  <si>
    <t>100% 手撥測試與目視確認</t>
  </si>
  <si>
    <t>破片處理</t>
  </si>
  <si>
    <t>各站點</t>
  </si>
  <si>
    <t>因意外發生破片處理</t>
  </si>
  <si>
    <t>破片未即時隔離/未完全清除，造成交叉污染或人員割傷風險</t>
  </si>
  <si>
    <r>
      <rPr>
        <b/>
        <sz val="11"/>
        <color theme="1"/>
        <rFont val="細明體"/>
        <family val="3"/>
        <charset val="136"/>
      </rPr>
      <t>碎片殘留導致粒子污染、產品刮傷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細明體"/>
        <family val="3"/>
        <charset val="136"/>
      </rPr>
      <t>報廢；人員受傷；可能造成客戶端品質異常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細明體"/>
        <family val="3"/>
        <charset val="136"/>
      </rPr>
      <t>客訴。</t>
    </r>
  </si>
  <si>
    <t>搬運/上下料碰撞；吸附/夾持失效；治具磨耗或異物；人員操作不當；設備異常震動或定位偏移</t>
  </si>
  <si>
    <t>搬運/上下料SOP與教育訓練；使用專用載具與防撞措施；治具/吸附系統點檢（真空壓力/夾持確認）；禁止快速撞擊與單手搬運</t>
  </si>
  <si>
    <t>破片立即停線通報；現場目視確認與清潔；破片專用工具與碎片收集容器；清潔後目檢/AOI確認；必要時粒子計數確認</t>
  </si>
  <si>
    <r>
      <rPr>
        <sz val="11"/>
        <color theme="1"/>
        <rFont val="Calibri"/>
        <family val="2"/>
      </rPr>
      <t xml:space="preserve">1) </t>
    </r>
    <r>
      <rPr>
        <sz val="11"/>
        <color theme="1"/>
        <rFont val="細明體"/>
        <family val="3"/>
        <charset val="136"/>
      </rPr>
      <t>建立《破片處理</t>
    </r>
    <r>
      <rPr>
        <sz val="11"/>
        <color theme="1"/>
        <rFont val="Calibri"/>
        <family val="2"/>
      </rPr>
      <t>OCAP</t>
    </r>
    <r>
      <rPr>
        <sz val="11"/>
        <color theme="1"/>
        <rFont val="細明體"/>
        <family val="3"/>
        <charset val="136"/>
      </rPr>
      <t>》：立即停線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停站→隔離受影響批次與區域→碎片回收與清潔→二次檢查（目檢</t>
    </r>
    <r>
      <rPr>
        <sz val="11"/>
        <color theme="1"/>
        <rFont val="Calibri"/>
        <family val="2"/>
      </rPr>
      <t>/AOI/</t>
    </r>
    <r>
      <rPr>
        <sz val="11"/>
        <color theme="1"/>
        <rFont val="細明體"/>
        <family val="3"/>
        <charset val="136"/>
      </rPr>
      <t>粒子）→放行；</t>
    </r>
    <r>
      <rPr>
        <sz val="11"/>
        <color theme="1"/>
        <rFont val="Calibri"/>
        <family val="2"/>
      </rPr>
      <t xml:space="preserve">2) </t>
    </r>
    <r>
      <rPr>
        <sz val="11"/>
        <color theme="1"/>
        <rFont val="細明體"/>
        <family val="3"/>
        <charset val="136"/>
      </rPr>
      <t>破片事件須填寫不合格矯正單並進行原因分析（必要時</t>
    </r>
    <r>
      <rPr>
        <sz val="11"/>
        <color theme="1"/>
        <rFont val="Calibri"/>
        <family val="2"/>
      </rPr>
      <t>8D</t>
    </r>
    <r>
      <rPr>
        <sz val="11"/>
        <color theme="1"/>
        <rFont val="細明體"/>
        <family val="3"/>
        <charset val="136"/>
      </rPr>
      <t>），回溯前後批影響；</t>
    </r>
    <r>
      <rPr>
        <sz val="11"/>
        <color theme="1"/>
        <rFont val="Calibri"/>
        <family val="2"/>
      </rPr>
      <t xml:space="preserve">3) </t>
    </r>
    <r>
      <rPr>
        <sz val="11"/>
        <color theme="1"/>
        <rFont val="細明體"/>
        <family val="3"/>
        <charset val="136"/>
      </rPr>
      <t>強化預防：加裝防撞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限位、增強動線、作業員再訓練與年度認證；</t>
    </r>
    <r>
      <rPr>
        <sz val="11"/>
        <color theme="1"/>
        <rFont val="Calibri"/>
        <family val="2"/>
      </rPr>
      <t xml:space="preserve">4) </t>
    </r>
    <r>
      <rPr>
        <sz val="11"/>
        <color theme="1"/>
        <rFont val="細明體"/>
        <family val="3"/>
        <charset val="136"/>
      </rPr>
      <t>建立破片清潔後確認機制</t>
    </r>
  </si>
  <si>
    <r>
      <rPr>
        <sz val="11"/>
        <color theme="1"/>
        <rFont val="細明體"/>
        <family val="3"/>
        <charset val="136"/>
      </rPr>
      <t>已建立破片處理SOP：立即停線並隔離區域與批次；完成碎片回收、清潔與廢棄物分類；清潔後由第二人覆核</t>
    </r>
    <r>
      <rPr>
        <sz val="11"/>
        <color theme="1"/>
        <rFont val="細明體"/>
        <family val="3"/>
        <charset val="136"/>
      </rPr>
      <t>；完成異常通報與紀錄，復機前主管簽核。</t>
    </r>
  </si>
  <si>
    <t>標籤內容核對（ID/Lot/Qty/狀態）</t>
  </si>
  <si>
    <t>確保標籤內容與FOSB內容物、NAS報表/工單一致</t>
  </si>
  <si>
    <t>錯誤出貨/混批、追溯錯誤、客戶收貨異常</t>
  </si>
  <si>
    <t>人工核對不足、掃描未執行、批號輸入錯誤、重工/NG狀態未更新</t>
  </si>
  <si>
    <t>1) 每批COA/工單與FOSB內容物核對；2) 條碼掃描比對（系統/表單）</t>
  </si>
  <si>
    <t>1) 每FOSB貼標前100%核對；2) 換工單/換批首件雙人覆核；3) 出貨前再次核對</t>
  </si>
  <si>
    <t>建立「標籤核對點檢表」並要求每FOSB 100% 記錄；導入條碼掃描與NAS報表勾稽；異常即刻Hold並啟動OCAP。</t>
  </si>
  <si>
    <t>品管課 / 2026-01-15</t>
  </si>
  <si>
    <t>已建立標籤核對點檢：每FOSB貼標前100%核對ID/Lot/Qty/狀態並記錄；換工單首件雙人覆核；出貨前由品管複核。</t>
  </si>
  <si>
    <t>CP-55</t>
  </si>
  <si>
    <t>貼標與再列印管理</t>
  </si>
  <si>
    <t>標籤貼附於指定位置且清晰可讀；再列印需作廢舊標籤並可追溯</t>
  </si>
  <si>
    <t>漏貼/貼錯位置/標籤不清晰/舊標籤未作廢導致雙標</t>
  </si>
  <si>
    <t>出貨識別錯誤、收貨誤判、混批風險增加</t>
  </si>
  <si>
    <t>貼標作業未標準化、缺少再列印管控、標籤材質/黏貼不良</t>
  </si>
  <si>
    <t>1) 指定貼標位置示意；2) 標籤材質與膠性驗證；3) 再列印需主管授權</t>
  </si>
  <si>
    <t>1) 目視檢查標籤位置與可讀性；2) 出貨檢查表納入貼標確認</t>
  </si>
  <si>
    <t>建立再列印（Reprint）流程：原因、授權、舊標籤作廢方式與紀錄；出貨檢查表新增標籤位置/可讀性/雙標確認項目。</t>
  </si>
  <si>
    <t>品管課/管理部 / 2026-01-15</t>
  </si>
  <si>
    <t>已建立再列印管控：需填寫Reprint紀錄並作廢舊標籤；出貨檢查表新增貼標位置/可讀性/雙標確認項目。</t>
  </si>
  <si>
    <t>CP-56</t>
  </si>
  <si>
    <t>S(嚴重度)</t>
  </si>
  <si>
    <t>等級</t>
  </si>
  <si>
    <t>說明（半導體清洗製程用）</t>
  </si>
  <si>
    <t>O(發生頻率)</t>
  </si>
  <si>
    <t>頻率</t>
  </si>
  <si>
    <t>半導體站別對應說明</t>
  </si>
  <si>
    <t>D（偵測度）</t>
  </si>
  <si>
    <t>偵測能力</t>
  </si>
  <si>
    <t>半導體站別對應</t>
  </si>
  <si>
    <t>重大失效</t>
  </si>
  <si>
    <t>造成 客戶停線、退貨、出貨中止</t>
  </si>
  <si>
    <t>很常發生</t>
  </si>
  <si>
    <t>&gt;10% 批次都遇到</t>
  </si>
  <si>
    <t>無法偵測</t>
  </si>
  <si>
    <t>生產後才發現（客戶驗出）</t>
  </si>
  <si>
    <t>客戶不良</t>
  </si>
  <si>
    <t>造成客戶 OOC、NC、CAR</t>
  </si>
  <si>
    <t>非常頻繁</t>
  </si>
  <si>
    <t>幾乎每週都發生</t>
  </si>
  <si>
    <t>很難偵測</t>
  </si>
  <si>
    <t>無 AOI、無量測（完全靠肉眼）</t>
  </si>
  <si>
    <t>產品重大缺陷</t>
  </si>
  <si>
    <t>破片、嚴重刮傷</t>
  </si>
  <si>
    <t>常見</t>
  </si>
  <si>
    <t>每週 2–3 次</t>
  </si>
  <si>
    <t>偵測弱</t>
  </si>
  <si>
    <t>AOI 有但靈敏度不穩定</t>
  </si>
  <si>
    <t>良率下降</t>
  </si>
  <si>
    <t>顆粒偏高、清洗不良、AOI 漏檢</t>
  </si>
  <si>
    <t>偶爾</t>
  </si>
  <si>
    <t>每週一次</t>
  </si>
  <si>
    <t>偵測不佳</t>
  </si>
  <si>
    <t>需要人工判讀</t>
  </si>
  <si>
    <t>製程重工</t>
  </si>
  <si>
    <t>洗不乾淨需重洗（不影響產品）</t>
  </si>
  <si>
    <t>中等</t>
  </si>
  <si>
    <t>每月 2–3 次</t>
  </si>
  <si>
    <t>AOI 有但無 Golden Sample 校準</t>
  </si>
  <si>
    <t>生產力降低</t>
  </si>
  <si>
    <t>造成重新量測、重跑 AOI</t>
  </si>
  <si>
    <t>不常</t>
  </si>
  <si>
    <t>每月一次</t>
  </si>
  <si>
    <t>可偵測</t>
  </si>
  <si>
    <t>有自動檢測但不精準</t>
  </si>
  <si>
    <t>小缺陷</t>
  </si>
  <si>
    <t>外觀瑕疵但不影響功能</t>
  </si>
  <si>
    <t>偶發</t>
  </si>
  <si>
    <t>每 2–3 個月一次</t>
  </si>
  <si>
    <t>良好</t>
  </si>
  <si>
    <t>有 SPC、AOI 群組比對</t>
  </si>
  <si>
    <t>微小影響</t>
  </si>
  <si>
    <t>設備短暫中斷、流程延遲</t>
  </si>
  <si>
    <t>低頻率</t>
  </si>
  <si>
    <t>半年一次</t>
  </si>
  <si>
    <t>很好</t>
  </si>
  <si>
    <t>有預警系統（Recipe Lock、Sensor）</t>
  </si>
  <si>
    <t>幾乎無影響</t>
  </si>
  <si>
    <t>不影響良率</t>
  </si>
  <si>
    <t>罕見</t>
  </si>
  <si>
    <t>一年一次</t>
  </si>
  <si>
    <t>極佳</t>
  </si>
  <si>
    <t>全自動檢測 + 聯鎖</t>
  </si>
  <si>
    <t>無影響</t>
  </si>
  <si>
    <t>完全不會造成缺陷</t>
  </si>
  <si>
    <t>幾乎不發生</t>
  </si>
  <si>
    <t>幾年一次</t>
  </si>
  <si>
    <t>幾乎完美</t>
  </si>
  <si>
    <t>不可能漏檢（雙重檢測）</t>
  </si>
  <si>
    <t>建立標籤列印的目視檢查。</t>
    <phoneticPr fontId="21" type="noConversion"/>
  </si>
  <si>
    <r>
      <rPr>
        <sz val="11"/>
        <color theme="1"/>
        <rFont val="細明體"/>
        <family val="3"/>
        <charset val="136"/>
      </rPr>
      <t>標籤內容與內容物不一致（</t>
    </r>
    <r>
      <rPr>
        <sz val="11"/>
        <color theme="1"/>
        <rFont val="Calibri"/>
        <family val="2"/>
      </rPr>
      <t>Part No.</t>
    </r>
    <r>
      <rPr>
        <sz val="11"/>
        <color theme="1"/>
        <rFont val="細明體"/>
        <family val="3"/>
        <charset val="136"/>
      </rPr>
      <t>料號</t>
    </r>
    <r>
      <rPr>
        <sz val="11"/>
        <color theme="1"/>
        <rFont val="Calibri"/>
        <family val="2"/>
      </rPr>
      <t>/Lot</t>
    </r>
    <r>
      <rPr>
        <sz val="11"/>
        <color theme="1"/>
        <rFont val="細明體"/>
        <family val="3"/>
        <charset val="136"/>
      </rPr>
      <t>生產批號</t>
    </r>
    <r>
      <rPr>
        <sz val="11"/>
        <color theme="1"/>
        <rFont val="Calibri"/>
        <family val="2"/>
      </rPr>
      <t>/Qty</t>
    </r>
    <r>
      <rPr>
        <sz val="11"/>
        <color theme="1"/>
        <rFont val="細明體"/>
        <family val="3"/>
        <charset val="136"/>
      </rPr>
      <t>數量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狀態錯誤）</t>
    </r>
    <phoneticPr fontId="21" type="noConversion"/>
  </si>
  <si>
    <t>設備防錯 (Mistake Proofing)： AOI 具備 OCR 功能自動抓取 玻璃ID，非人工輸入 。加目視檢查： 操作員貼標籤前核對標籤內容與工單資訊 。標準作業程序： 出貨包裝前 增加出貨單與標籤的最終核對站點 。</t>
    <phoneticPr fontId="21" type="noConversion"/>
  </si>
  <si>
    <t>標籤列印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</si>
</sst>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2"/>
      <color rgb="FF1F3864"/>
      <name val="Microsoft JhengHei"/>
      <family val="2"/>
      <charset val="136"/>
    </font>
    <font>
      <sz val="11"/>
      <name val="Calibri"/>
      <family val="2"/>
    </font>
    <font>
      <b/>
      <sz val="12"/>
      <color rgb="FF000000"/>
      <name val="Microsoft JhengHei"/>
      <family val="2"/>
      <charset val="136"/>
    </font>
    <font>
      <b/>
      <sz val="11"/>
      <color rgb="FF1F3864"/>
      <name val="Microsoft JhengHei"/>
      <family val="2"/>
      <charset val="136"/>
    </font>
    <font>
      <b/>
      <sz val="11"/>
      <color theme="1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i/>
      <sz val="10"/>
      <color rgb="FF404040"/>
      <name val="Microsoft JhengHei"/>
      <family val="2"/>
      <charset val="136"/>
    </font>
    <font>
      <sz val="48"/>
      <color theme="1"/>
      <name val="微軟正黑體 Bold"/>
      <family val="3"/>
      <charset val="136"/>
    </font>
    <font>
      <sz val="11"/>
      <color theme="1"/>
      <name val="PMingLiu"/>
    </font>
    <font>
      <sz val="11"/>
      <color theme="1"/>
      <name val="MingLiu"/>
      <family val="3"/>
      <charset val="136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PMingLiU"/>
    </font>
    <font>
      <b/>
      <sz val="11"/>
      <color theme="1"/>
      <name val="DFKai-SB"/>
    </font>
    <font>
      <sz val="11"/>
      <color theme="1"/>
      <name val="DFKai-SB"/>
    </font>
    <font>
      <b/>
      <sz val="11"/>
      <color theme="1"/>
      <name val="細明體"/>
      <family val="3"/>
      <charset val="136"/>
    </font>
    <font>
      <sz val="11"/>
      <color theme="1"/>
      <name val="細明體"/>
      <family val="3"/>
      <charset val="136"/>
    </font>
    <font>
      <sz val="9"/>
      <name val="Calibri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6"/>
        <bgColor rgb="FFFFFCE6"/>
      </patternFill>
    </fill>
    <fill>
      <patternFill patternType="solid">
        <fgColor rgb="FFD8D8D8"/>
        <bgColor rgb="FFD8D8D8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 applyFont="1" applyAlignment="1"/>
    <xf numFmtId="0" fontId="1" fillId="0" borderId="0" xfId="0" applyFont="1"/>
    <xf numFmtId="0" fontId="7" fillId="0" borderId="15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3" xfId="0" applyFont="1" applyBorder="1" applyAlignment="1">
      <alignment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left" vertical="center"/>
    </xf>
    <xf numFmtId="0" fontId="10" fillId="0" borderId="23" xfId="0" applyFont="1" applyBorder="1" applyAlignment="1">
      <alignment vertical="top" wrapText="1"/>
    </xf>
    <xf numFmtId="0" fontId="10" fillId="5" borderId="2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vertical="center"/>
    </xf>
    <xf numFmtId="0" fontId="10" fillId="6" borderId="22" xfId="0" applyFont="1" applyFill="1" applyBorder="1" applyAlignment="1">
      <alignment horizontal="left" vertical="center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vertical="top" wrapText="1"/>
    </xf>
    <xf numFmtId="0" fontId="11" fillId="6" borderId="22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2" xfId="0" applyFont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0" fillId="0" borderId="22" xfId="0" applyFont="1" applyBorder="1" applyAlignment="1">
      <alignment vertical="top" wrapText="1"/>
    </xf>
    <xf numFmtId="0" fontId="10" fillId="7" borderId="22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7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vertical="center"/>
    </xf>
    <xf numFmtId="0" fontId="1" fillId="6" borderId="22" xfId="0" applyFont="1" applyFill="1" applyBorder="1" applyAlignment="1">
      <alignment vertical="center"/>
    </xf>
    <xf numFmtId="0" fontId="7" fillId="6" borderId="22" xfId="0" applyFont="1" applyFill="1" applyBorder="1" applyAlignment="1">
      <alignment vertical="center"/>
    </xf>
    <xf numFmtId="0" fontId="10" fillId="6" borderId="22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vertical="center" wrapText="1"/>
    </xf>
    <xf numFmtId="0" fontId="10" fillId="6" borderId="22" xfId="0" applyFont="1" applyFill="1" applyBorder="1" applyAlignment="1">
      <alignment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vertical="center"/>
    </xf>
    <xf numFmtId="0" fontId="10" fillId="6" borderId="28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vertical="top" wrapText="1"/>
    </xf>
    <xf numFmtId="0" fontId="11" fillId="6" borderId="29" xfId="0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10" fillId="8" borderId="22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vertical="center"/>
    </xf>
    <xf numFmtId="0" fontId="1" fillId="8" borderId="22" xfId="0" applyFont="1" applyFill="1" applyBorder="1" applyAlignment="1">
      <alignment vertical="center"/>
    </xf>
    <xf numFmtId="0" fontId="10" fillId="8" borderId="22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vertical="center" wrapText="1"/>
    </xf>
    <xf numFmtId="0" fontId="10" fillId="8" borderId="22" xfId="0" applyFont="1" applyFill="1" applyBorder="1" applyAlignment="1">
      <alignment vertical="top" wrapText="1"/>
    </xf>
    <xf numFmtId="0" fontId="1" fillId="8" borderId="0" xfId="0" applyFont="1" applyFill="1"/>
    <xf numFmtId="0" fontId="1" fillId="0" borderId="23" xfId="0" applyFont="1" applyBorder="1" applyAlignment="1">
      <alignment vertical="center"/>
    </xf>
    <xf numFmtId="0" fontId="10" fillId="6" borderId="2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9" borderId="22" xfId="0" applyFont="1" applyFill="1" applyBorder="1" applyAlignment="1"/>
    <xf numFmtId="0" fontId="13" fillId="8" borderId="0" xfId="0" applyFont="1" applyFill="1"/>
    <xf numFmtId="0" fontId="10" fillId="6" borderId="28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vertical="top" wrapText="1"/>
    </xf>
    <xf numFmtId="0" fontId="10" fillId="8" borderId="24" xfId="0" applyFont="1" applyFill="1" applyBorder="1" applyAlignment="1">
      <alignment horizontal="center" vertical="center" wrapText="1"/>
    </xf>
    <xf numFmtId="0" fontId="1" fillId="8" borderId="31" xfId="0" applyFont="1" applyFill="1" applyBorder="1"/>
    <xf numFmtId="0" fontId="1" fillId="0" borderId="2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/>
    </xf>
    <xf numFmtId="0" fontId="10" fillId="0" borderId="29" xfId="0" applyFont="1" applyBorder="1" applyAlignment="1">
      <alignment vertical="top" wrapText="1"/>
    </xf>
    <xf numFmtId="0" fontId="1" fillId="0" borderId="29" xfId="0" applyFont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vertical="center"/>
    </xf>
    <xf numFmtId="0" fontId="1" fillId="6" borderId="22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6" fillId="9" borderId="22" xfId="0" applyFont="1" applyFill="1" applyBorder="1" applyAlignment="1">
      <alignment horizontal="center"/>
    </xf>
    <xf numFmtId="0" fontId="16" fillId="9" borderId="22" xfId="0" applyFont="1" applyFill="1" applyBorder="1" applyAlignment="1">
      <alignment horizontal="center"/>
    </xf>
    <xf numFmtId="0" fontId="16" fillId="9" borderId="22" xfId="0" applyFont="1" applyFill="1" applyBorder="1" applyAlignment="1">
      <alignment vertical="top"/>
    </xf>
    <xf numFmtId="0" fontId="16" fillId="9" borderId="7" xfId="0" applyFont="1" applyFill="1" applyBorder="1" applyAlignment="1">
      <alignment horizontal="center"/>
    </xf>
    <xf numFmtId="0" fontId="16" fillId="9" borderId="22" xfId="0" applyFont="1" applyFill="1" applyBorder="1" applyAlignment="1">
      <alignment vertical="top"/>
    </xf>
    <xf numFmtId="0" fontId="1" fillId="0" borderId="23" xfId="0" applyFont="1" applyBorder="1"/>
    <xf numFmtId="0" fontId="12" fillId="5" borderId="22" xfId="0" applyFont="1" applyFill="1" applyBorder="1" applyAlignment="1"/>
    <xf numFmtId="0" fontId="16" fillId="5" borderId="22" xfId="0" applyFont="1" applyFill="1" applyBorder="1" applyAlignment="1">
      <alignment horizontal="center"/>
    </xf>
    <xf numFmtId="0" fontId="16" fillId="5" borderId="22" xfId="0" applyFont="1" applyFill="1" applyBorder="1" applyAlignment="1">
      <alignment horizontal="center"/>
    </xf>
    <xf numFmtId="0" fontId="16" fillId="5" borderId="22" xfId="0" applyFont="1" applyFill="1" applyBorder="1" applyAlignment="1">
      <alignment vertical="top"/>
    </xf>
    <xf numFmtId="0" fontId="16" fillId="5" borderId="7" xfId="0" applyFont="1" applyFill="1" applyBorder="1" applyAlignment="1">
      <alignment horizontal="center"/>
    </xf>
    <xf numFmtId="0" fontId="16" fillId="5" borderId="22" xfId="0" applyFont="1" applyFill="1" applyBorder="1" applyAlignment="1">
      <alignment vertical="top"/>
    </xf>
    <xf numFmtId="0" fontId="1" fillId="0" borderId="22" xfId="0" applyFont="1" applyBorder="1"/>
    <xf numFmtId="0" fontId="17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0" xfId="0" applyFont="1"/>
    <xf numFmtId="0" fontId="6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7" fillId="0" borderId="1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4" fillId="0" borderId="7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3" fillId="0" borderId="11" xfId="0" applyFont="1" applyBorder="1"/>
    <xf numFmtId="0" fontId="3" fillId="0" borderId="12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0" fontId="7" fillId="0" borderId="15" xfId="0" applyFont="1" applyBorder="1" applyAlignment="1">
      <alignment horizontal="center" vertical="center" wrapText="1"/>
    </xf>
    <xf numFmtId="14" fontId="7" fillId="0" borderId="13" xfId="0" applyNumberFormat="1" applyFont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3" fillId="0" borderId="19" xfId="0" applyFont="1" applyBorder="1"/>
    <xf numFmtId="0" fontId="7" fillId="0" borderId="20" xfId="0" applyFont="1" applyBorder="1" applyAlignment="1">
      <alignment horizontal="left" vertical="center" wrapText="1"/>
    </xf>
    <xf numFmtId="0" fontId="3" fillId="0" borderId="21" xfId="0" applyFont="1" applyBorder="1"/>
    <xf numFmtId="0" fontId="8" fillId="4" borderId="1" xfId="0" applyFont="1" applyFill="1" applyBorder="1" applyAlignment="1">
      <alignment horizontal="left" vertical="top" wrapText="1"/>
    </xf>
    <xf numFmtId="0" fontId="9" fillId="5" borderId="7" xfId="0" applyFont="1" applyFill="1" applyBorder="1" applyAlignment="1">
      <alignment horizontal="center" vertical="center"/>
    </xf>
    <xf numFmtId="0" fontId="13" fillId="0" borderId="0" xfId="0" applyFont="1" applyFill="1"/>
    <xf numFmtId="0" fontId="10" fillId="0" borderId="27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vertical="center"/>
    </xf>
    <xf numFmtId="0" fontId="1" fillId="0" borderId="28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vertical="top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vertical="center"/>
    </xf>
  </cellXfs>
  <cellStyles count="1">
    <cellStyle name="一般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PFMEA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2:T51">
  <tableColumns count="20">
    <tableColumn id="1" name="製程名稱"/>
    <tableColumn id="2" name="Process Step 製程步驟"/>
    <tableColumn id="3" name="Function / Requirement 製程功能/要求"/>
    <tableColumn id="4" name="Potential Failure Mode 潛在失效模式"/>
    <tableColumn id="5" name="Potential Effects of Failure 潛在失效後果"/>
    <tableColumn id="6" name="Severity (S) 嚴重度"/>
    <tableColumn id="7" name="Potential Causes of Failure 潛在失效原因"/>
    <tableColumn id="8" name="Occurrence (O) 發生頻度"/>
    <tableColumn id="9" name="Current Process Controls – Prevention 目前預防管制"/>
    <tableColumn id="10" name="Current Process Controls – Detection 目前偵測管制"/>
    <tableColumn id="11" name="Detection (D) 偵測度"/>
    <tableColumn id="12" name="RPN 風險優先數"/>
    <tableColumn id="13" name="Recommended Actions 建議改善措施"/>
    <tableColumn id="14" name="Responsibility / Target Date 責任人/目標完成時間"/>
    <tableColumn id="15" name="Action Taken 實際採取措施"/>
    <tableColumn id="16" name="S after Action 改善後S"/>
    <tableColumn id="17" name="O after Action 改善後O"/>
    <tableColumn id="18" name="D after Action 改善後D"/>
    <tableColumn id="19" name="RPN after Action 改善後RPN"/>
    <tableColumn id="20" name="對應control plan編號"/>
  </tableColumns>
  <tableStyleInfo name="PFME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/>
  <cols>
    <col min="1" max="1" width="4" customWidth="1"/>
    <col min="2" max="7" width="18" customWidth="1"/>
    <col min="8" max="26" width="8.7109375" customWidth="1"/>
  </cols>
  <sheetData>
    <row r="1" spans="1:26" ht="27.75" customHeight="1">
      <c r="A1" s="1"/>
      <c r="B1" s="97" t="s">
        <v>0</v>
      </c>
      <c r="C1" s="98"/>
      <c r="D1" s="98"/>
      <c r="E1" s="98"/>
      <c r="F1" s="98"/>
      <c r="G1" s="9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>
      <c r="A2" s="1"/>
      <c r="B2" s="100"/>
      <c r="C2" s="101"/>
      <c r="D2" s="101"/>
      <c r="E2" s="101"/>
      <c r="F2" s="101"/>
      <c r="G2" s="10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103" t="s">
        <v>1</v>
      </c>
      <c r="C3" s="104"/>
      <c r="D3" s="104"/>
      <c r="E3" s="104"/>
      <c r="F3" s="104"/>
      <c r="G3" s="1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>
      <c r="A4" s="1"/>
      <c r="B4" s="106" t="s">
        <v>2</v>
      </c>
      <c r="C4" s="104"/>
      <c r="D4" s="104"/>
      <c r="E4" s="104"/>
      <c r="F4" s="104"/>
      <c r="G4" s="10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1"/>
      <c r="B5" s="107" t="s">
        <v>3</v>
      </c>
      <c r="C5" s="108"/>
      <c r="D5" s="108"/>
      <c r="E5" s="108"/>
      <c r="F5" s="108"/>
      <c r="G5" s="10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94" t="s">
        <v>4</v>
      </c>
      <c r="C6" s="95"/>
      <c r="D6" s="96" t="s">
        <v>0</v>
      </c>
      <c r="E6" s="95"/>
      <c r="F6" s="110" t="s">
        <v>5</v>
      </c>
      <c r="G6" s="113" t="s">
        <v>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94" t="s">
        <v>7</v>
      </c>
      <c r="C7" s="95"/>
      <c r="D7" s="96" t="s">
        <v>8</v>
      </c>
      <c r="E7" s="95"/>
      <c r="F7" s="111"/>
      <c r="G7" s="1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94" t="s">
        <v>9</v>
      </c>
      <c r="C8" s="95"/>
      <c r="D8" s="96" t="s">
        <v>10</v>
      </c>
      <c r="E8" s="95"/>
      <c r="F8" s="111"/>
      <c r="G8" s="1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94" t="s">
        <v>11</v>
      </c>
      <c r="C9" s="95"/>
      <c r="D9" s="96" t="s">
        <v>12</v>
      </c>
      <c r="E9" s="95"/>
      <c r="F9" s="112"/>
      <c r="G9" s="1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94" t="s">
        <v>13</v>
      </c>
      <c r="C10" s="95"/>
      <c r="D10" s="114">
        <v>46006</v>
      </c>
      <c r="E10" s="95"/>
      <c r="F10" s="3" t="s">
        <v>14</v>
      </c>
      <c r="G10" s="4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5.25" customHeight="1">
      <c r="A11" s="1"/>
      <c r="B11" s="94" t="s">
        <v>16</v>
      </c>
      <c r="C11" s="95"/>
      <c r="D11" s="96" t="s">
        <v>17</v>
      </c>
      <c r="E11" s="95"/>
      <c r="F11" s="3" t="s">
        <v>18</v>
      </c>
      <c r="G11" s="4" t="s">
        <v>19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115" t="s">
        <v>20</v>
      </c>
      <c r="C12" s="116"/>
      <c r="D12" s="116"/>
      <c r="E12" s="116"/>
      <c r="F12" s="116"/>
      <c r="G12" s="9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3" t="s">
        <v>21</v>
      </c>
      <c r="C13" s="96" t="s">
        <v>22</v>
      </c>
      <c r="D13" s="116"/>
      <c r="E13" s="95"/>
      <c r="F13" s="96" t="s">
        <v>23</v>
      </c>
      <c r="G13" s="9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3" t="s">
        <v>24</v>
      </c>
      <c r="C14" s="96" t="s">
        <v>25</v>
      </c>
      <c r="D14" s="116"/>
      <c r="E14" s="95"/>
      <c r="F14" s="96" t="s">
        <v>23</v>
      </c>
      <c r="G14" s="9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1"/>
      <c r="B15" s="3" t="s">
        <v>26</v>
      </c>
      <c r="C15" s="96" t="s">
        <v>27</v>
      </c>
      <c r="D15" s="116"/>
      <c r="E15" s="95"/>
      <c r="F15" s="96" t="s">
        <v>23</v>
      </c>
      <c r="G15" s="9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115" t="s">
        <v>28</v>
      </c>
      <c r="C16" s="116"/>
      <c r="D16" s="116"/>
      <c r="E16" s="116"/>
      <c r="F16" s="116"/>
      <c r="G16" s="9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3" t="s">
        <v>29</v>
      </c>
      <c r="C17" s="3" t="s">
        <v>30</v>
      </c>
      <c r="D17" s="94" t="s">
        <v>31</v>
      </c>
      <c r="E17" s="95"/>
      <c r="F17" s="3" t="s">
        <v>32</v>
      </c>
      <c r="G17" s="3" t="s">
        <v>33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5"/>
      <c r="C18" s="5"/>
      <c r="D18" s="96"/>
      <c r="E18" s="95"/>
      <c r="F18" s="4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5"/>
      <c r="C19" s="5"/>
      <c r="D19" s="96"/>
      <c r="E19" s="95"/>
      <c r="F19" s="4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5"/>
      <c r="C20" s="5"/>
      <c r="D20" s="96"/>
      <c r="E20" s="95"/>
      <c r="F20" s="4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2"/>
      <c r="C21" s="2"/>
      <c r="D21" s="117"/>
      <c r="E21" s="118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19" t="s">
        <v>34</v>
      </c>
      <c r="C22" s="98"/>
      <c r="D22" s="98"/>
      <c r="E22" s="98"/>
      <c r="F22" s="98"/>
      <c r="G22" s="9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00"/>
      <c r="C23" s="101"/>
      <c r="D23" s="101"/>
      <c r="E23" s="101"/>
      <c r="F23" s="101"/>
      <c r="G23" s="10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B22:G23"/>
    <mergeCell ref="C13:E13"/>
    <mergeCell ref="F13:G13"/>
    <mergeCell ref="C14:E14"/>
    <mergeCell ref="F14:G14"/>
    <mergeCell ref="C15:E15"/>
    <mergeCell ref="F15:G15"/>
    <mergeCell ref="B16:G16"/>
    <mergeCell ref="D17:E17"/>
    <mergeCell ref="D18:E18"/>
    <mergeCell ref="D19:E19"/>
    <mergeCell ref="D20:E20"/>
    <mergeCell ref="D21:E21"/>
    <mergeCell ref="B10:C10"/>
    <mergeCell ref="D10:E10"/>
    <mergeCell ref="B11:C11"/>
    <mergeCell ref="D11:E11"/>
    <mergeCell ref="B12:G12"/>
    <mergeCell ref="B1:G2"/>
    <mergeCell ref="B3:G3"/>
    <mergeCell ref="B4:G4"/>
    <mergeCell ref="B5:G5"/>
    <mergeCell ref="D6:E6"/>
    <mergeCell ref="F6:F9"/>
    <mergeCell ref="G6:G9"/>
    <mergeCell ref="B9:C9"/>
    <mergeCell ref="D9:E9"/>
    <mergeCell ref="B6:C6"/>
    <mergeCell ref="B7:C7"/>
    <mergeCell ref="D7:E7"/>
    <mergeCell ref="B8:C8"/>
    <mergeCell ref="D8:E8"/>
  </mergeCells>
  <phoneticPr fontId="21" type="noConversion"/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000"/>
  <sheetViews>
    <sheetView tabSelected="1" zoomScale="90" zoomScaleNormal="90" workbookViewId="0">
      <pane ySplit="2" topLeftCell="A40" activePane="bottomLeft" state="frozen"/>
      <selection pane="bottomLeft" activeCell="B46" sqref="B46"/>
    </sheetView>
  </sheetViews>
  <sheetFormatPr defaultColWidth="14.42578125" defaultRowHeight="15" customHeight="1"/>
  <cols>
    <col min="1" max="1" width="11" customWidth="1"/>
    <col min="2" max="2" width="31.85546875" customWidth="1"/>
    <col min="3" max="3" width="58.42578125" customWidth="1"/>
    <col min="4" max="4" width="58" customWidth="1"/>
    <col min="5" max="5" width="63.42578125" customWidth="1"/>
    <col min="6" max="6" width="10.42578125" customWidth="1"/>
    <col min="7" max="7" width="49.85546875" customWidth="1"/>
    <col min="8" max="8" width="9.42578125" customWidth="1"/>
    <col min="9" max="9" width="52.42578125" customWidth="1"/>
    <col min="10" max="10" width="51.42578125" customWidth="1"/>
    <col min="11" max="11" width="10.42578125" customWidth="1"/>
    <col min="12" max="12" width="9.140625" customWidth="1"/>
    <col min="13" max="13" width="52.140625" customWidth="1"/>
    <col min="14" max="14" width="22" customWidth="1"/>
    <col min="15" max="15" width="27" customWidth="1"/>
    <col min="16" max="16" width="13.140625" customWidth="1"/>
    <col min="17" max="18" width="13" customWidth="1"/>
    <col min="19" max="19" width="15.42578125" customWidth="1"/>
    <col min="20" max="20" width="22.42578125" customWidth="1"/>
  </cols>
  <sheetData>
    <row r="1" spans="1:20" ht="93" customHeight="1">
      <c r="A1" s="120" t="s">
        <v>35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5"/>
    </row>
    <row r="2" spans="1:20" ht="60" customHeight="1">
      <c r="A2" s="7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7" t="s">
        <v>49</v>
      </c>
      <c r="O2" s="7" t="s">
        <v>50</v>
      </c>
      <c r="P2" s="7" t="s">
        <v>51</v>
      </c>
      <c r="Q2" s="7" t="s">
        <v>52</v>
      </c>
      <c r="R2" s="7" t="s">
        <v>53</v>
      </c>
      <c r="S2" s="7" t="s">
        <v>54</v>
      </c>
      <c r="T2" s="7" t="s">
        <v>55</v>
      </c>
    </row>
    <row r="3" spans="1:20" ht="47.25" customHeight="1">
      <c r="A3" s="8" t="s">
        <v>56</v>
      </c>
      <c r="B3" s="9" t="s">
        <v>57</v>
      </c>
      <c r="C3" s="9" t="s">
        <v>58</v>
      </c>
      <c r="D3" s="9" t="s">
        <v>59</v>
      </c>
      <c r="E3" s="9" t="s">
        <v>60</v>
      </c>
      <c r="F3" s="10">
        <v>7</v>
      </c>
      <c r="G3" s="9" t="s">
        <v>61</v>
      </c>
      <c r="H3" s="10">
        <v>3</v>
      </c>
      <c r="I3" s="11" t="s">
        <v>62</v>
      </c>
      <c r="J3" s="11" t="s">
        <v>63</v>
      </c>
      <c r="K3" s="10">
        <v>4</v>
      </c>
      <c r="L3" s="10">
        <f t="shared" ref="L3:L52" si="0">F3*H3*K3</f>
        <v>84</v>
      </c>
      <c r="M3" s="12" t="s">
        <v>64</v>
      </c>
      <c r="N3" s="10" t="s">
        <v>65</v>
      </c>
      <c r="O3" s="13" t="s">
        <v>66</v>
      </c>
      <c r="P3" s="10">
        <v>7</v>
      </c>
      <c r="Q3" s="10">
        <v>2</v>
      </c>
      <c r="R3" s="10">
        <v>2</v>
      </c>
      <c r="S3" s="14">
        <v>28</v>
      </c>
      <c r="T3" s="10">
        <v>1</v>
      </c>
    </row>
    <row r="4" spans="1:20" ht="63" customHeight="1">
      <c r="A4" s="15"/>
      <c r="B4" s="16" t="s">
        <v>67</v>
      </c>
      <c r="C4" s="17" t="s">
        <v>68</v>
      </c>
      <c r="D4" s="17" t="s">
        <v>69</v>
      </c>
      <c r="E4" s="17" t="s">
        <v>70</v>
      </c>
      <c r="F4" s="18">
        <v>7</v>
      </c>
      <c r="G4" s="17" t="s">
        <v>71</v>
      </c>
      <c r="H4" s="18">
        <v>4</v>
      </c>
      <c r="I4" s="17" t="s">
        <v>72</v>
      </c>
      <c r="J4" s="17" t="s">
        <v>73</v>
      </c>
      <c r="K4" s="18">
        <v>6</v>
      </c>
      <c r="L4" s="18">
        <f t="shared" si="0"/>
        <v>168</v>
      </c>
      <c r="M4" s="19" t="s">
        <v>74</v>
      </c>
      <c r="N4" s="20" t="s">
        <v>75</v>
      </c>
      <c r="O4" s="19" t="s">
        <v>76</v>
      </c>
      <c r="P4" s="18">
        <v>7</v>
      </c>
      <c r="Q4" s="18">
        <v>3</v>
      </c>
      <c r="R4" s="18">
        <v>4</v>
      </c>
      <c r="S4" s="21">
        <v>84</v>
      </c>
      <c r="T4" s="18">
        <v>2</v>
      </c>
    </row>
    <row r="5" spans="1:20" ht="66.75" customHeight="1">
      <c r="A5" s="15"/>
      <c r="B5" s="16" t="s">
        <v>77</v>
      </c>
      <c r="C5" s="17" t="s">
        <v>78</v>
      </c>
      <c r="D5" s="17" t="s">
        <v>79</v>
      </c>
      <c r="E5" s="17" t="s">
        <v>80</v>
      </c>
      <c r="F5" s="18">
        <v>8</v>
      </c>
      <c r="G5" s="17" t="s">
        <v>81</v>
      </c>
      <c r="H5" s="18">
        <v>3</v>
      </c>
      <c r="I5" s="17" t="s">
        <v>82</v>
      </c>
      <c r="J5" s="17" t="s">
        <v>83</v>
      </c>
      <c r="K5" s="18">
        <v>5</v>
      </c>
      <c r="L5" s="18">
        <f t="shared" si="0"/>
        <v>120</v>
      </c>
      <c r="M5" s="19" t="s">
        <v>84</v>
      </c>
      <c r="N5" s="20" t="s">
        <v>75</v>
      </c>
      <c r="O5" s="19" t="s">
        <v>85</v>
      </c>
      <c r="P5" s="18">
        <v>8</v>
      </c>
      <c r="Q5" s="18">
        <v>2</v>
      </c>
      <c r="R5" s="18">
        <v>3</v>
      </c>
      <c r="S5" s="21">
        <v>48</v>
      </c>
      <c r="T5" s="18">
        <v>3</v>
      </c>
    </row>
    <row r="6" spans="1:20" ht="59.25" customHeight="1">
      <c r="A6" s="15"/>
      <c r="B6" s="16" t="s">
        <v>86</v>
      </c>
      <c r="C6" s="17" t="s">
        <v>87</v>
      </c>
      <c r="D6" s="17" t="s">
        <v>88</v>
      </c>
      <c r="E6" s="17" t="s">
        <v>89</v>
      </c>
      <c r="F6" s="18">
        <v>6</v>
      </c>
      <c r="G6" s="17" t="s">
        <v>90</v>
      </c>
      <c r="H6" s="18">
        <v>4</v>
      </c>
      <c r="I6" s="17" t="s">
        <v>91</v>
      </c>
      <c r="J6" s="17" t="s">
        <v>92</v>
      </c>
      <c r="K6" s="18">
        <v>6</v>
      </c>
      <c r="L6" s="18">
        <f t="shared" si="0"/>
        <v>144</v>
      </c>
      <c r="M6" s="19" t="s">
        <v>93</v>
      </c>
      <c r="N6" s="20" t="s">
        <v>75</v>
      </c>
      <c r="O6" s="19" t="s">
        <v>94</v>
      </c>
      <c r="P6" s="18">
        <v>6</v>
      </c>
      <c r="Q6" s="18">
        <v>3</v>
      </c>
      <c r="R6" s="18">
        <v>4</v>
      </c>
      <c r="S6" s="21">
        <v>72</v>
      </c>
      <c r="T6" s="18">
        <v>4</v>
      </c>
    </row>
    <row r="7" spans="1:20" ht="110.25" customHeight="1">
      <c r="A7" s="15" t="s">
        <v>95</v>
      </c>
      <c r="B7" s="19" t="s">
        <v>96</v>
      </c>
      <c r="C7" s="17" t="s">
        <v>97</v>
      </c>
      <c r="D7" s="17" t="s">
        <v>98</v>
      </c>
      <c r="E7" s="17" t="s">
        <v>99</v>
      </c>
      <c r="F7" s="18">
        <v>8</v>
      </c>
      <c r="G7" s="17" t="s">
        <v>100</v>
      </c>
      <c r="H7" s="18">
        <v>4</v>
      </c>
      <c r="I7" s="17" t="s">
        <v>101</v>
      </c>
      <c r="J7" s="17" t="s">
        <v>102</v>
      </c>
      <c r="K7" s="18">
        <v>5</v>
      </c>
      <c r="L7" s="18">
        <f t="shared" si="0"/>
        <v>160</v>
      </c>
      <c r="M7" s="19" t="s">
        <v>103</v>
      </c>
      <c r="N7" s="20" t="s">
        <v>75</v>
      </c>
      <c r="O7" s="19" t="s">
        <v>104</v>
      </c>
      <c r="P7" s="18">
        <v>8</v>
      </c>
      <c r="Q7" s="18">
        <v>3</v>
      </c>
      <c r="R7" s="18">
        <v>3</v>
      </c>
      <c r="S7" s="21">
        <v>72</v>
      </c>
      <c r="T7" s="18">
        <v>5</v>
      </c>
    </row>
    <row r="8" spans="1:20" ht="14.25" customHeight="1">
      <c r="A8" s="22"/>
      <c r="B8" s="23" t="s">
        <v>105</v>
      </c>
      <c r="C8" s="24" t="s">
        <v>106</v>
      </c>
      <c r="D8" s="23" t="s">
        <v>107</v>
      </c>
      <c r="E8" s="23" t="s">
        <v>108</v>
      </c>
      <c r="F8" s="7">
        <v>7</v>
      </c>
      <c r="G8" s="23" t="s">
        <v>109</v>
      </c>
      <c r="H8" s="7">
        <v>3</v>
      </c>
      <c r="I8" s="23" t="s">
        <v>110</v>
      </c>
      <c r="J8" s="23" t="s">
        <v>111</v>
      </c>
      <c r="K8" s="7">
        <v>4</v>
      </c>
      <c r="L8" s="7">
        <f t="shared" si="0"/>
        <v>84</v>
      </c>
      <c r="M8" s="25" t="s">
        <v>64</v>
      </c>
      <c r="N8" s="10" t="s">
        <v>65</v>
      </c>
      <c r="O8" s="26" t="s">
        <v>66</v>
      </c>
      <c r="P8" s="7">
        <v>7</v>
      </c>
      <c r="Q8" s="7">
        <v>2</v>
      </c>
      <c r="R8" s="7">
        <v>2</v>
      </c>
      <c r="S8" s="27">
        <v>28</v>
      </c>
      <c r="T8" s="18">
        <v>6</v>
      </c>
    </row>
    <row r="9" spans="1:20" ht="14.25" customHeight="1">
      <c r="A9" s="22"/>
      <c r="B9" s="23" t="s">
        <v>112</v>
      </c>
      <c r="C9" s="24" t="s">
        <v>113</v>
      </c>
      <c r="D9" s="23" t="s">
        <v>114</v>
      </c>
      <c r="E9" s="23" t="s">
        <v>115</v>
      </c>
      <c r="F9" s="7">
        <v>6</v>
      </c>
      <c r="G9" s="23" t="s">
        <v>116</v>
      </c>
      <c r="H9" s="7">
        <v>4</v>
      </c>
      <c r="I9" s="23" t="s">
        <v>117</v>
      </c>
      <c r="J9" s="23" t="s">
        <v>118</v>
      </c>
      <c r="K9" s="7">
        <v>3</v>
      </c>
      <c r="L9" s="7">
        <f t="shared" si="0"/>
        <v>72</v>
      </c>
      <c r="M9" s="25" t="s">
        <v>64</v>
      </c>
      <c r="N9" s="10" t="s">
        <v>65</v>
      </c>
      <c r="O9" s="28" t="s">
        <v>66</v>
      </c>
      <c r="P9" s="7">
        <v>6</v>
      </c>
      <c r="Q9" s="7">
        <v>3</v>
      </c>
      <c r="R9" s="7">
        <v>1</v>
      </c>
      <c r="S9" s="27">
        <v>18</v>
      </c>
      <c r="T9" s="18">
        <v>7</v>
      </c>
    </row>
    <row r="10" spans="1:20" ht="75.75" customHeight="1">
      <c r="A10" s="15"/>
      <c r="B10" s="16" t="s">
        <v>119</v>
      </c>
      <c r="C10" s="17" t="s">
        <v>120</v>
      </c>
      <c r="D10" s="16" t="s">
        <v>121</v>
      </c>
      <c r="E10" s="16" t="s">
        <v>122</v>
      </c>
      <c r="F10" s="18">
        <v>7</v>
      </c>
      <c r="G10" s="16" t="s">
        <v>123</v>
      </c>
      <c r="H10" s="18">
        <v>4</v>
      </c>
      <c r="I10" s="16" t="s">
        <v>124</v>
      </c>
      <c r="J10" s="16" t="s">
        <v>125</v>
      </c>
      <c r="K10" s="18">
        <v>6</v>
      </c>
      <c r="L10" s="18">
        <f t="shared" si="0"/>
        <v>168</v>
      </c>
      <c r="M10" s="19" t="s">
        <v>126</v>
      </c>
      <c r="N10" s="20" t="s">
        <v>75</v>
      </c>
      <c r="O10" s="19" t="s">
        <v>127</v>
      </c>
      <c r="P10" s="18">
        <v>7</v>
      </c>
      <c r="Q10" s="18">
        <v>3</v>
      </c>
      <c r="R10" s="18">
        <v>4</v>
      </c>
      <c r="S10" s="21">
        <v>84</v>
      </c>
      <c r="T10" s="18">
        <v>8</v>
      </c>
    </row>
    <row r="11" spans="1:20" ht="14.25" customHeight="1">
      <c r="A11" s="22" t="s">
        <v>128</v>
      </c>
      <c r="B11" s="29" t="s">
        <v>129</v>
      </c>
      <c r="C11" s="30" t="s">
        <v>130</v>
      </c>
      <c r="D11" s="30" t="s">
        <v>131</v>
      </c>
      <c r="E11" s="29" t="s">
        <v>132</v>
      </c>
      <c r="F11" s="7">
        <v>4</v>
      </c>
      <c r="G11" s="29" t="s">
        <v>133</v>
      </c>
      <c r="H11" s="7">
        <v>3</v>
      </c>
      <c r="I11" s="30" t="s">
        <v>134</v>
      </c>
      <c r="J11" s="30" t="s">
        <v>135</v>
      </c>
      <c r="K11" s="7">
        <v>3</v>
      </c>
      <c r="L11" s="7">
        <f t="shared" si="0"/>
        <v>36</v>
      </c>
      <c r="M11" s="25" t="s">
        <v>64</v>
      </c>
      <c r="N11" s="10" t="s">
        <v>65</v>
      </c>
      <c r="O11" s="28" t="s">
        <v>66</v>
      </c>
      <c r="P11" s="7">
        <v>4</v>
      </c>
      <c r="Q11" s="7">
        <v>2</v>
      </c>
      <c r="R11" s="7">
        <v>1</v>
      </c>
      <c r="S11" s="27">
        <v>8</v>
      </c>
      <c r="T11" s="18">
        <v>9</v>
      </c>
    </row>
    <row r="12" spans="1:20" ht="14.25" customHeight="1">
      <c r="A12" s="22"/>
      <c r="B12" s="30" t="s">
        <v>136</v>
      </c>
      <c r="C12" s="30" t="s">
        <v>137</v>
      </c>
      <c r="D12" s="29" t="s">
        <v>138</v>
      </c>
      <c r="E12" s="30" t="s">
        <v>139</v>
      </c>
      <c r="F12" s="7">
        <v>4</v>
      </c>
      <c r="G12" s="29" t="s">
        <v>140</v>
      </c>
      <c r="H12" s="7">
        <v>3</v>
      </c>
      <c r="I12" s="30" t="s">
        <v>141</v>
      </c>
      <c r="J12" s="30" t="s">
        <v>142</v>
      </c>
      <c r="K12" s="7">
        <v>3</v>
      </c>
      <c r="L12" s="7">
        <f t="shared" si="0"/>
        <v>36</v>
      </c>
      <c r="M12" s="25" t="s">
        <v>64</v>
      </c>
      <c r="N12" s="10" t="s">
        <v>65</v>
      </c>
      <c r="O12" s="26" t="s">
        <v>66</v>
      </c>
      <c r="P12" s="7">
        <v>4</v>
      </c>
      <c r="Q12" s="7">
        <v>2</v>
      </c>
      <c r="R12" s="7">
        <v>1</v>
      </c>
      <c r="S12" s="27">
        <v>8</v>
      </c>
      <c r="T12" s="18">
        <v>10</v>
      </c>
    </row>
    <row r="13" spans="1:20" ht="42.75" customHeight="1">
      <c r="A13" s="22"/>
      <c r="B13" s="30" t="s">
        <v>143</v>
      </c>
      <c r="C13" s="30" t="s">
        <v>144</v>
      </c>
      <c r="D13" s="30" t="s">
        <v>145</v>
      </c>
      <c r="E13" s="30" t="s">
        <v>146</v>
      </c>
      <c r="F13" s="7">
        <v>4</v>
      </c>
      <c r="G13" s="29" t="s">
        <v>147</v>
      </c>
      <c r="H13" s="7">
        <v>3</v>
      </c>
      <c r="I13" s="31" t="s">
        <v>148</v>
      </c>
      <c r="J13" s="30" t="s">
        <v>149</v>
      </c>
      <c r="K13" s="7">
        <v>3</v>
      </c>
      <c r="L13" s="7">
        <f t="shared" si="0"/>
        <v>36</v>
      </c>
      <c r="M13" s="25" t="s">
        <v>64</v>
      </c>
      <c r="N13" s="10" t="s">
        <v>65</v>
      </c>
      <c r="O13" s="28" t="s">
        <v>66</v>
      </c>
      <c r="P13" s="7">
        <v>4</v>
      </c>
      <c r="Q13" s="7">
        <v>2</v>
      </c>
      <c r="R13" s="7">
        <v>1</v>
      </c>
      <c r="S13" s="27">
        <v>8</v>
      </c>
      <c r="T13" s="18">
        <v>11</v>
      </c>
    </row>
    <row r="14" spans="1:20" ht="14.25" customHeight="1">
      <c r="A14" s="22"/>
      <c r="B14" s="29" t="s">
        <v>150</v>
      </c>
      <c r="C14" s="30" t="s">
        <v>151</v>
      </c>
      <c r="D14" s="30" t="s">
        <v>152</v>
      </c>
      <c r="E14" s="29" t="s">
        <v>153</v>
      </c>
      <c r="F14" s="7">
        <v>6</v>
      </c>
      <c r="G14" s="32" t="s">
        <v>154</v>
      </c>
      <c r="H14" s="7">
        <v>3</v>
      </c>
      <c r="I14" s="32" t="s">
        <v>155</v>
      </c>
      <c r="J14" s="30" t="s">
        <v>156</v>
      </c>
      <c r="K14" s="7">
        <v>3</v>
      </c>
      <c r="L14" s="7">
        <f t="shared" si="0"/>
        <v>54</v>
      </c>
      <c r="M14" s="25" t="s">
        <v>64</v>
      </c>
      <c r="N14" s="10" t="s">
        <v>65</v>
      </c>
      <c r="O14" s="26" t="s">
        <v>66</v>
      </c>
      <c r="P14" s="7">
        <v>6</v>
      </c>
      <c r="Q14" s="7">
        <v>2</v>
      </c>
      <c r="R14" s="7">
        <v>1</v>
      </c>
      <c r="S14" s="27">
        <v>12</v>
      </c>
      <c r="T14" s="18">
        <v>12</v>
      </c>
    </row>
    <row r="15" spans="1:20" ht="14.25" customHeight="1">
      <c r="A15" s="22"/>
      <c r="B15" s="30" t="s">
        <v>157</v>
      </c>
      <c r="C15" s="30" t="s">
        <v>158</v>
      </c>
      <c r="D15" s="30" t="s">
        <v>159</v>
      </c>
      <c r="E15" s="30" t="s">
        <v>160</v>
      </c>
      <c r="F15" s="7">
        <v>6</v>
      </c>
      <c r="G15" s="30" t="s">
        <v>161</v>
      </c>
      <c r="H15" s="7">
        <v>3</v>
      </c>
      <c r="I15" s="30" t="s">
        <v>162</v>
      </c>
      <c r="J15" s="30" t="s">
        <v>163</v>
      </c>
      <c r="K15" s="7">
        <v>4</v>
      </c>
      <c r="L15" s="7">
        <f t="shared" si="0"/>
        <v>72</v>
      </c>
      <c r="M15" s="25" t="s">
        <v>64</v>
      </c>
      <c r="N15" s="10" t="s">
        <v>65</v>
      </c>
      <c r="O15" s="28" t="s">
        <v>66</v>
      </c>
      <c r="P15" s="7">
        <v>6</v>
      </c>
      <c r="Q15" s="7">
        <v>2</v>
      </c>
      <c r="R15" s="7">
        <v>2</v>
      </c>
      <c r="S15" s="27">
        <v>24</v>
      </c>
      <c r="T15" s="18">
        <v>13</v>
      </c>
    </row>
    <row r="16" spans="1:20" ht="14.25" customHeight="1">
      <c r="A16" s="22"/>
      <c r="B16" s="30" t="s">
        <v>164</v>
      </c>
      <c r="C16" s="29" t="s">
        <v>165</v>
      </c>
      <c r="D16" s="30" t="s">
        <v>166</v>
      </c>
      <c r="E16" s="30" t="s">
        <v>167</v>
      </c>
      <c r="F16" s="7">
        <v>8</v>
      </c>
      <c r="G16" s="30" t="s">
        <v>168</v>
      </c>
      <c r="H16" s="7">
        <v>3</v>
      </c>
      <c r="I16" s="29" t="s">
        <v>169</v>
      </c>
      <c r="J16" s="30" t="s">
        <v>170</v>
      </c>
      <c r="K16" s="7">
        <v>4</v>
      </c>
      <c r="L16" s="7">
        <f t="shared" si="0"/>
        <v>96</v>
      </c>
      <c r="M16" s="25" t="s">
        <v>64</v>
      </c>
      <c r="N16" s="10" t="s">
        <v>65</v>
      </c>
      <c r="O16" s="26" t="s">
        <v>66</v>
      </c>
      <c r="P16" s="7">
        <v>8</v>
      </c>
      <c r="Q16" s="7">
        <v>2</v>
      </c>
      <c r="R16" s="7">
        <v>2</v>
      </c>
      <c r="S16" s="27">
        <v>32</v>
      </c>
      <c r="T16" s="18">
        <v>14</v>
      </c>
    </row>
    <row r="17" spans="1:20" ht="126" customHeight="1">
      <c r="A17" s="15"/>
      <c r="B17" s="33" t="s">
        <v>171</v>
      </c>
      <c r="C17" s="19" t="s">
        <v>172</v>
      </c>
      <c r="D17" s="33" t="s">
        <v>173</v>
      </c>
      <c r="E17" s="33" t="s">
        <v>174</v>
      </c>
      <c r="F17" s="18">
        <v>8</v>
      </c>
      <c r="G17" s="33" t="s">
        <v>175</v>
      </c>
      <c r="H17" s="18">
        <v>4</v>
      </c>
      <c r="I17" s="34" t="s">
        <v>176</v>
      </c>
      <c r="J17" s="33" t="s">
        <v>177</v>
      </c>
      <c r="K17" s="18">
        <v>7</v>
      </c>
      <c r="L17" s="18">
        <f t="shared" si="0"/>
        <v>224</v>
      </c>
      <c r="M17" s="19" t="s">
        <v>178</v>
      </c>
      <c r="N17" s="20" t="s">
        <v>75</v>
      </c>
      <c r="O17" s="19" t="s">
        <v>179</v>
      </c>
      <c r="P17" s="18">
        <v>8</v>
      </c>
      <c r="Q17" s="18">
        <v>3</v>
      </c>
      <c r="R17" s="18">
        <v>4</v>
      </c>
      <c r="S17" s="21">
        <f>P28*Q28*R28</f>
        <v>96</v>
      </c>
      <c r="T17" s="18">
        <v>15</v>
      </c>
    </row>
    <row r="18" spans="1:20" ht="14.25" customHeight="1">
      <c r="A18" s="22" t="s">
        <v>180</v>
      </c>
      <c r="B18" s="32" t="s">
        <v>181</v>
      </c>
      <c r="C18" s="25" t="s">
        <v>182</v>
      </c>
      <c r="D18" s="25" t="s">
        <v>183</v>
      </c>
      <c r="E18" s="25" t="s">
        <v>184</v>
      </c>
      <c r="F18" s="7">
        <v>7</v>
      </c>
      <c r="G18" s="25" t="s">
        <v>185</v>
      </c>
      <c r="H18" s="7">
        <v>3</v>
      </c>
      <c r="I18" s="25" t="s">
        <v>186</v>
      </c>
      <c r="J18" s="25" t="s">
        <v>187</v>
      </c>
      <c r="K18" s="7">
        <v>3</v>
      </c>
      <c r="L18" s="7">
        <f t="shared" si="0"/>
        <v>63</v>
      </c>
      <c r="M18" s="25" t="s">
        <v>64</v>
      </c>
      <c r="N18" s="10" t="s">
        <v>65</v>
      </c>
      <c r="O18" s="26" t="s">
        <v>66</v>
      </c>
      <c r="P18" s="7">
        <v>7</v>
      </c>
      <c r="Q18" s="7">
        <v>2</v>
      </c>
      <c r="R18" s="7">
        <v>1</v>
      </c>
      <c r="S18" s="27">
        <v>14</v>
      </c>
      <c r="T18" s="18">
        <v>16</v>
      </c>
    </row>
    <row r="19" spans="1:20" ht="126" customHeight="1">
      <c r="A19" s="15"/>
      <c r="B19" s="35" t="s">
        <v>188</v>
      </c>
      <c r="C19" s="33" t="s">
        <v>189</v>
      </c>
      <c r="D19" s="33" t="s">
        <v>190</v>
      </c>
      <c r="E19" s="33" t="s">
        <v>191</v>
      </c>
      <c r="F19" s="18">
        <v>8</v>
      </c>
      <c r="G19" s="33" t="s">
        <v>192</v>
      </c>
      <c r="H19" s="18">
        <v>4</v>
      </c>
      <c r="I19" s="33" t="s">
        <v>193</v>
      </c>
      <c r="J19" s="33" t="s">
        <v>194</v>
      </c>
      <c r="K19" s="18">
        <v>5</v>
      </c>
      <c r="L19" s="18">
        <f t="shared" si="0"/>
        <v>160</v>
      </c>
      <c r="M19" s="19" t="s">
        <v>195</v>
      </c>
      <c r="N19" s="20" t="s">
        <v>75</v>
      </c>
      <c r="O19" s="19" t="s">
        <v>196</v>
      </c>
      <c r="P19" s="18">
        <v>8</v>
      </c>
      <c r="Q19" s="18">
        <v>3</v>
      </c>
      <c r="R19" s="18">
        <v>3</v>
      </c>
      <c r="S19" s="21">
        <v>72</v>
      </c>
      <c r="T19" s="18">
        <v>17</v>
      </c>
    </row>
    <row r="20" spans="1:20" ht="14.25" customHeight="1">
      <c r="A20" s="22"/>
      <c r="B20" s="30" t="s">
        <v>197</v>
      </c>
      <c r="C20" s="30" t="s">
        <v>198</v>
      </c>
      <c r="D20" s="32" t="s">
        <v>199</v>
      </c>
      <c r="E20" s="29" t="s">
        <v>200</v>
      </c>
      <c r="F20" s="7">
        <v>7</v>
      </c>
      <c r="G20" s="30" t="s">
        <v>201</v>
      </c>
      <c r="H20" s="7">
        <v>3</v>
      </c>
      <c r="I20" s="30" t="s">
        <v>202</v>
      </c>
      <c r="J20" s="30" t="s">
        <v>203</v>
      </c>
      <c r="K20" s="7">
        <v>3</v>
      </c>
      <c r="L20" s="7">
        <f t="shared" si="0"/>
        <v>63</v>
      </c>
      <c r="M20" s="25" t="s">
        <v>64</v>
      </c>
      <c r="N20" s="10" t="s">
        <v>65</v>
      </c>
      <c r="O20" s="26" t="s">
        <v>66</v>
      </c>
      <c r="P20" s="7">
        <v>7</v>
      </c>
      <c r="Q20" s="7">
        <v>2</v>
      </c>
      <c r="R20" s="7">
        <v>1</v>
      </c>
      <c r="S20" s="27">
        <v>14</v>
      </c>
      <c r="T20" s="18">
        <v>18</v>
      </c>
    </row>
    <row r="21" spans="1:20" ht="14.25" customHeight="1">
      <c r="A21" s="22"/>
      <c r="B21" s="30" t="s">
        <v>204</v>
      </c>
      <c r="C21" s="30" t="s">
        <v>205</v>
      </c>
      <c r="D21" s="29" t="s">
        <v>206</v>
      </c>
      <c r="E21" s="30" t="s">
        <v>207</v>
      </c>
      <c r="F21" s="7">
        <v>8</v>
      </c>
      <c r="G21" s="29" t="s">
        <v>208</v>
      </c>
      <c r="H21" s="7">
        <v>3</v>
      </c>
      <c r="I21" s="30" t="s">
        <v>209</v>
      </c>
      <c r="J21" s="30" t="s">
        <v>210</v>
      </c>
      <c r="K21" s="7">
        <v>3</v>
      </c>
      <c r="L21" s="7">
        <f t="shared" si="0"/>
        <v>72</v>
      </c>
      <c r="M21" s="25" t="s">
        <v>64</v>
      </c>
      <c r="N21" s="10" t="s">
        <v>65</v>
      </c>
      <c r="O21" s="28" t="s">
        <v>66</v>
      </c>
      <c r="P21" s="7">
        <v>8</v>
      </c>
      <c r="Q21" s="7">
        <v>2</v>
      </c>
      <c r="R21" s="7">
        <v>1</v>
      </c>
      <c r="S21" s="27">
        <v>16</v>
      </c>
      <c r="T21" s="18">
        <v>19</v>
      </c>
    </row>
    <row r="22" spans="1:20" ht="14.25" customHeight="1">
      <c r="A22" s="22"/>
      <c r="B22" s="30" t="s">
        <v>211</v>
      </c>
      <c r="C22" s="30" t="s">
        <v>212</v>
      </c>
      <c r="D22" s="30" t="s">
        <v>213</v>
      </c>
      <c r="E22" s="29" t="s">
        <v>214</v>
      </c>
      <c r="F22" s="7">
        <v>8</v>
      </c>
      <c r="G22" s="30" t="s">
        <v>215</v>
      </c>
      <c r="H22" s="7">
        <v>3</v>
      </c>
      <c r="I22" s="30" t="s">
        <v>216</v>
      </c>
      <c r="J22" s="30" t="s">
        <v>217</v>
      </c>
      <c r="K22" s="7">
        <v>4</v>
      </c>
      <c r="L22" s="7">
        <f t="shared" si="0"/>
        <v>96</v>
      </c>
      <c r="M22" s="25" t="s">
        <v>64</v>
      </c>
      <c r="N22" s="10" t="s">
        <v>65</v>
      </c>
      <c r="O22" s="26" t="s">
        <v>66</v>
      </c>
      <c r="P22" s="7">
        <v>8</v>
      </c>
      <c r="Q22" s="7">
        <v>2</v>
      </c>
      <c r="R22" s="7">
        <v>2</v>
      </c>
      <c r="S22" s="27">
        <v>32</v>
      </c>
      <c r="T22" s="18">
        <v>20</v>
      </c>
    </row>
    <row r="23" spans="1:20" ht="14.25" customHeight="1">
      <c r="A23" s="22"/>
      <c r="B23" s="23" t="s">
        <v>218</v>
      </c>
      <c r="C23" s="30" t="s">
        <v>219</v>
      </c>
      <c r="D23" s="30" t="s">
        <v>220</v>
      </c>
      <c r="E23" s="30" t="s">
        <v>221</v>
      </c>
      <c r="F23" s="7">
        <v>7</v>
      </c>
      <c r="G23" s="30" t="s">
        <v>222</v>
      </c>
      <c r="H23" s="7">
        <v>3</v>
      </c>
      <c r="I23" s="29" t="s">
        <v>223</v>
      </c>
      <c r="J23" s="30" t="s">
        <v>224</v>
      </c>
      <c r="K23" s="7">
        <v>4</v>
      </c>
      <c r="L23" s="7">
        <f t="shared" si="0"/>
        <v>84</v>
      </c>
      <c r="M23" s="25" t="s">
        <v>64</v>
      </c>
      <c r="N23" s="10" t="s">
        <v>65</v>
      </c>
      <c r="O23" s="28" t="s">
        <v>66</v>
      </c>
      <c r="P23" s="7">
        <v>7</v>
      </c>
      <c r="Q23" s="7">
        <v>2</v>
      </c>
      <c r="R23" s="7">
        <v>2</v>
      </c>
      <c r="S23" s="27">
        <v>28</v>
      </c>
      <c r="T23" s="18">
        <v>21</v>
      </c>
    </row>
    <row r="24" spans="1:20" ht="14.25" customHeight="1">
      <c r="A24" s="22"/>
      <c r="B24" s="30" t="s">
        <v>225</v>
      </c>
      <c r="C24" s="29" t="s">
        <v>226</v>
      </c>
      <c r="D24" s="30" t="s">
        <v>227</v>
      </c>
      <c r="E24" s="30" t="s">
        <v>228</v>
      </c>
      <c r="F24" s="7">
        <v>8</v>
      </c>
      <c r="G24" s="30" t="s">
        <v>229</v>
      </c>
      <c r="H24" s="7">
        <v>3</v>
      </c>
      <c r="I24" s="30" t="s">
        <v>230</v>
      </c>
      <c r="J24" s="30" t="s">
        <v>231</v>
      </c>
      <c r="K24" s="7">
        <v>4</v>
      </c>
      <c r="L24" s="7">
        <f t="shared" si="0"/>
        <v>96</v>
      </c>
      <c r="M24" s="25" t="s">
        <v>64</v>
      </c>
      <c r="N24" s="10" t="s">
        <v>65</v>
      </c>
      <c r="O24" s="26" t="s">
        <v>66</v>
      </c>
      <c r="P24" s="7">
        <v>8</v>
      </c>
      <c r="Q24" s="7">
        <v>2</v>
      </c>
      <c r="R24" s="7">
        <v>2</v>
      </c>
      <c r="S24" s="27">
        <v>32</v>
      </c>
      <c r="T24" s="18">
        <v>22</v>
      </c>
    </row>
    <row r="25" spans="1:20" ht="14.25" customHeight="1">
      <c r="A25" s="22"/>
      <c r="B25" s="30" t="s">
        <v>232</v>
      </c>
      <c r="C25" s="29" t="s">
        <v>233</v>
      </c>
      <c r="D25" s="30" t="s">
        <v>234</v>
      </c>
      <c r="E25" s="30" t="s">
        <v>235</v>
      </c>
      <c r="F25" s="7">
        <v>7</v>
      </c>
      <c r="G25" s="30" t="s">
        <v>236</v>
      </c>
      <c r="H25" s="7">
        <v>3</v>
      </c>
      <c r="I25" s="30" t="s">
        <v>237</v>
      </c>
      <c r="J25" s="29" t="s">
        <v>238</v>
      </c>
      <c r="K25" s="7">
        <v>3</v>
      </c>
      <c r="L25" s="7">
        <f t="shared" si="0"/>
        <v>63</v>
      </c>
      <c r="M25" s="25" t="s">
        <v>64</v>
      </c>
      <c r="N25" s="10" t="s">
        <v>65</v>
      </c>
      <c r="O25" s="28" t="s">
        <v>66</v>
      </c>
      <c r="P25" s="7">
        <v>7</v>
      </c>
      <c r="Q25" s="7">
        <v>2</v>
      </c>
      <c r="R25" s="7">
        <v>1</v>
      </c>
      <c r="S25" s="27">
        <v>14</v>
      </c>
      <c r="T25" s="18">
        <v>23</v>
      </c>
    </row>
    <row r="26" spans="1:20" ht="14.25" customHeight="1">
      <c r="A26" s="22"/>
      <c r="B26" s="30" t="s">
        <v>239</v>
      </c>
      <c r="C26" s="29" t="s">
        <v>240</v>
      </c>
      <c r="D26" s="30" t="s">
        <v>241</v>
      </c>
      <c r="E26" s="30" t="s">
        <v>242</v>
      </c>
      <c r="F26" s="7">
        <v>8</v>
      </c>
      <c r="G26" s="30" t="s">
        <v>243</v>
      </c>
      <c r="H26" s="7">
        <v>3</v>
      </c>
      <c r="I26" s="30" t="s">
        <v>244</v>
      </c>
      <c r="J26" s="29" t="s">
        <v>245</v>
      </c>
      <c r="K26" s="7">
        <v>4</v>
      </c>
      <c r="L26" s="7">
        <f t="shared" si="0"/>
        <v>96</v>
      </c>
      <c r="M26" s="25" t="s">
        <v>64</v>
      </c>
      <c r="N26" s="10" t="s">
        <v>65</v>
      </c>
      <c r="O26" s="26" t="s">
        <v>66</v>
      </c>
      <c r="P26" s="7">
        <v>8</v>
      </c>
      <c r="Q26" s="7">
        <v>2</v>
      </c>
      <c r="R26" s="7">
        <v>2</v>
      </c>
      <c r="S26" s="27">
        <v>32</v>
      </c>
      <c r="T26" s="18">
        <v>24</v>
      </c>
    </row>
    <row r="27" spans="1:20" ht="14.25" customHeight="1">
      <c r="A27" s="22" t="s">
        <v>246</v>
      </c>
      <c r="B27" s="30" t="s">
        <v>247</v>
      </c>
      <c r="C27" s="29" t="s">
        <v>248</v>
      </c>
      <c r="D27" s="30" t="s">
        <v>249</v>
      </c>
      <c r="E27" s="30" t="s">
        <v>250</v>
      </c>
      <c r="F27" s="7">
        <v>8</v>
      </c>
      <c r="G27" s="30" t="s">
        <v>251</v>
      </c>
      <c r="H27" s="7">
        <v>3</v>
      </c>
      <c r="I27" s="25" t="s">
        <v>252</v>
      </c>
      <c r="J27" s="36" t="s">
        <v>253</v>
      </c>
      <c r="K27" s="7">
        <v>3</v>
      </c>
      <c r="L27" s="7">
        <f t="shared" si="0"/>
        <v>72</v>
      </c>
      <c r="M27" s="25" t="s">
        <v>64</v>
      </c>
      <c r="N27" s="10" t="s">
        <v>65</v>
      </c>
      <c r="O27" s="28" t="s">
        <v>66</v>
      </c>
      <c r="P27" s="7">
        <v>8</v>
      </c>
      <c r="Q27" s="7">
        <v>2</v>
      </c>
      <c r="R27" s="7">
        <v>1</v>
      </c>
      <c r="S27" s="27">
        <v>16</v>
      </c>
      <c r="T27" s="18">
        <v>25</v>
      </c>
    </row>
    <row r="28" spans="1:20" ht="110.25" customHeight="1">
      <c r="A28" s="15"/>
      <c r="B28" s="33" t="s">
        <v>254</v>
      </c>
      <c r="C28" s="34" t="s">
        <v>255</v>
      </c>
      <c r="D28" s="33" t="s">
        <v>256</v>
      </c>
      <c r="E28" s="33" t="s">
        <v>257</v>
      </c>
      <c r="F28" s="18">
        <v>8</v>
      </c>
      <c r="G28" s="33" t="s">
        <v>258</v>
      </c>
      <c r="H28" s="18">
        <v>4</v>
      </c>
      <c r="I28" s="33" t="s">
        <v>259</v>
      </c>
      <c r="J28" s="33" t="s">
        <v>260</v>
      </c>
      <c r="K28" s="18">
        <v>7</v>
      </c>
      <c r="L28" s="18">
        <f t="shared" si="0"/>
        <v>224</v>
      </c>
      <c r="M28" s="19" t="s">
        <v>261</v>
      </c>
      <c r="N28" s="20" t="s">
        <v>75</v>
      </c>
      <c r="O28" s="19" t="s">
        <v>262</v>
      </c>
      <c r="P28" s="18">
        <v>8</v>
      </c>
      <c r="Q28" s="18">
        <v>3</v>
      </c>
      <c r="R28" s="18">
        <v>4</v>
      </c>
      <c r="S28" s="21">
        <f>P28*Q28*R28</f>
        <v>96</v>
      </c>
      <c r="T28" s="18">
        <v>26</v>
      </c>
    </row>
    <row r="29" spans="1:20" ht="14.25" customHeight="1">
      <c r="A29" s="22" t="s">
        <v>263</v>
      </c>
      <c r="B29" s="30" t="s">
        <v>264</v>
      </c>
      <c r="C29" s="30" t="s">
        <v>265</v>
      </c>
      <c r="D29" s="30" t="s">
        <v>266</v>
      </c>
      <c r="E29" s="30" t="s">
        <v>267</v>
      </c>
      <c r="F29" s="7">
        <v>6</v>
      </c>
      <c r="G29" s="30" t="s">
        <v>268</v>
      </c>
      <c r="H29" s="7">
        <v>3</v>
      </c>
      <c r="I29" s="29" t="s">
        <v>269</v>
      </c>
      <c r="J29" s="30" t="s">
        <v>270</v>
      </c>
      <c r="K29" s="7">
        <v>3</v>
      </c>
      <c r="L29" s="7">
        <f t="shared" si="0"/>
        <v>54</v>
      </c>
      <c r="M29" s="25" t="s">
        <v>64</v>
      </c>
      <c r="N29" s="10" t="s">
        <v>65</v>
      </c>
      <c r="O29" s="28" t="s">
        <v>66</v>
      </c>
      <c r="P29" s="7">
        <v>6</v>
      </c>
      <c r="Q29" s="7">
        <v>2</v>
      </c>
      <c r="R29" s="7">
        <v>1</v>
      </c>
      <c r="S29" s="27">
        <v>12</v>
      </c>
      <c r="T29" s="18">
        <v>27</v>
      </c>
    </row>
    <row r="30" spans="1:20" ht="14.25" customHeight="1">
      <c r="A30" s="22"/>
      <c r="B30" s="30" t="s">
        <v>271</v>
      </c>
      <c r="C30" s="29" t="s">
        <v>272</v>
      </c>
      <c r="D30" s="30" t="s">
        <v>273</v>
      </c>
      <c r="E30" s="30" t="s">
        <v>274</v>
      </c>
      <c r="F30" s="7">
        <v>5</v>
      </c>
      <c r="G30" s="30" t="s">
        <v>275</v>
      </c>
      <c r="H30" s="7">
        <v>2</v>
      </c>
      <c r="I30" s="30" t="s">
        <v>276</v>
      </c>
      <c r="J30" s="30" t="s">
        <v>277</v>
      </c>
      <c r="K30" s="7">
        <v>2</v>
      </c>
      <c r="L30" s="7">
        <f t="shared" si="0"/>
        <v>20</v>
      </c>
      <c r="M30" s="25" t="s">
        <v>64</v>
      </c>
      <c r="N30" s="10" t="s">
        <v>65</v>
      </c>
      <c r="O30" s="26" t="s">
        <v>66</v>
      </c>
      <c r="P30" s="7">
        <v>5</v>
      </c>
      <c r="Q30" s="7">
        <v>1</v>
      </c>
      <c r="R30" s="7">
        <v>1</v>
      </c>
      <c r="S30" s="27">
        <v>5</v>
      </c>
      <c r="T30" s="18">
        <v>28</v>
      </c>
    </row>
    <row r="31" spans="1:20" ht="14.25" customHeight="1">
      <c r="A31" s="22"/>
      <c r="B31" s="30" t="s">
        <v>278</v>
      </c>
      <c r="C31" s="30" t="s">
        <v>279</v>
      </c>
      <c r="D31" s="30" t="s">
        <v>280</v>
      </c>
      <c r="E31" s="30" t="s">
        <v>281</v>
      </c>
      <c r="F31" s="7">
        <v>5</v>
      </c>
      <c r="G31" s="30" t="s">
        <v>282</v>
      </c>
      <c r="H31" s="7">
        <v>3</v>
      </c>
      <c r="I31" s="30" t="s">
        <v>283</v>
      </c>
      <c r="J31" s="30" t="s">
        <v>284</v>
      </c>
      <c r="K31" s="7">
        <v>3</v>
      </c>
      <c r="L31" s="7">
        <f t="shared" si="0"/>
        <v>45</v>
      </c>
      <c r="M31" s="25" t="s">
        <v>64</v>
      </c>
      <c r="N31" s="10" t="s">
        <v>65</v>
      </c>
      <c r="O31" s="28" t="s">
        <v>66</v>
      </c>
      <c r="P31" s="7">
        <v>5</v>
      </c>
      <c r="Q31" s="7">
        <v>2</v>
      </c>
      <c r="R31" s="7">
        <v>1</v>
      </c>
      <c r="S31" s="27">
        <v>10</v>
      </c>
      <c r="T31" s="18">
        <v>29</v>
      </c>
    </row>
    <row r="32" spans="1:20" ht="126" customHeight="1">
      <c r="A32" s="15"/>
      <c r="B32" s="33" t="s">
        <v>211</v>
      </c>
      <c r="C32" s="33" t="s">
        <v>285</v>
      </c>
      <c r="D32" s="34" t="s">
        <v>286</v>
      </c>
      <c r="E32" s="33" t="s">
        <v>287</v>
      </c>
      <c r="F32" s="18">
        <v>8</v>
      </c>
      <c r="G32" s="33" t="s">
        <v>288</v>
      </c>
      <c r="H32" s="18">
        <v>3</v>
      </c>
      <c r="I32" s="37" t="s">
        <v>289</v>
      </c>
      <c r="J32" s="33" t="s">
        <v>290</v>
      </c>
      <c r="K32" s="18">
        <v>5</v>
      </c>
      <c r="L32" s="18">
        <f t="shared" si="0"/>
        <v>120</v>
      </c>
      <c r="M32" s="19" t="s">
        <v>291</v>
      </c>
      <c r="N32" s="20" t="s">
        <v>75</v>
      </c>
      <c r="O32" s="19" t="s">
        <v>292</v>
      </c>
      <c r="P32" s="18">
        <v>8</v>
      </c>
      <c r="Q32" s="18">
        <v>2</v>
      </c>
      <c r="R32" s="18">
        <v>3</v>
      </c>
      <c r="S32" s="21">
        <v>48</v>
      </c>
      <c r="T32" s="18">
        <v>30</v>
      </c>
    </row>
    <row r="33" spans="1:40" ht="14.25" customHeight="1">
      <c r="A33" s="22"/>
      <c r="B33" s="30" t="s">
        <v>293</v>
      </c>
      <c r="C33" s="30" t="s">
        <v>294</v>
      </c>
      <c r="D33" s="30" t="s">
        <v>295</v>
      </c>
      <c r="E33" s="30" t="s">
        <v>296</v>
      </c>
      <c r="F33" s="7">
        <v>7</v>
      </c>
      <c r="G33" s="30" t="s">
        <v>297</v>
      </c>
      <c r="H33" s="7">
        <v>3</v>
      </c>
      <c r="I33" s="30" t="s">
        <v>298</v>
      </c>
      <c r="J33" s="30" t="s">
        <v>299</v>
      </c>
      <c r="K33" s="7">
        <v>5</v>
      </c>
      <c r="L33" s="7">
        <f t="shared" si="0"/>
        <v>105</v>
      </c>
      <c r="M33" s="25" t="s">
        <v>64</v>
      </c>
      <c r="N33" s="10" t="s">
        <v>65</v>
      </c>
      <c r="O33" s="28" t="s">
        <v>66</v>
      </c>
      <c r="P33" s="7">
        <v>7</v>
      </c>
      <c r="Q33" s="7">
        <v>2</v>
      </c>
      <c r="R33" s="7">
        <v>3</v>
      </c>
      <c r="S33" s="27">
        <v>42</v>
      </c>
      <c r="T33" s="18">
        <v>31</v>
      </c>
    </row>
    <row r="34" spans="1:40" ht="110.25" customHeight="1">
      <c r="A34" s="15"/>
      <c r="B34" s="33" t="s">
        <v>300</v>
      </c>
      <c r="C34" s="33" t="s">
        <v>301</v>
      </c>
      <c r="D34" s="33" t="s">
        <v>302</v>
      </c>
      <c r="E34" s="33" t="s">
        <v>303</v>
      </c>
      <c r="F34" s="18">
        <v>8</v>
      </c>
      <c r="G34" s="34" t="s">
        <v>304</v>
      </c>
      <c r="H34" s="18">
        <v>3</v>
      </c>
      <c r="I34" s="33" t="s">
        <v>305</v>
      </c>
      <c r="J34" s="33" t="s">
        <v>306</v>
      </c>
      <c r="K34" s="18">
        <v>6</v>
      </c>
      <c r="L34" s="18">
        <f t="shared" si="0"/>
        <v>144</v>
      </c>
      <c r="M34" s="19" t="s">
        <v>307</v>
      </c>
      <c r="N34" s="20" t="s">
        <v>75</v>
      </c>
      <c r="O34" s="19" t="s">
        <v>308</v>
      </c>
      <c r="P34" s="18">
        <v>8</v>
      </c>
      <c r="Q34" s="18">
        <v>2</v>
      </c>
      <c r="R34" s="18">
        <v>4</v>
      </c>
      <c r="S34" s="21">
        <v>64</v>
      </c>
      <c r="T34" s="18">
        <v>32</v>
      </c>
    </row>
    <row r="35" spans="1:40" ht="47.25" customHeight="1">
      <c r="A35" s="22"/>
      <c r="B35" s="30" t="s">
        <v>309</v>
      </c>
      <c r="C35" s="30" t="s">
        <v>310</v>
      </c>
      <c r="D35" s="30" t="s">
        <v>311</v>
      </c>
      <c r="E35" s="30" t="s">
        <v>312</v>
      </c>
      <c r="F35" s="7">
        <v>8</v>
      </c>
      <c r="G35" s="30" t="s">
        <v>313</v>
      </c>
      <c r="H35" s="7">
        <v>3</v>
      </c>
      <c r="I35" s="29" t="s">
        <v>314</v>
      </c>
      <c r="J35" s="30" t="s">
        <v>315</v>
      </c>
      <c r="K35" s="7">
        <v>3</v>
      </c>
      <c r="L35" s="7">
        <f t="shared" si="0"/>
        <v>72</v>
      </c>
      <c r="M35" s="25" t="s">
        <v>64</v>
      </c>
      <c r="N35" s="10" t="s">
        <v>65</v>
      </c>
      <c r="O35" s="28" t="s">
        <v>66</v>
      </c>
      <c r="P35" s="7">
        <v>8</v>
      </c>
      <c r="Q35" s="7">
        <v>2</v>
      </c>
      <c r="R35" s="7">
        <v>1</v>
      </c>
      <c r="S35" s="27">
        <v>16</v>
      </c>
      <c r="T35" s="18">
        <v>33</v>
      </c>
    </row>
    <row r="36" spans="1:40" ht="94.5" customHeight="1">
      <c r="A36" s="38"/>
      <c r="B36" s="39" t="s">
        <v>316</v>
      </c>
      <c r="C36" s="39" t="s">
        <v>317</v>
      </c>
      <c r="D36" s="39" t="s">
        <v>318</v>
      </c>
      <c r="E36" s="39" t="s">
        <v>319</v>
      </c>
      <c r="F36" s="40">
        <v>8</v>
      </c>
      <c r="G36" s="39" t="s">
        <v>320</v>
      </c>
      <c r="H36" s="40">
        <v>3</v>
      </c>
      <c r="I36" s="39" t="s">
        <v>321</v>
      </c>
      <c r="J36" s="39" t="s">
        <v>322</v>
      </c>
      <c r="K36" s="41">
        <v>6</v>
      </c>
      <c r="L36" s="41">
        <f t="shared" si="0"/>
        <v>144</v>
      </c>
      <c r="M36" s="42" t="s">
        <v>323</v>
      </c>
      <c r="N36" s="43" t="s">
        <v>75</v>
      </c>
      <c r="O36" s="42" t="s">
        <v>324</v>
      </c>
      <c r="P36" s="40">
        <v>8</v>
      </c>
      <c r="Q36" s="40">
        <v>2</v>
      </c>
      <c r="R36" s="40">
        <v>4</v>
      </c>
      <c r="S36" s="44">
        <v>64</v>
      </c>
      <c r="T36" s="40">
        <v>34</v>
      </c>
    </row>
    <row r="37" spans="1:40" ht="94.5" customHeight="1">
      <c r="A37" s="45"/>
      <c r="B37" s="46" t="s">
        <v>325</v>
      </c>
      <c r="C37" s="46" t="s">
        <v>326</v>
      </c>
      <c r="D37" s="47" t="s">
        <v>327</v>
      </c>
      <c r="E37" s="46" t="s">
        <v>328</v>
      </c>
      <c r="F37" s="45">
        <v>6</v>
      </c>
      <c r="G37" s="46" t="s">
        <v>329</v>
      </c>
      <c r="H37" s="48">
        <v>3</v>
      </c>
      <c r="I37" s="49" t="s">
        <v>330</v>
      </c>
      <c r="J37" s="47"/>
      <c r="K37" s="45">
        <v>5</v>
      </c>
      <c r="L37" s="45">
        <f t="shared" si="0"/>
        <v>90</v>
      </c>
      <c r="M37" s="50" t="s">
        <v>331</v>
      </c>
      <c r="N37" s="45" t="s">
        <v>65</v>
      </c>
      <c r="O37" s="45" t="s">
        <v>66</v>
      </c>
      <c r="P37" s="45"/>
      <c r="Q37" s="45"/>
      <c r="R37" s="45"/>
      <c r="S37" s="45"/>
      <c r="T37" s="45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</row>
    <row r="38" spans="1:40" ht="14.25" customHeight="1">
      <c r="A38" s="8" t="s">
        <v>332</v>
      </c>
      <c r="B38" s="52" t="s">
        <v>264</v>
      </c>
      <c r="C38" s="52" t="s">
        <v>333</v>
      </c>
      <c r="D38" s="52" t="s">
        <v>334</v>
      </c>
      <c r="E38" s="52" t="s">
        <v>335</v>
      </c>
      <c r="F38" s="10">
        <v>8</v>
      </c>
      <c r="G38" s="52" t="s">
        <v>334</v>
      </c>
      <c r="H38" s="10">
        <v>3</v>
      </c>
      <c r="I38" s="52" t="s">
        <v>336</v>
      </c>
      <c r="J38" s="52" t="s">
        <v>337</v>
      </c>
      <c r="K38" s="10">
        <v>3</v>
      </c>
      <c r="L38" s="10">
        <f t="shared" si="0"/>
        <v>72</v>
      </c>
      <c r="M38" s="12" t="s">
        <v>64</v>
      </c>
      <c r="N38" s="10" t="s">
        <v>65</v>
      </c>
      <c r="O38" s="13" t="s">
        <v>66</v>
      </c>
      <c r="P38" s="10">
        <v>8</v>
      </c>
      <c r="Q38" s="10">
        <v>2</v>
      </c>
      <c r="R38" s="10">
        <v>1</v>
      </c>
      <c r="S38" s="14">
        <v>16</v>
      </c>
      <c r="T38" s="53">
        <v>35</v>
      </c>
    </row>
    <row r="39" spans="1:40" ht="14.25" customHeight="1">
      <c r="A39" s="22"/>
      <c r="B39" s="30" t="s">
        <v>338</v>
      </c>
      <c r="C39" s="30" t="s">
        <v>339</v>
      </c>
      <c r="D39" s="30" t="s">
        <v>340</v>
      </c>
      <c r="E39" s="30" t="s">
        <v>341</v>
      </c>
      <c r="F39" s="7">
        <v>7</v>
      </c>
      <c r="G39" s="30" t="s">
        <v>342</v>
      </c>
      <c r="H39" s="7">
        <v>3</v>
      </c>
      <c r="I39" s="30" t="s">
        <v>343</v>
      </c>
      <c r="J39" s="30" t="s">
        <v>344</v>
      </c>
      <c r="K39" s="7">
        <v>4</v>
      </c>
      <c r="L39" s="7">
        <f t="shared" si="0"/>
        <v>84</v>
      </c>
      <c r="M39" s="25" t="s">
        <v>64</v>
      </c>
      <c r="N39" s="10" t="s">
        <v>65</v>
      </c>
      <c r="O39" s="26" t="s">
        <v>66</v>
      </c>
      <c r="P39" s="7">
        <v>7</v>
      </c>
      <c r="Q39" s="7">
        <v>2</v>
      </c>
      <c r="R39" s="7">
        <v>2</v>
      </c>
      <c r="S39" s="27">
        <v>28</v>
      </c>
      <c r="T39" s="18">
        <v>36</v>
      </c>
    </row>
    <row r="40" spans="1:40" ht="14.25" customHeight="1">
      <c r="A40" s="22"/>
      <c r="B40" s="25" t="s">
        <v>345</v>
      </c>
      <c r="C40" s="30" t="s">
        <v>346</v>
      </c>
      <c r="D40" s="30" t="s">
        <v>347</v>
      </c>
      <c r="E40" s="30" t="s">
        <v>348</v>
      </c>
      <c r="F40" s="7">
        <v>7</v>
      </c>
      <c r="G40" s="30" t="s">
        <v>349</v>
      </c>
      <c r="H40" s="7">
        <v>3</v>
      </c>
      <c r="I40" s="30" t="s">
        <v>350</v>
      </c>
      <c r="J40" s="30" t="s">
        <v>351</v>
      </c>
      <c r="K40" s="7">
        <v>4</v>
      </c>
      <c r="L40" s="7">
        <f t="shared" si="0"/>
        <v>84</v>
      </c>
      <c r="M40" s="25" t="s">
        <v>64</v>
      </c>
      <c r="N40" s="10" t="s">
        <v>65</v>
      </c>
      <c r="O40" s="28" t="s">
        <v>66</v>
      </c>
      <c r="P40" s="7">
        <v>7</v>
      </c>
      <c r="Q40" s="7">
        <v>2</v>
      </c>
      <c r="R40" s="7">
        <v>2</v>
      </c>
      <c r="S40" s="27">
        <v>28</v>
      </c>
      <c r="T40" s="18">
        <v>37</v>
      </c>
    </row>
    <row r="41" spans="1:40" ht="14.25" customHeight="1">
      <c r="A41" s="22"/>
      <c r="B41" s="25" t="s">
        <v>352</v>
      </c>
      <c r="C41" s="30" t="s">
        <v>353</v>
      </c>
      <c r="D41" s="30" t="s">
        <v>354</v>
      </c>
      <c r="E41" s="30" t="s">
        <v>355</v>
      </c>
      <c r="F41" s="7">
        <v>7</v>
      </c>
      <c r="G41" s="30" t="s">
        <v>356</v>
      </c>
      <c r="H41" s="7">
        <v>3</v>
      </c>
      <c r="I41" s="30" t="s">
        <v>357</v>
      </c>
      <c r="J41" s="30" t="s">
        <v>358</v>
      </c>
      <c r="K41" s="7">
        <v>4</v>
      </c>
      <c r="L41" s="7">
        <f t="shared" si="0"/>
        <v>84</v>
      </c>
      <c r="M41" s="25" t="s">
        <v>64</v>
      </c>
      <c r="N41" s="10" t="s">
        <v>65</v>
      </c>
      <c r="O41" s="26" t="s">
        <v>66</v>
      </c>
      <c r="P41" s="7">
        <v>7</v>
      </c>
      <c r="Q41" s="7">
        <v>2</v>
      </c>
      <c r="R41" s="7">
        <v>2</v>
      </c>
      <c r="S41" s="27">
        <v>28</v>
      </c>
      <c r="T41" s="18">
        <v>38</v>
      </c>
    </row>
    <row r="42" spans="1:40" ht="14.25" customHeight="1">
      <c r="A42" s="22"/>
      <c r="B42" s="30" t="s">
        <v>359</v>
      </c>
      <c r="C42" s="30" t="s">
        <v>360</v>
      </c>
      <c r="D42" s="30" t="s">
        <v>361</v>
      </c>
      <c r="E42" s="30" t="s">
        <v>362</v>
      </c>
      <c r="F42" s="7">
        <v>7</v>
      </c>
      <c r="G42" s="30" t="s">
        <v>363</v>
      </c>
      <c r="H42" s="7">
        <v>3</v>
      </c>
      <c r="I42" s="30" t="s">
        <v>364</v>
      </c>
      <c r="J42" s="30" t="s">
        <v>365</v>
      </c>
      <c r="K42" s="7">
        <v>4</v>
      </c>
      <c r="L42" s="7">
        <f t="shared" si="0"/>
        <v>84</v>
      </c>
      <c r="M42" s="25" t="s">
        <v>64</v>
      </c>
      <c r="N42" s="10" t="s">
        <v>65</v>
      </c>
      <c r="O42" s="28" t="s">
        <v>66</v>
      </c>
      <c r="P42" s="7">
        <v>7</v>
      </c>
      <c r="Q42" s="7">
        <v>2</v>
      </c>
      <c r="R42" s="7">
        <v>2</v>
      </c>
      <c r="S42" s="27">
        <v>28</v>
      </c>
      <c r="T42" s="18">
        <v>39</v>
      </c>
    </row>
    <row r="43" spans="1:40" ht="14.25" customHeight="1">
      <c r="A43" s="22"/>
      <c r="B43" s="30" t="s">
        <v>366</v>
      </c>
      <c r="C43" s="30" t="s">
        <v>367</v>
      </c>
      <c r="D43" s="30" t="s">
        <v>368</v>
      </c>
      <c r="E43" s="30" t="s">
        <v>369</v>
      </c>
      <c r="F43" s="7">
        <v>7</v>
      </c>
      <c r="G43" s="30" t="s">
        <v>370</v>
      </c>
      <c r="H43" s="7">
        <v>3</v>
      </c>
      <c r="I43" s="30" t="s">
        <v>371</v>
      </c>
      <c r="J43" s="30" t="s">
        <v>372</v>
      </c>
      <c r="K43" s="54">
        <v>4</v>
      </c>
      <c r="L43" s="54">
        <f t="shared" si="0"/>
        <v>84</v>
      </c>
      <c r="M43" s="25" t="s">
        <v>64</v>
      </c>
      <c r="N43" s="10" t="s">
        <v>65</v>
      </c>
      <c r="O43" s="26" t="s">
        <v>66</v>
      </c>
      <c r="P43" s="54">
        <v>7</v>
      </c>
      <c r="Q43" s="54">
        <v>2</v>
      </c>
      <c r="R43" s="54">
        <v>2</v>
      </c>
      <c r="S43" s="55">
        <v>28</v>
      </c>
      <c r="T43" s="18">
        <v>40</v>
      </c>
    </row>
    <row r="44" spans="1:40" ht="14.25" customHeight="1">
      <c r="A44" s="22"/>
      <c r="B44" s="30" t="s">
        <v>373</v>
      </c>
      <c r="C44" s="30" t="s">
        <v>374</v>
      </c>
      <c r="D44" s="30" t="s">
        <v>375</v>
      </c>
      <c r="E44" s="30" t="s">
        <v>376</v>
      </c>
      <c r="F44" s="7">
        <v>7</v>
      </c>
      <c r="G44" s="30" t="s">
        <v>376</v>
      </c>
      <c r="H44" s="7">
        <v>3</v>
      </c>
      <c r="I44" s="30" t="s">
        <v>377</v>
      </c>
      <c r="J44" s="30" t="s">
        <v>378</v>
      </c>
      <c r="K44" s="54">
        <v>4</v>
      </c>
      <c r="L44" s="54">
        <f t="shared" si="0"/>
        <v>84</v>
      </c>
      <c r="M44" s="25" t="s">
        <v>64</v>
      </c>
      <c r="N44" s="10" t="s">
        <v>65</v>
      </c>
      <c r="O44" s="28" t="s">
        <v>66</v>
      </c>
      <c r="P44" s="54">
        <v>7</v>
      </c>
      <c r="Q44" s="54">
        <v>2</v>
      </c>
      <c r="R44" s="54">
        <v>2</v>
      </c>
      <c r="S44" s="55">
        <v>28</v>
      </c>
      <c r="T44" s="18">
        <v>41</v>
      </c>
    </row>
    <row r="45" spans="1:40" ht="14.25" customHeight="1">
      <c r="A45" s="22"/>
      <c r="B45" s="30" t="s">
        <v>379</v>
      </c>
      <c r="C45" s="30" t="s">
        <v>380</v>
      </c>
      <c r="D45" s="30" t="s">
        <v>381</v>
      </c>
      <c r="E45" s="30" t="s">
        <v>382</v>
      </c>
      <c r="F45" s="7">
        <v>7</v>
      </c>
      <c r="G45" s="30" t="s">
        <v>383</v>
      </c>
      <c r="H45" s="7">
        <v>3</v>
      </c>
      <c r="I45" s="30" t="s">
        <v>384</v>
      </c>
      <c r="J45" s="30" t="s">
        <v>385</v>
      </c>
      <c r="K45" s="54">
        <v>4</v>
      </c>
      <c r="L45" s="54">
        <f t="shared" si="0"/>
        <v>84</v>
      </c>
      <c r="M45" s="25" t="s">
        <v>64</v>
      </c>
      <c r="N45" s="10" t="s">
        <v>65</v>
      </c>
      <c r="O45" s="26" t="s">
        <v>66</v>
      </c>
      <c r="P45" s="54">
        <v>7</v>
      </c>
      <c r="Q45" s="54">
        <v>2</v>
      </c>
      <c r="R45" s="54">
        <v>2</v>
      </c>
      <c r="S45" s="55">
        <v>28</v>
      </c>
      <c r="T45" s="18">
        <v>42</v>
      </c>
    </row>
    <row r="46" spans="1:40" ht="110.25" customHeight="1">
      <c r="A46" s="122" t="s">
        <v>390</v>
      </c>
      <c r="B46" s="131" t="s">
        <v>530</v>
      </c>
      <c r="C46" s="124" t="s">
        <v>528</v>
      </c>
      <c r="D46" s="123" t="s">
        <v>387</v>
      </c>
      <c r="E46" s="123" t="s">
        <v>388</v>
      </c>
      <c r="F46" s="125">
        <v>8</v>
      </c>
      <c r="G46" s="125" t="s">
        <v>389</v>
      </c>
      <c r="H46" s="125">
        <v>3</v>
      </c>
      <c r="I46" s="125" t="s">
        <v>529</v>
      </c>
      <c r="J46" s="125" t="s">
        <v>527</v>
      </c>
      <c r="K46" s="126">
        <v>4</v>
      </c>
      <c r="L46" s="127">
        <f t="shared" si="0"/>
        <v>96</v>
      </c>
      <c r="M46" s="128" t="s">
        <v>64</v>
      </c>
      <c r="N46" s="129" t="s">
        <v>65</v>
      </c>
      <c r="O46" s="125" t="s">
        <v>66</v>
      </c>
      <c r="P46" s="127">
        <v>7</v>
      </c>
      <c r="Q46" s="127">
        <v>2</v>
      </c>
      <c r="R46" s="127">
        <v>2</v>
      </c>
      <c r="S46" s="130">
        <v>28</v>
      </c>
      <c r="T46" s="125"/>
      <c r="U46" s="121"/>
      <c r="V46" s="121"/>
      <c r="W46" s="121"/>
      <c r="X46" s="121"/>
      <c r="Y46" s="121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</row>
    <row r="47" spans="1:40" ht="110.25" customHeight="1">
      <c r="A47" s="38"/>
      <c r="B47" s="39" t="s">
        <v>391</v>
      </c>
      <c r="C47" s="39" t="s">
        <v>392</v>
      </c>
      <c r="D47" s="39" t="s">
        <v>393</v>
      </c>
      <c r="E47" s="39" t="s">
        <v>394</v>
      </c>
      <c r="F47" s="40">
        <v>8</v>
      </c>
      <c r="G47" s="39" t="s">
        <v>395</v>
      </c>
      <c r="H47" s="40">
        <v>4</v>
      </c>
      <c r="I47" s="39" t="s">
        <v>396</v>
      </c>
      <c r="J47" s="39" t="s">
        <v>397</v>
      </c>
      <c r="K47" s="58">
        <v>6</v>
      </c>
      <c r="L47" s="58">
        <f t="shared" si="0"/>
        <v>192</v>
      </c>
      <c r="M47" s="42" t="s">
        <v>398</v>
      </c>
      <c r="N47" s="20" t="s">
        <v>75</v>
      </c>
      <c r="O47" s="42" t="s">
        <v>399</v>
      </c>
      <c r="P47" s="58">
        <v>8</v>
      </c>
      <c r="Q47" s="58">
        <v>3</v>
      </c>
      <c r="R47" s="58">
        <v>4</v>
      </c>
      <c r="S47" s="59">
        <v>96</v>
      </c>
      <c r="T47" s="18">
        <v>43</v>
      </c>
    </row>
    <row r="48" spans="1:40" ht="14.25" customHeight="1">
      <c r="A48" s="60"/>
      <c r="B48" s="61" t="s">
        <v>400</v>
      </c>
      <c r="C48" s="61" t="s">
        <v>401</v>
      </c>
      <c r="D48" s="61" t="s">
        <v>402</v>
      </c>
      <c r="E48" s="61" t="s">
        <v>403</v>
      </c>
      <c r="F48" s="60">
        <v>7</v>
      </c>
      <c r="G48" s="61" t="s">
        <v>404</v>
      </c>
      <c r="H48" s="60">
        <v>3</v>
      </c>
      <c r="I48" s="61" t="s">
        <v>405</v>
      </c>
      <c r="J48" s="61" t="s">
        <v>406</v>
      </c>
      <c r="K48" s="62">
        <v>5</v>
      </c>
      <c r="L48" s="62">
        <f t="shared" si="0"/>
        <v>105</v>
      </c>
      <c r="M48" s="63" t="s">
        <v>64</v>
      </c>
      <c r="N48" s="64" t="s">
        <v>65</v>
      </c>
      <c r="O48" s="60" t="s">
        <v>66</v>
      </c>
      <c r="P48" s="62">
        <v>7</v>
      </c>
      <c r="Q48" s="62">
        <v>2</v>
      </c>
      <c r="R48" s="62">
        <v>3</v>
      </c>
      <c r="S48" s="62">
        <v>42</v>
      </c>
      <c r="T48" s="60">
        <v>44</v>
      </c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</row>
    <row r="49" spans="1:20" ht="14.25" customHeight="1">
      <c r="A49" s="7"/>
      <c r="B49" s="30" t="s">
        <v>407</v>
      </c>
      <c r="C49" s="30" t="s">
        <v>408</v>
      </c>
      <c r="D49" s="30" t="s">
        <v>409</v>
      </c>
      <c r="E49" s="30" t="s">
        <v>410</v>
      </c>
      <c r="F49" s="7">
        <v>7</v>
      </c>
      <c r="G49" s="30" t="s">
        <v>411</v>
      </c>
      <c r="H49" s="7">
        <v>3</v>
      </c>
      <c r="I49" s="30" t="s">
        <v>412</v>
      </c>
      <c r="J49" s="30" t="s">
        <v>413</v>
      </c>
      <c r="K49" s="66">
        <v>5</v>
      </c>
      <c r="L49" s="66">
        <f t="shared" si="0"/>
        <v>105</v>
      </c>
      <c r="M49" s="25" t="s">
        <v>64</v>
      </c>
      <c r="N49" s="10" t="s">
        <v>65</v>
      </c>
      <c r="O49" s="28" t="s">
        <v>66</v>
      </c>
      <c r="P49" s="66">
        <v>7</v>
      </c>
      <c r="Q49" s="66">
        <v>2</v>
      </c>
      <c r="R49" s="66">
        <v>3</v>
      </c>
      <c r="S49" s="66">
        <v>42</v>
      </c>
      <c r="T49" s="18">
        <v>45</v>
      </c>
    </row>
    <row r="50" spans="1:20" ht="14.25" customHeight="1">
      <c r="A50" s="7"/>
      <c r="B50" s="30" t="s">
        <v>414</v>
      </c>
      <c r="C50" s="30" t="s">
        <v>415</v>
      </c>
      <c r="D50" s="30" t="s">
        <v>416</v>
      </c>
      <c r="E50" s="30" t="s">
        <v>417</v>
      </c>
      <c r="F50" s="7">
        <v>7</v>
      </c>
      <c r="G50" s="30" t="s">
        <v>418</v>
      </c>
      <c r="H50" s="7">
        <v>3</v>
      </c>
      <c r="I50" s="30" t="s">
        <v>419</v>
      </c>
      <c r="J50" s="30" t="s">
        <v>420</v>
      </c>
      <c r="K50" s="66">
        <v>5</v>
      </c>
      <c r="L50" s="66">
        <f t="shared" si="0"/>
        <v>105</v>
      </c>
      <c r="M50" s="25" t="s">
        <v>64</v>
      </c>
      <c r="N50" s="10" t="s">
        <v>65</v>
      </c>
      <c r="O50" s="26" t="s">
        <v>66</v>
      </c>
      <c r="P50" s="66">
        <v>7</v>
      </c>
      <c r="Q50" s="66">
        <v>2</v>
      </c>
      <c r="R50" s="66">
        <v>3</v>
      </c>
      <c r="S50" s="66">
        <v>42</v>
      </c>
      <c r="T50" s="18">
        <v>46</v>
      </c>
    </row>
    <row r="51" spans="1:20" ht="14.25" customHeight="1">
      <c r="A51" s="67"/>
      <c r="B51" s="68" t="s">
        <v>421</v>
      </c>
      <c r="C51" s="68" t="s">
        <v>422</v>
      </c>
      <c r="D51" s="68" t="s">
        <v>423</v>
      </c>
      <c r="E51" s="68" t="s">
        <v>424</v>
      </c>
      <c r="F51" s="67">
        <v>7</v>
      </c>
      <c r="G51" s="68" t="s">
        <v>425</v>
      </c>
      <c r="H51" s="67">
        <v>3</v>
      </c>
      <c r="I51" s="69" t="s">
        <v>426</v>
      </c>
      <c r="J51" s="68" t="s">
        <v>427</v>
      </c>
      <c r="K51" s="70">
        <v>5</v>
      </c>
      <c r="L51" s="70">
        <f t="shared" si="0"/>
        <v>105</v>
      </c>
      <c r="M51" s="69" t="s">
        <v>64</v>
      </c>
      <c r="N51" s="10" t="s">
        <v>65</v>
      </c>
      <c r="O51" s="71" t="s">
        <v>66</v>
      </c>
      <c r="P51" s="70">
        <v>7</v>
      </c>
      <c r="Q51" s="70">
        <v>2</v>
      </c>
      <c r="R51" s="70">
        <v>3</v>
      </c>
      <c r="S51" s="70">
        <v>42</v>
      </c>
      <c r="T51" s="18">
        <v>47</v>
      </c>
    </row>
    <row r="52" spans="1:20" ht="124.5" customHeight="1">
      <c r="A52" s="72" t="s">
        <v>428</v>
      </c>
      <c r="B52" s="72" t="s">
        <v>429</v>
      </c>
      <c r="C52" s="72" t="s">
        <v>430</v>
      </c>
      <c r="D52" s="73" t="s">
        <v>431</v>
      </c>
      <c r="E52" s="74" t="s">
        <v>432</v>
      </c>
      <c r="F52" s="73">
        <v>8</v>
      </c>
      <c r="G52" s="75" t="s">
        <v>433</v>
      </c>
      <c r="H52" s="73">
        <v>3</v>
      </c>
      <c r="I52" s="75" t="s">
        <v>434</v>
      </c>
      <c r="J52" s="75" t="s">
        <v>435</v>
      </c>
      <c r="K52" s="73">
        <v>6</v>
      </c>
      <c r="L52" s="73">
        <f t="shared" si="0"/>
        <v>144</v>
      </c>
      <c r="M52" s="75" t="s">
        <v>436</v>
      </c>
      <c r="N52" s="76" t="s">
        <v>75</v>
      </c>
      <c r="O52" s="76" t="s">
        <v>437</v>
      </c>
      <c r="P52" s="75">
        <v>8</v>
      </c>
      <c r="Q52" s="75">
        <v>2</v>
      </c>
      <c r="R52" s="75">
        <v>4</v>
      </c>
      <c r="S52" s="73">
        <f>P52*Q52*R52</f>
        <v>64</v>
      </c>
      <c r="T52" s="77">
        <v>48</v>
      </c>
    </row>
    <row r="53" spans="1:20" ht="15" customHeight="1">
      <c r="A53" s="56" t="s">
        <v>438</v>
      </c>
      <c r="B53" s="56" t="s">
        <v>439</v>
      </c>
      <c r="C53" s="56" t="s">
        <v>386</v>
      </c>
      <c r="D53" s="56" t="s">
        <v>440</v>
      </c>
      <c r="E53" s="78">
        <v>10</v>
      </c>
      <c r="F53" s="56" t="s">
        <v>441</v>
      </c>
      <c r="G53" s="78">
        <v>3</v>
      </c>
      <c r="H53" s="56" t="s">
        <v>442</v>
      </c>
      <c r="I53" s="56" t="s">
        <v>443</v>
      </c>
      <c r="J53" s="79">
        <v>3</v>
      </c>
      <c r="K53" s="79">
        <v>90</v>
      </c>
      <c r="L53" s="80" t="s">
        <v>444</v>
      </c>
      <c r="M53" s="79" t="s">
        <v>445</v>
      </c>
      <c r="N53" s="78" t="s">
        <v>446</v>
      </c>
      <c r="O53" s="79">
        <v>10</v>
      </c>
      <c r="P53" s="79">
        <v>2</v>
      </c>
      <c r="Q53" s="79">
        <v>2</v>
      </c>
      <c r="R53" s="81">
        <v>40</v>
      </c>
      <c r="S53" s="82" t="s">
        <v>447</v>
      </c>
      <c r="T53" s="83"/>
    </row>
    <row r="54" spans="1:20" ht="15.75" customHeight="1">
      <c r="A54" s="84" t="s">
        <v>448</v>
      </c>
      <c r="B54" s="84" t="s">
        <v>449</v>
      </c>
      <c r="C54" s="84" t="s">
        <v>450</v>
      </c>
      <c r="D54" s="84" t="s">
        <v>451</v>
      </c>
      <c r="E54" s="85">
        <v>8</v>
      </c>
      <c r="F54" s="84" t="s">
        <v>452</v>
      </c>
      <c r="G54" s="85">
        <v>4</v>
      </c>
      <c r="H54" s="84" t="s">
        <v>453</v>
      </c>
      <c r="I54" s="84" t="s">
        <v>454</v>
      </c>
      <c r="J54" s="86">
        <v>4</v>
      </c>
      <c r="K54" s="86">
        <v>128</v>
      </c>
      <c r="L54" s="87" t="s">
        <v>455</v>
      </c>
      <c r="M54" s="86" t="s">
        <v>456</v>
      </c>
      <c r="N54" s="78" t="s">
        <v>457</v>
      </c>
      <c r="O54" s="86">
        <v>8</v>
      </c>
      <c r="P54" s="86">
        <v>2</v>
      </c>
      <c r="Q54" s="86">
        <v>2</v>
      </c>
      <c r="R54" s="88">
        <v>32</v>
      </c>
      <c r="S54" s="89" t="s">
        <v>458</v>
      </c>
      <c r="T54" s="90"/>
    </row>
    <row r="55" spans="1:20" ht="15.75" customHeight="1">
      <c r="S55" s="1"/>
      <c r="T55" s="90"/>
    </row>
    <row r="56" spans="1:20" ht="15.75" customHeight="1">
      <c r="S56" s="1"/>
      <c r="T56" s="90"/>
    </row>
    <row r="57" spans="1:20" ht="15.75" customHeight="1">
      <c r="S57" s="1"/>
      <c r="T57" s="90"/>
    </row>
    <row r="58" spans="1:20" ht="15.75" customHeight="1">
      <c r="S58" s="1"/>
      <c r="T58" s="90"/>
    </row>
    <row r="59" spans="1:20" ht="15.75" customHeight="1">
      <c r="S59" s="1"/>
      <c r="T59" s="90"/>
    </row>
    <row r="60" spans="1:20" ht="15.75" customHeight="1">
      <c r="S60" s="1"/>
      <c r="T60" s="90"/>
    </row>
    <row r="61" spans="1:20" ht="15.75" customHeight="1">
      <c r="S61" s="1"/>
      <c r="T61" s="90"/>
    </row>
    <row r="62" spans="1:20" ht="15.75" customHeight="1">
      <c r="S62" s="1"/>
      <c r="T62" s="90"/>
    </row>
    <row r="63" spans="1:20" ht="15.75" customHeight="1">
      <c r="S63" s="1"/>
      <c r="T63" s="90"/>
    </row>
    <row r="64" spans="1:20" ht="15.75" customHeight="1">
      <c r="S64" s="1"/>
      <c r="T64" s="90"/>
    </row>
    <row r="65" spans="19:20" ht="15.75" customHeight="1">
      <c r="S65" s="1"/>
      <c r="T65" s="90"/>
    </row>
    <row r="66" spans="19:20" ht="15.75" customHeight="1">
      <c r="S66" s="1"/>
      <c r="T66" s="90"/>
    </row>
    <row r="67" spans="19:20" ht="15.75" customHeight="1">
      <c r="S67" s="1"/>
      <c r="T67" s="90"/>
    </row>
    <row r="68" spans="19:20" ht="15.75" customHeight="1">
      <c r="S68" s="1"/>
      <c r="T68" s="90"/>
    </row>
    <row r="69" spans="19:20" ht="15.75" customHeight="1">
      <c r="S69" s="1"/>
      <c r="T69" s="90"/>
    </row>
    <row r="70" spans="19:20" ht="15.75" customHeight="1">
      <c r="S70" s="1"/>
      <c r="T70" s="90"/>
    </row>
    <row r="71" spans="19:20" ht="15.75" customHeight="1">
      <c r="S71" s="1"/>
      <c r="T71" s="90"/>
    </row>
    <row r="72" spans="19:20" ht="15.75" customHeight="1">
      <c r="S72" s="1"/>
      <c r="T72" s="90"/>
    </row>
    <row r="73" spans="19:20" ht="15.75" customHeight="1">
      <c r="S73" s="1"/>
      <c r="T73" s="90"/>
    </row>
    <row r="74" spans="19:20" ht="15.75" customHeight="1">
      <c r="S74" s="1"/>
      <c r="T74" s="90"/>
    </row>
    <row r="75" spans="19:20" ht="15.75" customHeight="1">
      <c r="S75" s="1"/>
      <c r="T75" s="90"/>
    </row>
    <row r="76" spans="19:20" ht="15.75" customHeight="1">
      <c r="S76" s="1"/>
      <c r="T76" s="90"/>
    </row>
    <row r="77" spans="19:20" ht="15.75" customHeight="1">
      <c r="S77" s="1"/>
      <c r="T77" s="90"/>
    </row>
    <row r="78" spans="19:20" ht="15.75" customHeight="1">
      <c r="S78" s="1"/>
      <c r="T78" s="90"/>
    </row>
    <row r="79" spans="19:20" ht="15.75" customHeight="1">
      <c r="S79" s="1"/>
      <c r="T79" s="90"/>
    </row>
    <row r="80" spans="19:20" ht="15.75" customHeight="1">
      <c r="S80" s="1"/>
      <c r="T80" s="90"/>
    </row>
    <row r="81" spans="19:20" ht="15.75" customHeight="1">
      <c r="S81" s="1"/>
      <c r="T81" s="90"/>
    </row>
    <row r="82" spans="19:20" ht="15.75" customHeight="1">
      <c r="S82" s="1"/>
      <c r="T82" s="90"/>
    </row>
    <row r="83" spans="19:20" ht="15.75" customHeight="1">
      <c r="S83" s="1"/>
      <c r="T83" s="90"/>
    </row>
    <row r="84" spans="19:20" ht="15.75" customHeight="1">
      <c r="S84" s="1"/>
      <c r="T84" s="90"/>
    </row>
    <row r="85" spans="19:20" ht="15.75" customHeight="1">
      <c r="S85" s="1"/>
      <c r="T85" s="90"/>
    </row>
    <row r="86" spans="19:20" ht="15.75" customHeight="1">
      <c r="S86" s="1"/>
      <c r="T86" s="90"/>
    </row>
    <row r="87" spans="19:20" ht="15.75" customHeight="1">
      <c r="S87" s="1"/>
      <c r="T87" s="90"/>
    </row>
    <row r="88" spans="19:20" ht="15.75" customHeight="1">
      <c r="S88" s="1"/>
      <c r="T88" s="90"/>
    </row>
    <row r="89" spans="19:20" ht="15.75" customHeight="1">
      <c r="S89" s="1"/>
      <c r="T89" s="90"/>
    </row>
    <row r="90" spans="19:20" ht="15.75" customHeight="1">
      <c r="S90" s="1"/>
      <c r="T90" s="90"/>
    </row>
    <row r="91" spans="19:20" ht="15.75" customHeight="1">
      <c r="S91" s="1"/>
      <c r="T91" s="90"/>
    </row>
    <row r="92" spans="19:20" ht="15.75" customHeight="1">
      <c r="S92" s="1"/>
      <c r="T92" s="90"/>
    </row>
    <row r="93" spans="19:20" ht="15.75" customHeight="1">
      <c r="S93" s="1"/>
      <c r="T93" s="90"/>
    </row>
    <row r="94" spans="19:20" ht="15.75" customHeight="1">
      <c r="S94" s="1"/>
      <c r="T94" s="90"/>
    </row>
    <row r="95" spans="19:20" ht="15.75" customHeight="1">
      <c r="S95" s="1"/>
      <c r="T95" s="90"/>
    </row>
    <row r="96" spans="19:20" ht="15.75" customHeight="1">
      <c r="S96" s="1"/>
      <c r="T96" s="90"/>
    </row>
    <row r="97" spans="19:20" ht="15.75" customHeight="1">
      <c r="S97" s="1"/>
      <c r="T97" s="90"/>
    </row>
    <row r="98" spans="19:20" ht="15.75" customHeight="1">
      <c r="S98" s="1"/>
      <c r="T98" s="90"/>
    </row>
    <row r="99" spans="19:20" ht="15.75" customHeight="1">
      <c r="S99" s="1"/>
      <c r="T99" s="90"/>
    </row>
    <row r="100" spans="19:20" ht="15.75" customHeight="1">
      <c r="S100" s="1"/>
      <c r="T100" s="90"/>
    </row>
    <row r="101" spans="19:20" ht="15.75" customHeight="1">
      <c r="S101" s="1"/>
      <c r="T101" s="90"/>
    </row>
    <row r="102" spans="19:20" ht="15.75" customHeight="1">
      <c r="S102" s="1"/>
      <c r="T102" s="90"/>
    </row>
    <row r="103" spans="19:20" ht="15.75" customHeight="1">
      <c r="S103" s="1"/>
      <c r="T103" s="90"/>
    </row>
    <row r="104" spans="19:20" ht="15.75" customHeight="1">
      <c r="S104" s="1"/>
      <c r="T104" s="90"/>
    </row>
    <row r="105" spans="19:20" ht="15.75" customHeight="1">
      <c r="S105" s="1"/>
      <c r="T105" s="90"/>
    </row>
    <row r="106" spans="19:20" ht="15.75" customHeight="1">
      <c r="S106" s="1"/>
      <c r="T106" s="90"/>
    </row>
    <row r="107" spans="19:20" ht="15.75" customHeight="1">
      <c r="S107" s="1"/>
      <c r="T107" s="90"/>
    </row>
    <row r="108" spans="19:20" ht="15.75" customHeight="1">
      <c r="S108" s="1"/>
      <c r="T108" s="90"/>
    </row>
    <row r="109" spans="19:20" ht="15.75" customHeight="1">
      <c r="S109" s="1"/>
      <c r="T109" s="90"/>
    </row>
    <row r="110" spans="19:20" ht="15.75" customHeight="1">
      <c r="S110" s="1"/>
      <c r="T110" s="90"/>
    </row>
    <row r="111" spans="19:20" ht="15.75" customHeight="1">
      <c r="S111" s="1"/>
      <c r="T111" s="90"/>
    </row>
    <row r="112" spans="19:20" ht="15.75" customHeight="1">
      <c r="S112" s="1"/>
      <c r="T112" s="90"/>
    </row>
    <row r="113" spans="19:20" ht="15.75" customHeight="1">
      <c r="S113" s="1"/>
      <c r="T113" s="90"/>
    </row>
    <row r="114" spans="19:20" ht="15.75" customHeight="1">
      <c r="S114" s="1"/>
      <c r="T114" s="90"/>
    </row>
    <row r="115" spans="19:20" ht="15.75" customHeight="1">
      <c r="S115" s="1"/>
      <c r="T115" s="90"/>
    </row>
    <row r="116" spans="19:20" ht="15.75" customHeight="1">
      <c r="S116" s="1"/>
      <c r="T116" s="90"/>
    </row>
    <row r="117" spans="19:20" ht="15.75" customHeight="1">
      <c r="S117" s="1"/>
      <c r="T117" s="90"/>
    </row>
    <row r="118" spans="19:20" ht="15.75" customHeight="1">
      <c r="S118" s="1"/>
      <c r="T118" s="90"/>
    </row>
    <row r="119" spans="19:20" ht="15.75" customHeight="1">
      <c r="S119" s="1"/>
      <c r="T119" s="90"/>
    </row>
    <row r="120" spans="19:20" ht="15.75" customHeight="1">
      <c r="S120" s="1"/>
      <c r="T120" s="90"/>
    </row>
    <row r="121" spans="19:20" ht="15.75" customHeight="1">
      <c r="S121" s="1"/>
      <c r="T121" s="90"/>
    </row>
    <row r="122" spans="19:20" ht="15.75" customHeight="1">
      <c r="S122" s="1"/>
      <c r="T122" s="90"/>
    </row>
    <row r="123" spans="19:20" ht="15.75" customHeight="1">
      <c r="S123" s="1"/>
      <c r="T123" s="90"/>
    </row>
    <row r="124" spans="19:20" ht="15.75" customHeight="1">
      <c r="S124" s="1"/>
      <c r="T124" s="90"/>
    </row>
    <row r="125" spans="19:20" ht="15.75" customHeight="1">
      <c r="S125" s="1"/>
      <c r="T125" s="90"/>
    </row>
    <row r="126" spans="19:20" ht="15.75" customHeight="1">
      <c r="S126" s="1"/>
      <c r="T126" s="90"/>
    </row>
    <row r="127" spans="19:20" ht="15.75" customHeight="1">
      <c r="S127" s="1"/>
      <c r="T127" s="90"/>
    </row>
    <row r="128" spans="19:20" ht="15.75" customHeight="1">
      <c r="S128" s="1"/>
      <c r="T128" s="90"/>
    </row>
    <row r="129" spans="19:20" ht="15.75" customHeight="1">
      <c r="S129" s="1"/>
      <c r="T129" s="90"/>
    </row>
    <row r="130" spans="19:20" ht="15.75" customHeight="1">
      <c r="S130" s="1"/>
      <c r="T130" s="90"/>
    </row>
    <row r="131" spans="19:20" ht="15.75" customHeight="1">
      <c r="S131" s="1"/>
      <c r="T131" s="90"/>
    </row>
    <row r="132" spans="19:20" ht="15.75" customHeight="1">
      <c r="S132" s="1"/>
      <c r="T132" s="90"/>
    </row>
    <row r="133" spans="19:20" ht="15.75" customHeight="1">
      <c r="S133" s="1"/>
      <c r="T133" s="90"/>
    </row>
    <row r="134" spans="19:20" ht="15.75" customHeight="1">
      <c r="S134" s="1"/>
      <c r="T134" s="90"/>
    </row>
    <row r="135" spans="19:20" ht="15.75" customHeight="1">
      <c r="S135" s="1"/>
      <c r="T135" s="90"/>
    </row>
    <row r="136" spans="19:20" ht="15.75" customHeight="1">
      <c r="S136" s="1"/>
      <c r="T136" s="90"/>
    </row>
    <row r="137" spans="19:20" ht="15.75" customHeight="1">
      <c r="S137" s="1"/>
      <c r="T137" s="90"/>
    </row>
    <row r="138" spans="19:20" ht="15.75" customHeight="1">
      <c r="S138" s="1"/>
      <c r="T138" s="90"/>
    </row>
    <row r="139" spans="19:20" ht="15.75" customHeight="1">
      <c r="S139" s="1"/>
      <c r="T139" s="90"/>
    </row>
    <row r="140" spans="19:20" ht="15.75" customHeight="1">
      <c r="S140" s="1"/>
      <c r="T140" s="90"/>
    </row>
    <row r="141" spans="19:20" ht="15.75" customHeight="1">
      <c r="S141" s="1"/>
      <c r="T141" s="90"/>
    </row>
    <row r="142" spans="19:20" ht="15.75" customHeight="1">
      <c r="S142" s="1"/>
      <c r="T142" s="90"/>
    </row>
    <row r="143" spans="19:20" ht="15.75" customHeight="1">
      <c r="S143" s="1"/>
      <c r="T143" s="90"/>
    </row>
    <row r="144" spans="19:20" ht="15.75" customHeight="1">
      <c r="S144" s="1"/>
      <c r="T144" s="90"/>
    </row>
    <row r="145" spans="19:20" ht="15.75" customHeight="1">
      <c r="S145" s="1"/>
      <c r="T145" s="90"/>
    </row>
    <row r="146" spans="19:20" ht="15.75" customHeight="1">
      <c r="S146" s="1"/>
      <c r="T146" s="90"/>
    </row>
    <row r="147" spans="19:20" ht="15.75" customHeight="1">
      <c r="S147" s="1"/>
      <c r="T147" s="90"/>
    </row>
    <row r="148" spans="19:20" ht="15.75" customHeight="1">
      <c r="S148" s="1"/>
      <c r="T148" s="90"/>
    </row>
    <row r="149" spans="19:20" ht="15.75" customHeight="1">
      <c r="S149" s="1"/>
      <c r="T149" s="90"/>
    </row>
    <row r="150" spans="19:20" ht="15.75" customHeight="1">
      <c r="S150" s="1"/>
      <c r="T150" s="90"/>
    </row>
    <row r="151" spans="19:20" ht="15.75" customHeight="1">
      <c r="S151" s="1"/>
      <c r="T151" s="90"/>
    </row>
    <row r="152" spans="19:20" ht="15.75" customHeight="1">
      <c r="S152" s="1"/>
      <c r="T152" s="90"/>
    </row>
    <row r="153" spans="19:20" ht="15.75" customHeight="1">
      <c r="S153" s="1"/>
      <c r="T153" s="90"/>
    </row>
    <row r="154" spans="19:20" ht="15.75" customHeight="1">
      <c r="S154" s="1"/>
      <c r="T154" s="90"/>
    </row>
    <row r="155" spans="19:20" ht="15.75" customHeight="1">
      <c r="S155" s="1"/>
      <c r="T155" s="90"/>
    </row>
    <row r="156" spans="19:20" ht="15.75" customHeight="1">
      <c r="S156" s="1"/>
      <c r="T156" s="90"/>
    </row>
    <row r="157" spans="19:20" ht="15.75" customHeight="1">
      <c r="S157" s="1"/>
      <c r="T157" s="90"/>
    </row>
    <row r="158" spans="19:20" ht="15.75" customHeight="1">
      <c r="S158" s="1"/>
      <c r="T158" s="90"/>
    </row>
    <row r="159" spans="19:20" ht="15.75" customHeight="1">
      <c r="S159" s="1"/>
      <c r="T159" s="90"/>
    </row>
    <row r="160" spans="19:20" ht="15.75" customHeight="1">
      <c r="S160" s="1"/>
      <c r="T160" s="90"/>
    </row>
    <row r="161" spans="19:20" ht="15.75" customHeight="1">
      <c r="S161" s="1"/>
      <c r="T161" s="90"/>
    </row>
    <row r="162" spans="19:20" ht="15.75" customHeight="1">
      <c r="S162" s="1"/>
      <c r="T162" s="90"/>
    </row>
    <row r="163" spans="19:20" ht="15.75" customHeight="1">
      <c r="S163" s="1"/>
      <c r="T163" s="90"/>
    </row>
    <row r="164" spans="19:20" ht="15.75" customHeight="1">
      <c r="S164" s="1"/>
      <c r="T164" s="90"/>
    </row>
    <row r="165" spans="19:20" ht="15.75" customHeight="1">
      <c r="S165" s="1"/>
      <c r="T165" s="90"/>
    </row>
    <row r="166" spans="19:20" ht="15.75" customHeight="1">
      <c r="S166" s="1"/>
      <c r="T166" s="90"/>
    </row>
    <row r="167" spans="19:20" ht="15.75" customHeight="1">
      <c r="S167" s="1"/>
      <c r="T167" s="90"/>
    </row>
    <row r="168" spans="19:20" ht="15.75" customHeight="1">
      <c r="S168" s="1"/>
      <c r="T168" s="90"/>
    </row>
    <row r="169" spans="19:20" ht="15.75" customHeight="1">
      <c r="S169" s="1"/>
      <c r="T169" s="90"/>
    </row>
    <row r="170" spans="19:20" ht="15.75" customHeight="1">
      <c r="S170" s="1"/>
      <c r="T170" s="90"/>
    </row>
    <row r="171" spans="19:20" ht="15.75" customHeight="1">
      <c r="S171" s="1"/>
      <c r="T171" s="90"/>
    </row>
    <row r="172" spans="19:20" ht="15.75" customHeight="1">
      <c r="S172" s="1"/>
      <c r="T172" s="90"/>
    </row>
    <row r="173" spans="19:20" ht="15.75" customHeight="1">
      <c r="S173" s="1"/>
      <c r="T173" s="90"/>
    </row>
    <row r="174" spans="19:20" ht="15.75" customHeight="1">
      <c r="S174" s="1"/>
      <c r="T174" s="90"/>
    </row>
    <row r="175" spans="19:20" ht="15.75" customHeight="1">
      <c r="S175" s="1"/>
      <c r="T175" s="90"/>
    </row>
    <row r="176" spans="19:20" ht="15.75" customHeight="1">
      <c r="S176" s="1"/>
      <c r="T176" s="90"/>
    </row>
    <row r="177" spans="19:20" ht="15.75" customHeight="1">
      <c r="S177" s="1"/>
      <c r="T177" s="90"/>
    </row>
    <row r="178" spans="19:20" ht="15.75" customHeight="1">
      <c r="S178" s="1"/>
      <c r="T178" s="90"/>
    </row>
    <row r="179" spans="19:20" ht="15.75" customHeight="1">
      <c r="S179" s="1"/>
      <c r="T179" s="90"/>
    </row>
    <row r="180" spans="19:20" ht="15.75" customHeight="1">
      <c r="S180" s="1"/>
      <c r="T180" s="90"/>
    </row>
    <row r="181" spans="19:20" ht="15.75" customHeight="1">
      <c r="S181" s="1"/>
      <c r="T181" s="90"/>
    </row>
    <row r="182" spans="19:20" ht="15.75" customHeight="1">
      <c r="S182" s="1"/>
      <c r="T182" s="90"/>
    </row>
    <row r="183" spans="19:20" ht="15.75" customHeight="1">
      <c r="S183" s="1"/>
      <c r="T183" s="90"/>
    </row>
    <row r="184" spans="19:20" ht="15.75" customHeight="1">
      <c r="S184" s="1"/>
      <c r="T184" s="90"/>
    </row>
    <row r="185" spans="19:20" ht="15.75" customHeight="1">
      <c r="S185" s="1"/>
      <c r="T185" s="90"/>
    </row>
    <row r="186" spans="19:20" ht="15.75" customHeight="1">
      <c r="S186" s="1"/>
      <c r="T186" s="90"/>
    </row>
    <row r="187" spans="19:20" ht="15.75" customHeight="1">
      <c r="S187" s="1"/>
      <c r="T187" s="90"/>
    </row>
    <row r="188" spans="19:20" ht="15.75" customHeight="1">
      <c r="S188" s="1"/>
      <c r="T188" s="90"/>
    </row>
    <row r="189" spans="19:20" ht="15.75" customHeight="1">
      <c r="S189" s="1"/>
      <c r="T189" s="90"/>
    </row>
    <row r="190" spans="19:20" ht="15.75" customHeight="1">
      <c r="S190" s="1"/>
      <c r="T190" s="90"/>
    </row>
    <row r="191" spans="19:20" ht="15.75" customHeight="1">
      <c r="S191" s="1"/>
      <c r="T191" s="90"/>
    </row>
    <row r="192" spans="19:20" ht="15.75" customHeight="1">
      <c r="S192" s="1"/>
      <c r="T192" s="90"/>
    </row>
    <row r="193" spans="19:20" ht="15.75" customHeight="1">
      <c r="S193" s="1"/>
      <c r="T193" s="90"/>
    </row>
    <row r="194" spans="19:20" ht="15.75" customHeight="1">
      <c r="S194" s="1"/>
      <c r="T194" s="90"/>
    </row>
    <row r="195" spans="19:20" ht="15.75" customHeight="1">
      <c r="S195" s="1"/>
      <c r="T195" s="90"/>
    </row>
    <row r="196" spans="19:20" ht="15.75" customHeight="1">
      <c r="S196" s="1"/>
      <c r="T196" s="90"/>
    </row>
    <row r="197" spans="19:20" ht="15.75" customHeight="1">
      <c r="S197" s="1"/>
      <c r="T197" s="90"/>
    </row>
    <row r="198" spans="19:20" ht="15.75" customHeight="1">
      <c r="S198" s="1"/>
      <c r="T198" s="90"/>
    </row>
    <row r="199" spans="19:20" ht="15.75" customHeight="1">
      <c r="S199" s="1"/>
      <c r="T199" s="90"/>
    </row>
    <row r="200" spans="19:20" ht="15.75" customHeight="1">
      <c r="S200" s="1"/>
      <c r="T200" s="90"/>
    </row>
    <row r="201" spans="19:20" ht="15.75" customHeight="1">
      <c r="S201" s="1"/>
      <c r="T201" s="90"/>
    </row>
    <row r="202" spans="19:20" ht="15.75" customHeight="1">
      <c r="S202" s="1"/>
      <c r="T202" s="90"/>
    </row>
    <row r="203" spans="19:20" ht="15.75" customHeight="1">
      <c r="S203" s="1"/>
      <c r="T203" s="90"/>
    </row>
    <row r="204" spans="19:20" ht="15.75" customHeight="1">
      <c r="S204" s="1"/>
      <c r="T204" s="90"/>
    </row>
    <row r="205" spans="19:20" ht="15.75" customHeight="1">
      <c r="S205" s="1"/>
      <c r="T205" s="90"/>
    </row>
    <row r="206" spans="19:20" ht="15.75" customHeight="1">
      <c r="S206" s="1"/>
      <c r="T206" s="90"/>
    </row>
    <row r="207" spans="19:20" ht="15.75" customHeight="1">
      <c r="S207" s="1"/>
      <c r="T207" s="90"/>
    </row>
    <row r="208" spans="19:20" ht="15.75" customHeight="1">
      <c r="S208" s="1"/>
      <c r="T208" s="90"/>
    </row>
    <row r="209" spans="19:20" ht="15.75" customHeight="1">
      <c r="S209" s="1"/>
      <c r="T209" s="90"/>
    </row>
    <row r="210" spans="19:20" ht="15.75" customHeight="1">
      <c r="S210" s="1"/>
      <c r="T210" s="90"/>
    </row>
    <row r="211" spans="19:20" ht="15.75" customHeight="1">
      <c r="S211" s="1"/>
      <c r="T211" s="90"/>
    </row>
    <row r="212" spans="19:20" ht="15.75" customHeight="1">
      <c r="S212" s="1"/>
      <c r="T212" s="90"/>
    </row>
    <row r="213" spans="19:20" ht="15.75" customHeight="1">
      <c r="S213" s="1"/>
      <c r="T213" s="90"/>
    </row>
    <row r="214" spans="19:20" ht="15.75" customHeight="1">
      <c r="S214" s="1"/>
      <c r="T214" s="90"/>
    </row>
    <row r="215" spans="19:20" ht="15.75" customHeight="1">
      <c r="S215" s="1"/>
      <c r="T215" s="90"/>
    </row>
    <row r="216" spans="19:20" ht="15.75" customHeight="1">
      <c r="S216" s="1"/>
      <c r="T216" s="90"/>
    </row>
    <row r="217" spans="19:20" ht="15.75" customHeight="1">
      <c r="S217" s="1"/>
      <c r="T217" s="90"/>
    </row>
    <row r="218" spans="19:20" ht="15.75" customHeight="1">
      <c r="S218" s="1"/>
      <c r="T218" s="90"/>
    </row>
    <row r="219" spans="19:20" ht="15.75" customHeight="1">
      <c r="S219" s="1"/>
      <c r="T219" s="90"/>
    </row>
    <row r="220" spans="19:20" ht="15.75" customHeight="1">
      <c r="S220" s="1"/>
      <c r="T220" s="90"/>
    </row>
    <row r="221" spans="19:20" ht="15.75" customHeight="1">
      <c r="S221" s="1"/>
      <c r="T221" s="90"/>
    </row>
    <row r="222" spans="19:20" ht="15.75" customHeight="1">
      <c r="S222" s="1"/>
      <c r="T222" s="90"/>
    </row>
    <row r="223" spans="19:20" ht="15.75" customHeight="1">
      <c r="S223" s="1"/>
      <c r="T223" s="90"/>
    </row>
    <row r="224" spans="19:20" ht="15.75" customHeight="1">
      <c r="S224" s="1"/>
      <c r="T224" s="90"/>
    </row>
    <row r="225" spans="19:20" ht="15.75" customHeight="1">
      <c r="S225" s="1"/>
      <c r="T225" s="90"/>
    </row>
    <row r="226" spans="19:20" ht="15.75" customHeight="1">
      <c r="S226" s="1"/>
      <c r="T226" s="90"/>
    </row>
    <row r="227" spans="19:20" ht="15.75" customHeight="1">
      <c r="S227" s="1"/>
      <c r="T227" s="90"/>
    </row>
    <row r="228" spans="19:20" ht="15.75" customHeight="1">
      <c r="S228" s="1"/>
      <c r="T228" s="90"/>
    </row>
    <row r="229" spans="19:20" ht="15.75" customHeight="1">
      <c r="S229" s="1"/>
      <c r="T229" s="90"/>
    </row>
    <row r="230" spans="19:20" ht="15.75" customHeight="1">
      <c r="S230" s="1"/>
      <c r="T230" s="90"/>
    </row>
    <row r="231" spans="19:20" ht="15.75" customHeight="1">
      <c r="S231" s="1"/>
      <c r="T231" s="90"/>
    </row>
    <row r="232" spans="19:20" ht="15.75" customHeight="1">
      <c r="S232" s="1"/>
      <c r="T232" s="90"/>
    </row>
    <row r="233" spans="19:20" ht="15.75" customHeight="1">
      <c r="S233" s="1"/>
      <c r="T233" s="90"/>
    </row>
    <row r="234" spans="19:20" ht="15.75" customHeight="1">
      <c r="S234" s="1"/>
      <c r="T234" s="90"/>
    </row>
    <row r="235" spans="19:20" ht="15.75" customHeight="1">
      <c r="S235" s="1"/>
      <c r="T235" s="90"/>
    </row>
    <row r="236" spans="19:20" ht="15.75" customHeight="1">
      <c r="S236" s="1"/>
      <c r="T236" s="90"/>
    </row>
    <row r="237" spans="19:20" ht="15.75" customHeight="1">
      <c r="S237" s="1"/>
      <c r="T237" s="90"/>
    </row>
    <row r="238" spans="19:20" ht="15.75" customHeight="1">
      <c r="S238" s="1"/>
      <c r="T238" s="90"/>
    </row>
    <row r="239" spans="19:20" ht="15.75" customHeight="1">
      <c r="S239" s="1"/>
      <c r="T239" s="90"/>
    </row>
    <row r="240" spans="19:20" ht="15.75" customHeight="1">
      <c r="S240" s="1"/>
      <c r="T240" s="90"/>
    </row>
    <row r="241" spans="19:20" ht="15.75" customHeight="1">
      <c r="S241" s="1"/>
      <c r="T241" s="90"/>
    </row>
    <row r="242" spans="19:20" ht="15.75" customHeight="1">
      <c r="S242" s="1"/>
      <c r="T242" s="90"/>
    </row>
    <row r="243" spans="19:20" ht="15.75" customHeight="1">
      <c r="S243" s="1"/>
      <c r="T243" s="90"/>
    </row>
    <row r="244" spans="19:20" ht="15.75" customHeight="1">
      <c r="S244" s="1"/>
      <c r="T244" s="90"/>
    </row>
    <row r="245" spans="19:20" ht="15.75" customHeight="1">
      <c r="S245" s="1"/>
      <c r="T245" s="90"/>
    </row>
    <row r="246" spans="19:20" ht="15.75" customHeight="1">
      <c r="S246" s="1"/>
      <c r="T246" s="90"/>
    </row>
    <row r="247" spans="19:20" ht="15.75" customHeight="1">
      <c r="S247" s="1"/>
      <c r="T247" s="90"/>
    </row>
    <row r="248" spans="19:20" ht="15.75" customHeight="1">
      <c r="S248" s="1"/>
      <c r="T248" s="90"/>
    </row>
    <row r="249" spans="19:20" ht="15.75" customHeight="1">
      <c r="S249" s="1"/>
      <c r="T249" s="90"/>
    </row>
    <row r="250" spans="19:20" ht="15.75" customHeight="1">
      <c r="S250" s="1"/>
      <c r="T250" s="90"/>
    </row>
    <row r="251" spans="19:20" ht="15.75" customHeight="1">
      <c r="S251" s="1"/>
      <c r="T251" s="90"/>
    </row>
    <row r="252" spans="19:20" ht="15.75" customHeight="1">
      <c r="S252" s="1"/>
      <c r="T252" s="90"/>
    </row>
    <row r="253" spans="19:20" ht="15.75" customHeight="1">
      <c r="S253" s="1"/>
      <c r="T253" s="90"/>
    </row>
    <row r="254" spans="19:20" ht="15.75" customHeight="1">
      <c r="S254" s="1"/>
      <c r="T254" s="90"/>
    </row>
    <row r="255" spans="19:20" ht="15.75" customHeight="1">
      <c r="S255" s="1"/>
      <c r="T255" s="90"/>
    </row>
    <row r="256" spans="19:20" ht="15.75" customHeight="1">
      <c r="S256" s="1"/>
      <c r="T256" s="90"/>
    </row>
    <row r="257" spans="19:20" ht="15.75" customHeight="1">
      <c r="S257" s="1"/>
      <c r="T257" s="90"/>
    </row>
    <row r="258" spans="19:20" ht="15.75" customHeight="1">
      <c r="S258" s="1"/>
      <c r="T258" s="90"/>
    </row>
    <row r="259" spans="19:20" ht="15.75" customHeight="1">
      <c r="S259" s="1"/>
      <c r="T259" s="90"/>
    </row>
    <row r="260" spans="19:20" ht="15.75" customHeight="1">
      <c r="S260" s="1"/>
      <c r="T260" s="90"/>
    </row>
    <row r="261" spans="19:20" ht="15.75" customHeight="1">
      <c r="S261" s="1"/>
      <c r="T261" s="90"/>
    </row>
    <row r="262" spans="19:20" ht="15.75" customHeight="1">
      <c r="S262" s="1"/>
      <c r="T262" s="90"/>
    </row>
    <row r="263" spans="19:20" ht="15.75" customHeight="1">
      <c r="S263" s="1"/>
      <c r="T263" s="90"/>
    </row>
    <row r="264" spans="19:20" ht="15.75" customHeight="1">
      <c r="S264" s="1"/>
      <c r="T264" s="90"/>
    </row>
    <row r="265" spans="19:20" ht="15.75" customHeight="1">
      <c r="S265" s="1"/>
      <c r="T265" s="90"/>
    </row>
    <row r="266" spans="19:20" ht="15.75" customHeight="1">
      <c r="S266" s="1"/>
      <c r="T266" s="90"/>
    </row>
    <row r="267" spans="19:20" ht="15.75" customHeight="1">
      <c r="S267" s="1"/>
      <c r="T267" s="90"/>
    </row>
    <row r="268" spans="19:20" ht="15.75" customHeight="1">
      <c r="S268" s="1"/>
      <c r="T268" s="90"/>
    </row>
    <row r="269" spans="19:20" ht="15.75" customHeight="1">
      <c r="S269" s="1"/>
      <c r="T269" s="90"/>
    </row>
    <row r="270" spans="19:20" ht="15.75" customHeight="1">
      <c r="S270" s="1"/>
      <c r="T270" s="90"/>
    </row>
    <row r="271" spans="19:20" ht="15.75" customHeight="1">
      <c r="S271" s="1"/>
      <c r="T271" s="90"/>
    </row>
    <row r="272" spans="19:20" ht="15.75" customHeight="1">
      <c r="S272" s="1"/>
      <c r="T272" s="90"/>
    </row>
    <row r="273" spans="19:20" ht="15.75" customHeight="1">
      <c r="S273" s="1"/>
      <c r="T273" s="90"/>
    </row>
    <row r="274" spans="19:20" ht="15.75" customHeight="1">
      <c r="S274" s="1"/>
      <c r="T274" s="90"/>
    </row>
    <row r="275" spans="19:20" ht="15.75" customHeight="1">
      <c r="S275" s="1"/>
      <c r="T275" s="90"/>
    </row>
    <row r="276" spans="19:20" ht="15.75" customHeight="1">
      <c r="S276" s="1"/>
      <c r="T276" s="90"/>
    </row>
    <row r="277" spans="19:20" ht="15.75" customHeight="1">
      <c r="S277" s="1"/>
      <c r="T277" s="90"/>
    </row>
    <row r="278" spans="19:20" ht="15.75" customHeight="1">
      <c r="S278" s="1"/>
      <c r="T278" s="90"/>
    </row>
    <row r="279" spans="19:20" ht="15.75" customHeight="1">
      <c r="S279" s="1"/>
      <c r="T279" s="90"/>
    </row>
    <row r="280" spans="19:20" ht="15.75" customHeight="1">
      <c r="S280" s="1"/>
      <c r="T280" s="90"/>
    </row>
    <row r="281" spans="19:20" ht="15.75" customHeight="1">
      <c r="S281" s="1"/>
      <c r="T281" s="90"/>
    </row>
    <row r="282" spans="19:20" ht="15.75" customHeight="1">
      <c r="S282" s="1"/>
      <c r="T282" s="90"/>
    </row>
    <row r="283" spans="19:20" ht="15.75" customHeight="1">
      <c r="S283" s="1"/>
      <c r="T283" s="90"/>
    </row>
    <row r="284" spans="19:20" ht="15.75" customHeight="1">
      <c r="S284" s="1"/>
      <c r="T284" s="90"/>
    </row>
    <row r="285" spans="19:20" ht="15.75" customHeight="1">
      <c r="S285" s="1"/>
      <c r="T285" s="90"/>
    </row>
    <row r="286" spans="19:20" ht="15.75" customHeight="1">
      <c r="S286" s="1"/>
      <c r="T286" s="90"/>
    </row>
    <row r="287" spans="19:20" ht="15.75" customHeight="1">
      <c r="S287" s="1"/>
      <c r="T287" s="90"/>
    </row>
    <row r="288" spans="19:20" ht="15.75" customHeight="1">
      <c r="S288" s="1"/>
      <c r="T288" s="90"/>
    </row>
    <row r="289" spans="19:20" ht="15.75" customHeight="1">
      <c r="S289" s="1"/>
      <c r="T289" s="90"/>
    </row>
    <row r="290" spans="19:20" ht="15.75" customHeight="1">
      <c r="S290" s="1"/>
      <c r="T290" s="90"/>
    </row>
    <row r="291" spans="19:20" ht="15.75" customHeight="1">
      <c r="S291" s="1"/>
      <c r="T291" s="90"/>
    </row>
    <row r="292" spans="19:20" ht="15.75" customHeight="1">
      <c r="S292" s="1"/>
      <c r="T292" s="90"/>
    </row>
    <row r="293" spans="19:20" ht="15.75" customHeight="1">
      <c r="S293" s="1"/>
      <c r="T293" s="90"/>
    </row>
    <row r="294" spans="19:20" ht="15.75" customHeight="1">
      <c r="S294" s="1"/>
      <c r="T294" s="90"/>
    </row>
    <row r="295" spans="19:20" ht="15.75" customHeight="1">
      <c r="S295" s="1"/>
      <c r="T295" s="90"/>
    </row>
    <row r="296" spans="19:20" ht="15.75" customHeight="1">
      <c r="S296" s="1"/>
      <c r="T296" s="90"/>
    </row>
    <row r="297" spans="19:20" ht="15.75" customHeight="1">
      <c r="S297" s="1"/>
      <c r="T297" s="90"/>
    </row>
    <row r="298" spans="19:20" ht="15.75" customHeight="1">
      <c r="S298" s="1"/>
      <c r="T298" s="90"/>
    </row>
    <row r="299" spans="19:20" ht="15.75" customHeight="1">
      <c r="S299" s="1"/>
      <c r="T299" s="90"/>
    </row>
    <row r="300" spans="19:20" ht="15.75" customHeight="1">
      <c r="S300" s="1"/>
      <c r="T300" s="90"/>
    </row>
    <row r="301" spans="19:20" ht="15.75" customHeight="1">
      <c r="S301" s="1"/>
      <c r="T301" s="90"/>
    </row>
    <row r="302" spans="19:20" ht="15.75" customHeight="1">
      <c r="S302" s="1"/>
      <c r="T302" s="90"/>
    </row>
    <row r="303" spans="19:20" ht="15.75" customHeight="1">
      <c r="S303" s="1"/>
      <c r="T303" s="90"/>
    </row>
    <row r="304" spans="19:20" ht="15.75" customHeight="1">
      <c r="S304" s="1"/>
      <c r="T304" s="90"/>
    </row>
    <row r="305" spans="19:20" ht="15.75" customHeight="1">
      <c r="S305" s="1"/>
      <c r="T305" s="90"/>
    </row>
    <row r="306" spans="19:20" ht="15.75" customHeight="1">
      <c r="S306" s="1"/>
      <c r="T306" s="90"/>
    </row>
    <row r="307" spans="19:20" ht="15.75" customHeight="1">
      <c r="S307" s="1"/>
      <c r="T307" s="90"/>
    </row>
    <row r="308" spans="19:20" ht="15.75" customHeight="1">
      <c r="S308" s="1"/>
      <c r="T308" s="90"/>
    </row>
    <row r="309" spans="19:20" ht="15.75" customHeight="1">
      <c r="S309" s="1"/>
      <c r="T309" s="90"/>
    </row>
    <row r="310" spans="19:20" ht="15.75" customHeight="1">
      <c r="S310" s="1"/>
      <c r="T310" s="90"/>
    </row>
    <row r="311" spans="19:20" ht="15.75" customHeight="1">
      <c r="S311" s="1"/>
      <c r="T311" s="90"/>
    </row>
    <row r="312" spans="19:20" ht="15.75" customHeight="1">
      <c r="S312" s="1"/>
      <c r="T312" s="90"/>
    </row>
    <row r="313" spans="19:20" ht="15.75" customHeight="1">
      <c r="S313" s="1"/>
      <c r="T313" s="90"/>
    </row>
    <row r="314" spans="19:20" ht="15.75" customHeight="1">
      <c r="S314" s="1"/>
      <c r="T314" s="90"/>
    </row>
    <row r="315" spans="19:20" ht="15.75" customHeight="1">
      <c r="S315" s="1"/>
      <c r="T315" s="90"/>
    </row>
    <row r="316" spans="19:20" ht="15.75" customHeight="1">
      <c r="S316" s="1"/>
      <c r="T316" s="90"/>
    </row>
    <row r="317" spans="19:20" ht="15.75" customHeight="1">
      <c r="S317" s="1"/>
      <c r="T317" s="90"/>
    </row>
    <row r="318" spans="19:20" ht="15.75" customHeight="1">
      <c r="S318" s="1"/>
      <c r="T318" s="90"/>
    </row>
    <row r="319" spans="19:20" ht="15.75" customHeight="1">
      <c r="S319" s="1"/>
      <c r="T319" s="90"/>
    </row>
    <row r="320" spans="19:20" ht="15.75" customHeight="1">
      <c r="S320" s="1"/>
      <c r="T320" s="90"/>
    </row>
    <row r="321" spans="19:20" ht="15.75" customHeight="1">
      <c r="S321" s="1"/>
      <c r="T321" s="90"/>
    </row>
    <row r="322" spans="19:20" ht="15.75" customHeight="1">
      <c r="S322" s="1"/>
      <c r="T322" s="90"/>
    </row>
    <row r="323" spans="19:20" ht="15.75" customHeight="1">
      <c r="S323" s="1"/>
      <c r="T323" s="90"/>
    </row>
    <row r="324" spans="19:20" ht="15.75" customHeight="1">
      <c r="S324" s="1"/>
      <c r="T324" s="90"/>
    </row>
    <row r="325" spans="19:20" ht="15.75" customHeight="1">
      <c r="S325" s="1"/>
      <c r="T325" s="90"/>
    </row>
    <row r="326" spans="19:20" ht="15.75" customHeight="1">
      <c r="S326" s="1"/>
      <c r="T326" s="90"/>
    </row>
    <row r="327" spans="19:20" ht="15.75" customHeight="1">
      <c r="S327" s="1"/>
      <c r="T327" s="90"/>
    </row>
    <row r="328" spans="19:20" ht="15.75" customHeight="1">
      <c r="S328" s="1"/>
      <c r="T328" s="90"/>
    </row>
    <row r="329" spans="19:20" ht="15.75" customHeight="1">
      <c r="S329" s="1"/>
      <c r="T329" s="90"/>
    </row>
    <row r="330" spans="19:20" ht="15.75" customHeight="1">
      <c r="S330" s="1"/>
      <c r="T330" s="90"/>
    </row>
    <row r="331" spans="19:20" ht="15.75" customHeight="1">
      <c r="S331" s="1"/>
      <c r="T331" s="90"/>
    </row>
    <row r="332" spans="19:20" ht="15.75" customHeight="1">
      <c r="S332" s="1"/>
      <c r="T332" s="90"/>
    </row>
    <row r="333" spans="19:20" ht="15.75" customHeight="1">
      <c r="S333" s="1"/>
      <c r="T333" s="90"/>
    </row>
    <row r="334" spans="19:20" ht="15.75" customHeight="1">
      <c r="S334" s="1"/>
      <c r="T334" s="90"/>
    </row>
    <row r="335" spans="19:20" ht="15.75" customHeight="1">
      <c r="S335" s="1"/>
      <c r="T335" s="90"/>
    </row>
    <row r="336" spans="19:20" ht="15.75" customHeight="1">
      <c r="S336" s="1"/>
      <c r="T336" s="90"/>
    </row>
    <row r="337" spans="19:20" ht="15.75" customHeight="1">
      <c r="S337" s="1"/>
      <c r="T337" s="90"/>
    </row>
    <row r="338" spans="19:20" ht="15.75" customHeight="1">
      <c r="S338" s="1"/>
      <c r="T338" s="90"/>
    </row>
    <row r="339" spans="19:20" ht="15.75" customHeight="1">
      <c r="S339" s="1"/>
      <c r="T339" s="90"/>
    </row>
    <row r="340" spans="19:20" ht="15.75" customHeight="1">
      <c r="S340" s="1"/>
      <c r="T340" s="90"/>
    </row>
    <row r="341" spans="19:20" ht="15.75" customHeight="1">
      <c r="S341" s="1"/>
      <c r="T341" s="90"/>
    </row>
    <row r="342" spans="19:20" ht="15.75" customHeight="1">
      <c r="S342" s="1"/>
      <c r="T342" s="90"/>
    </row>
    <row r="343" spans="19:20" ht="15.75" customHeight="1">
      <c r="S343" s="1"/>
      <c r="T343" s="90"/>
    </row>
    <row r="344" spans="19:20" ht="15.75" customHeight="1">
      <c r="S344" s="1"/>
      <c r="T344" s="90"/>
    </row>
    <row r="345" spans="19:20" ht="15.75" customHeight="1">
      <c r="S345" s="1"/>
      <c r="T345" s="90"/>
    </row>
    <row r="346" spans="19:20" ht="15.75" customHeight="1">
      <c r="S346" s="1"/>
      <c r="T346" s="90"/>
    </row>
    <row r="347" spans="19:20" ht="15.75" customHeight="1">
      <c r="S347" s="1"/>
      <c r="T347" s="90"/>
    </row>
    <row r="348" spans="19:20" ht="15.75" customHeight="1">
      <c r="S348" s="1"/>
      <c r="T348" s="90"/>
    </row>
    <row r="349" spans="19:20" ht="15.75" customHeight="1">
      <c r="S349" s="1"/>
      <c r="T349" s="90"/>
    </row>
    <row r="350" spans="19:20" ht="15.75" customHeight="1">
      <c r="S350" s="1"/>
      <c r="T350" s="90"/>
    </row>
    <row r="351" spans="19:20" ht="15.75" customHeight="1">
      <c r="S351" s="1"/>
      <c r="T351" s="90"/>
    </row>
    <row r="352" spans="19:20" ht="15.75" customHeight="1">
      <c r="S352" s="1"/>
      <c r="T352" s="90"/>
    </row>
    <row r="353" spans="19:20" ht="15.75" customHeight="1">
      <c r="S353" s="1"/>
      <c r="T353" s="90"/>
    </row>
    <row r="354" spans="19:20" ht="15.75" customHeight="1">
      <c r="S354" s="1"/>
      <c r="T354" s="90"/>
    </row>
    <row r="355" spans="19:20" ht="15.75" customHeight="1">
      <c r="S355" s="1"/>
      <c r="T355" s="90"/>
    </row>
    <row r="356" spans="19:20" ht="15.75" customHeight="1">
      <c r="S356" s="1"/>
      <c r="T356" s="90"/>
    </row>
    <row r="357" spans="19:20" ht="15.75" customHeight="1">
      <c r="S357" s="1"/>
      <c r="T357" s="90"/>
    </row>
    <row r="358" spans="19:20" ht="15.75" customHeight="1">
      <c r="S358" s="1"/>
      <c r="T358" s="90"/>
    </row>
    <row r="359" spans="19:20" ht="15.75" customHeight="1">
      <c r="S359" s="1"/>
      <c r="T359" s="90"/>
    </row>
    <row r="360" spans="19:20" ht="15.75" customHeight="1">
      <c r="S360" s="1"/>
      <c r="T360" s="90"/>
    </row>
    <row r="361" spans="19:20" ht="15.75" customHeight="1">
      <c r="S361" s="1"/>
      <c r="T361" s="90"/>
    </row>
    <row r="362" spans="19:20" ht="15.75" customHeight="1">
      <c r="S362" s="1"/>
      <c r="T362" s="90"/>
    </row>
    <row r="363" spans="19:20" ht="15.75" customHeight="1">
      <c r="S363" s="1"/>
      <c r="T363" s="90"/>
    </row>
    <row r="364" spans="19:20" ht="15.75" customHeight="1">
      <c r="S364" s="1"/>
      <c r="T364" s="90"/>
    </row>
    <row r="365" spans="19:20" ht="15.75" customHeight="1">
      <c r="S365" s="1"/>
      <c r="T365" s="90"/>
    </row>
    <row r="366" spans="19:20" ht="15.75" customHeight="1">
      <c r="S366" s="1"/>
      <c r="T366" s="90"/>
    </row>
    <row r="367" spans="19:20" ht="15.75" customHeight="1">
      <c r="S367" s="1"/>
      <c r="T367" s="90"/>
    </row>
    <row r="368" spans="19:20" ht="15.75" customHeight="1">
      <c r="S368" s="1"/>
      <c r="T368" s="90"/>
    </row>
    <row r="369" spans="19:20" ht="15.75" customHeight="1">
      <c r="S369" s="1"/>
      <c r="T369" s="90"/>
    </row>
    <row r="370" spans="19:20" ht="15.75" customHeight="1">
      <c r="S370" s="1"/>
      <c r="T370" s="90"/>
    </row>
    <row r="371" spans="19:20" ht="15.75" customHeight="1">
      <c r="S371" s="1"/>
      <c r="T371" s="90"/>
    </row>
    <row r="372" spans="19:20" ht="15.75" customHeight="1">
      <c r="S372" s="1"/>
      <c r="T372" s="90"/>
    </row>
    <row r="373" spans="19:20" ht="15.75" customHeight="1">
      <c r="S373" s="1"/>
      <c r="T373" s="90"/>
    </row>
    <row r="374" spans="19:20" ht="15.75" customHeight="1">
      <c r="S374" s="1"/>
      <c r="T374" s="90"/>
    </row>
    <row r="375" spans="19:20" ht="15.75" customHeight="1">
      <c r="S375" s="1"/>
      <c r="T375" s="90"/>
    </row>
    <row r="376" spans="19:20" ht="15.75" customHeight="1">
      <c r="S376" s="1"/>
      <c r="T376" s="90"/>
    </row>
    <row r="377" spans="19:20" ht="15.75" customHeight="1">
      <c r="S377" s="1"/>
      <c r="T377" s="90"/>
    </row>
    <row r="378" spans="19:20" ht="15.75" customHeight="1">
      <c r="S378" s="1"/>
      <c r="T378" s="90"/>
    </row>
    <row r="379" spans="19:20" ht="15.75" customHeight="1">
      <c r="S379" s="1"/>
      <c r="T379" s="90"/>
    </row>
    <row r="380" spans="19:20" ht="15.75" customHeight="1">
      <c r="S380" s="1"/>
      <c r="T380" s="90"/>
    </row>
    <row r="381" spans="19:20" ht="15.75" customHeight="1">
      <c r="S381" s="1"/>
      <c r="T381" s="90"/>
    </row>
    <row r="382" spans="19:20" ht="15.75" customHeight="1">
      <c r="S382" s="1"/>
      <c r="T382" s="90"/>
    </row>
    <row r="383" spans="19:20" ht="15.75" customHeight="1">
      <c r="S383" s="1"/>
      <c r="T383" s="90"/>
    </row>
    <row r="384" spans="19:20" ht="15.75" customHeight="1">
      <c r="S384" s="1"/>
      <c r="T384" s="90"/>
    </row>
    <row r="385" spans="19:20" ht="15.75" customHeight="1">
      <c r="S385" s="1"/>
      <c r="T385" s="90"/>
    </row>
    <row r="386" spans="19:20" ht="15.75" customHeight="1">
      <c r="S386" s="1"/>
      <c r="T386" s="90"/>
    </row>
    <row r="387" spans="19:20" ht="15.75" customHeight="1">
      <c r="S387" s="1"/>
      <c r="T387" s="90"/>
    </row>
    <row r="388" spans="19:20" ht="15.75" customHeight="1">
      <c r="S388" s="1"/>
      <c r="T388" s="90"/>
    </row>
    <row r="389" spans="19:20" ht="15.75" customHeight="1">
      <c r="S389" s="1"/>
      <c r="T389" s="90"/>
    </row>
    <row r="390" spans="19:20" ht="15.75" customHeight="1">
      <c r="S390" s="1"/>
      <c r="T390" s="90"/>
    </row>
    <row r="391" spans="19:20" ht="15.75" customHeight="1">
      <c r="S391" s="1"/>
      <c r="T391" s="90"/>
    </row>
    <row r="392" spans="19:20" ht="15.75" customHeight="1">
      <c r="S392" s="1"/>
      <c r="T392" s="90"/>
    </row>
    <row r="393" spans="19:20" ht="15.75" customHeight="1">
      <c r="S393" s="1"/>
      <c r="T393" s="90"/>
    </row>
    <row r="394" spans="19:20" ht="15.75" customHeight="1">
      <c r="S394" s="1"/>
      <c r="T394" s="90"/>
    </row>
    <row r="395" spans="19:20" ht="15.75" customHeight="1">
      <c r="S395" s="1"/>
      <c r="T395" s="90"/>
    </row>
    <row r="396" spans="19:20" ht="15.75" customHeight="1">
      <c r="S396" s="1"/>
      <c r="T396" s="90"/>
    </row>
    <row r="397" spans="19:20" ht="15.75" customHeight="1">
      <c r="S397" s="1"/>
      <c r="T397" s="90"/>
    </row>
    <row r="398" spans="19:20" ht="15.75" customHeight="1">
      <c r="S398" s="1"/>
      <c r="T398" s="90"/>
    </row>
    <row r="399" spans="19:20" ht="15.75" customHeight="1">
      <c r="S399" s="1"/>
      <c r="T399" s="90"/>
    </row>
    <row r="400" spans="19:20" ht="15.75" customHeight="1">
      <c r="S400" s="1"/>
      <c r="T400" s="90"/>
    </row>
    <row r="401" spans="19:20" ht="15.75" customHeight="1">
      <c r="S401" s="1"/>
      <c r="T401" s="90"/>
    </row>
    <row r="402" spans="19:20" ht="15.75" customHeight="1">
      <c r="S402" s="1"/>
      <c r="T402" s="90"/>
    </row>
    <row r="403" spans="19:20" ht="15.75" customHeight="1">
      <c r="S403" s="1"/>
      <c r="T403" s="90"/>
    </row>
    <row r="404" spans="19:20" ht="15.75" customHeight="1">
      <c r="S404" s="1"/>
      <c r="T404" s="90"/>
    </row>
    <row r="405" spans="19:20" ht="15.75" customHeight="1">
      <c r="S405" s="1"/>
      <c r="T405" s="90"/>
    </row>
    <row r="406" spans="19:20" ht="15.75" customHeight="1">
      <c r="S406" s="1"/>
      <c r="T406" s="90"/>
    </row>
    <row r="407" spans="19:20" ht="15.75" customHeight="1">
      <c r="S407" s="1"/>
      <c r="T407" s="90"/>
    </row>
    <row r="408" spans="19:20" ht="15.75" customHeight="1">
      <c r="S408" s="1"/>
      <c r="T408" s="90"/>
    </row>
    <row r="409" spans="19:20" ht="15.75" customHeight="1">
      <c r="S409" s="1"/>
      <c r="T409" s="90"/>
    </row>
    <row r="410" spans="19:20" ht="15.75" customHeight="1">
      <c r="S410" s="1"/>
      <c r="T410" s="90"/>
    </row>
    <row r="411" spans="19:20" ht="15.75" customHeight="1">
      <c r="S411" s="1"/>
      <c r="T411" s="90"/>
    </row>
    <row r="412" spans="19:20" ht="15.75" customHeight="1">
      <c r="S412" s="1"/>
      <c r="T412" s="90"/>
    </row>
    <row r="413" spans="19:20" ht="15.75" customHeight="1">
      <c r="S413" s="1"/>
      <c r="T413" s="90"/>
    </row>
    <row r="414" spans="19:20" ht="15.75" customHeight="1">
      <c r="S414" s="1"/>
      <c r="T414" s="90"/>
    </row>
    <row r="415" spans="19:20" ht="15.75" customHeight="1">
      <c r="S415" s="1"/>
      <c r="T415" s="90"/>
    </row>
    <row r="416" spans="19:20" ht="15.75" customHeight="1">
      <c r="S416" s="1"/>
      <c r="T416" s="90"/>
    </row>
    <row r="417" spans="19:20" ht="15.75" customHeight="1">
      <c r="S417" s="1"/>
      <c r="T417" s="90"/>
    </row>
    <row r="418" spans="19:20" ht="15.75" customHeight="1">
      <c r="S418" s="1"/>
      <c r="T418" s="90"/>
    </row>
    <row r="419" spans="19:20" ht="15.75" customHeight="1">
      <c r="S419" s="1"/>
      <c r="T419" s="90"/>
    </row>
    <row r="420" spans="19:20" ht="15.75" customHeight="1">
      <c r="S420" s="1"/>
      <c r="T420" s="90"/>
    </row>
    <row r="421" spans="19:20" ht="15.75" customHeight="1">
      <c r="S421" s="1"/>
      <c r="T421" s="90"/>
    </row>
    <row r="422" spans="19:20" ht="15.75" customHeight="1">
      <c r="S422" s="1"/>
      <c r="T422" s="90"/>
    </row>
    <row r="423" spans="19:20" ht="15.75" customHeight="1">
      <c r="S423" s="1"/>
      <c r="T423" s="90"/>
    </row>
    <row r="424" spans="19:20" ht="15.75" customHeight="1">
      <c r="S424" s="1"/>
      <c r="T424" s="90"/>
    </row>
    <row r="425" spans="19:20" ht="15.75" customHeight="1">
      <c r="S425" s="1"/>
      <c r="T425" s="90"/>
    </row>
    <row r="426" spans="19:20" ht="15.75" customHeight="1">
      <c r="S426" s="1"/>
      <c r="T426" s="90"/>
    </row>
    <row r="427" spans="19:20" ht="15.75" customHeight="1">
      <c r="S427" s="1"/>
      <c r="T427" s="90"/>
    </row>
    <row r="428" spans="19:20" ht="15.75" customHeight="1">
      <c r="S428" s="1"/>
      <c r="T428" s="90"/>
    </row>
    <row r="429" spans="19:20" ht="15.75" customHeight="1">
      <c r="S429" s="1"/>
      <c r="T429" s="90"/>
    </row>
    <row r="430" spans="19:20" ht="15.75" customHeight="1">
      <c r="S430" s="1"/>
      <c r="T430" s="90"/>
    </row>
    <row r="431" spans="19:20" ht="15.75" customHeight="1">
      <c r="S431" s="1"/>
      <c r="T431" s="90"/>
    </row>
    <row r="432" spans="19:20" ht="15.75" customHeight="1">
      <c r="S432" s="1"/>
      <c r="T432" s="90"/>
    </row>
    <row r="433" spans="19:20" ht="15.75" customHeight="1">
      <c r="S433" s="1"/>
      <c r="T433" s="90"/>
    </row>
    <row r="434" spans="19:20" ht="15.75" customHeight="1">
      <c r="S434" s="1"/>
      <c r="T434" s="90"/>
    </row>
    <row r="435" spans="19:20" ht="15.75" customHeight="1">
      <c r="S435" s="1"/>
      <c r="T435" s="90"/>
    </row>
    <row r="436" spans="19:20" ht="15.75" customHeight="1">
      <c r="S436" s="1"/>
      <c r="T436" s="90"/>
    </row>
    <row r="437" spans="19:20" ht="15.75" customHeight="1">
      <c r="S437" s="1"/>
      <c r="T437" s="90"/>
    </row>
    <row r="438" spans="19:20" ht="15.75" customHeight="1">
      <c r="S438" s="1"/>
      <c r="T438" s="90"/>
    </row>
    <row r="439" spans="19:20" ht="15.75" customHeight="1">
      <c r="S439" s="1"/>
      <c r="T439" s="90"/>
    </row>
    <row r="440" spans="19:20" ht="15.75" customHeight="1">
      <c r="S440" s="1"/>
      <c r="T440" s="90"/>
    </row>
    <row r="441" spans="19:20" ht="15.75" customHeight="1">
      <c r="S441" s="1"/>
      <c r="T441" s="90"/>
    </row>
    <row r="442" spans="19:20" ht="15.75" customHeight="1">
      <c r="S442" s="1"/>
      <c r="T442" s="90"/>
    </row>
    <row r="443" spans="19:20" ht="15.75" customHeight="1">
      <c r="S443" s="1"/>
      <c r="T443" s="90"/>
    </row>
    <row r="444" spans="19:20" ht="15.75" customHeight="1">
      <c r="S444" s="1"/>
      <c r="T444" s="90"/>
    </row>
    <row r="445" spans="19:20" ht="15.75" customHeight="1">
      <c r="S445" s="1"/>
      <c r="T445" s="90"/>
    </row>
    <row r="446" spans="19:20" ht="15.75" customHeight="1">
      <c r="S446" s="1"/>
      <c r="T446" s="90"/>
    </row>
    <row r="447" spans="19:20" ht="15.75" customHeight="1">
      <c r="S447" s="1"/>
      <c r="T447" s="90"/>
    </row>
    <row r="448" spans="19:20" ht="15.75" customHeight="1">
      <c r="S448" s="1"/>
      <c r="T448" s="90"/>
    </row>
    <row r="449" spans="19:20" ht="15.75" customHeight="1">
      <c r="S449" s="1"/>
      <c r="T449" s="90"/>
    </row>
    <row r="450" spans="19:20" ht="15.75" customHeight="1">
      <c r="S450" s="1"/>
      <c r="T450" s="90"/>
    </row>
    <row r="451" spans="19:20" ht="15.75" customHeight="1">
      <c r="S451" s="1"/>
      <c r="T451" s="90"/>
    </row>
    <row r="452" spans="19:20" ht="15.75" customHeight="1">
      <c r="S452" s="1"/>
      <c r="T452" s="90"/>
    </row>
    <row r="453" spans="19:20" ht="15.75" customHeight="1">
      <c r="S453" s="1"/>
      <c r="T453" s="90"/>
    </row>
    <row r="454" spans="19:20" ht="15.75" customHeight="1">
      <c r="S454" s="1"/>
      <c r="T454" s="90"/>
    </row>
    <row r="455" spans="19:20" ht="15.75" customHeight="1">
      <c r="S455" s="1"/>
      <c r="T455" s="90"/>
    </row>
    <row r="456" spans="19:20" ht="15.75" customHeight="1">
      <c r="S456" s="1"/>
      <c r="T456" s="90"/>
    </row>
    <row r="457" spans="19:20" ht="15.75" customHeight="1">
      <c r="S457" s="1"/>
      <c r="T457" s="90"/>
    </row>
    <row r="458" spans="19:20" ht="15.75" customHeight="1">
      <c r="S458" s="1"/>
      <c r="T458" s="90"/>
    </row>
    <row r="459" spans="19:20" ht="15.75" customHeight="1">
      <c r="S459" s="1"/>
      <c r="T459" s="90"/>
    </row>
    <row r="460" spans="19:20" ht="15.75" customHeight="1">
      <c r="S460" s="1"/>
      <c r="T460" s="90"/>
    </row>
    <row r="461" spans="19:20" ht="15.75" customHeight="1">
      <c r="S461" s="1"/>
      <c r="T461" s="90"/>
    </row>
    <row r="462" spans="19:20" ht="15.75" customHeight="1">
      <c r="S462" s="1"/>
      <c r="T462" s="90"/>
    </row>
    <row r="463" spans="19:20" ht="15.75" customHeight="1">
      <c r="S463" s="1"/>
      <c r="T463" s="90"/>
    </row>
    <row r="464" spans="19:20" ht="15.75" customHeight="1">
      <c r="S464" s="1"/>
      <c r="T464" s="90"/>
    </row>
    <row r="465" spans="19:20" ht="15.75" customHeight="1">
      <c r="S465" s="1"/>
      <c r="T465" s="90"/>
    </row>
    <row r="466" spans="19:20" ht="15.75" customHeight="1">
      <c r="S466" s="1"/>
      <c r="T466" s="90"/>
    </row>
    <row r="467" spans="19:20" ht="15.75" customHeight="1">
      <c r="S467" s="1"/>
      <c r="T467" s="90"/>
    </row>
    <row r="468" spans="19:20" ht="15.75" customHeight="1">
      <c r="S468" s="1"/>
      <c r="T468" s="90"/>
    </row>
    <row r="469" spans="19:20" ht="15.75" customHeight="1">
      <c r="S469" s="1"/>
      <c r="T469" s="90"/>
    </row>
    <row r="470" spans="19:20" ht="15.75" customHeight="1">
      <c r="S470" s="1"/>
      <c r="T470" s="90"/>
    </row>
    <row r="471" spans="19:20" ht="15.75" customHeight="1">
      <c r="S471" s="1"/>
      <c r="T471" s="90"/>
    </row>
    <row r="472" spans="19:20" ht="15.75" customHeight="1">
      <c r="S472" s="1"/>
      <c r="T472" s="90"/>
    </row>
    <row r="473" spans="19:20" ht="15.75" customHeight="1">
      <c r="S473" s="1"/>
      <c r="T473" s="90"/>
    </row>
    <row r="474" spans="19:20" ht="15.75" customHeight="1">
      <c r="S474" s="1"/>
      <c r="T474" s="90"/>
    </row>
    <row r="475" spans="19:20" ht="15.75" customHeight="1">
      <c r="S475" s="1"/>
      <c r="T475" s="90"/>
    </row>
    <row r="476" spans="19:20" ht="15.75" customHeight="1">
      <c r="S476" s="1"/>
      <c r="T476" s="90"/>
    </row>
    <row r="477" spans="19:20" ht="15.75" customHeight="1">
      <c r="S477" s="1"/>
      <c r="T477" s="90"/>
    </row>
    <row r="478" spans="19:20" ht="15.75" customHeight="1">
      <c r="S478" s="1"/>
      <c r="T478" s="90"/>
    </row>
    <row r="479" spans="19:20" ht="15.75" customHeight="1">
      <c r="S479" s="1"/>
      <c r="T479" s="90"/>
    </row>
    <row r="480" spans="19:20" ht="15.75" customHeight="1">
      <c r="S480" s="1"/>
      <c r="T480" s="90"/>
    </row>
    <row r="481" spans="19:20" ht="15.75" customHeight="1">
      <c r="S481" s="1"/>
      <c r="T481" s="90"/>
    </row>
    <row r="482" spans="19:20" ht="15.75" customHeight="1">
      <c r="S482" s="1"/>
      <c r="T482" s="90"/>
    </row>
    <row r="483" spans="19:20" ht="15.75" customHeight="1">
      <c r="S483" s="1"/>
      <c r="T483" s="90"/>
    </row>
    <row r="484" spans="19:20" ht="15.75" customHeight="1">
      <c r="S484" s="1"/>
      <c r="T484" s="90"/>
    </row>
    <row r="485" spans="19:20" ht="15.75" customHeight="1">
      <c r="S485" s="1"/>
      <c r="T485" s="90"/>
    </row>
    <row r="486" spans="19:20" ht="15.75" customHeight="1">
      <c r="S486" s="1"/>
      <c r="T486" s="90"/>
    </row>
    <row r="487" spans="19:20" ht="15.75" customHeight="1">
      <c r="S487" s="1"/>
      <c r="T487" s="90"/>
    </row>
    <row r="488" spans="19:20" ht="15.75" customHeight="1">
      <c r="S488" s="1"/>
      <c r="T488" s="90"/>
    </row>
    <row r="489" spans="19:20" ht="15.75" customHeight="1">
      <c r="S489" s="1"/>
      <c r="T489" s="90"/>
    </row>
    <row r="490" spans="19:20" ht="15.75" customHeight="1">
      <c r="S490" s="1"/>
      <c r="T490" s="90"/>
    </row>
    <row r="491" spans="19:20" ht="15.75" customHeight="1">
      <c r="S491" s="1"/>
      <c r="T491" s="90"/>
    </row>
    <row r="492" spans="19:20" ht="15.75" customHeight="1">
      <c r="S492" s="1"/>
      <c r="T492" s="90"/>
    </row>
    <row r="493" spans="19:20" ht="15.75" customHeight="1">
      <c r="S493" s="1"/>
      <c r="T493" s="90"/>
    </row>
    <row r="494" spans="19:20" ht="15.75" customHeight="1">
      <c r="S494" s="1"/>
      <c r="T494" s="90"/>
    </row>
    <row r="495" spans="19:20" ht="15.75" customHeight="1">
      <c r="S495" s="1"/>
      <c r="T495" s="90"/>
    </row>
    <row r="496" spans="19:20" ht="15.75" customHeight="1">
      <c r="S496" s="1"/>
      <c r="T496" s="90"/>
    </row>
    <row r="497" spans="19:20" ht="15.75" customHeight="1">
      <c r="S497" s="1"/>
      <c r="T497" s="90"/>
    </row>
    <row r="498" spans="19:20" ht="15.75" customHeight="1">
      <c r="S498" s="1"/>
      <c r="T498" s="90"/>
    </row>
    <row r="499" spans="19:20" ht="15.75" customHeight="1">
      <c r="S499" s="1"/>
      <c r="T499" s="90"/>
    </row>
    <row r="500" spans="19:20" ht="15.75" customHeight="1">
      <c r="S500" s="1"/>
      <c r="T500" s="90"/>
    </row>
    <row r="501" spans="19:20" ht="15.75" customHeight="1">
      <c r="S501" s="1"/>
      <c r="T501" s="90"/>
    </row>
    <row r="502" spans="19:20" ht="15.75" customHeight="1">
      <c r="S502" s="1"/>
      <c r="T502" s="90"/>
    </row>
    <row r="503" spans="19:20" ht="15.75" customHeight="1">
      <c r="S503" s="1"/>
      <c r="T503" s="90"/>
    </row>
    <row r="504" spans="19:20" ht="15.75" customHeight="1">
      <c r="S504" s="1"/>
      <c r="T504" s="90"/>
    </row>
    <row r="505" spans="19:20" ht="15.75" customHeight="1">
      <c r="S505" s="1"/>
      <c r="T505" s="90"/>
    </row>
    <row r="506" spans="19:20" ht="15.75" customHeight="1">
      <c r="S506" s="1"/>
      <c r="T506" s="90"/>
    </row>
    <row r="507" spans="19:20" ht="15.75" customHeight="1">
      <c r="S507" s="1"/>
      <c r="T507" s="90"/>
    </row>
    <row r="508" spans="19:20" ht="15.75" customHeight="1">
      <c r="S508" s="1"/>
      <c r="T508" s="90"/>
    </row>
    <row r="509" spans="19:20" ht="15.75" customHeight="1">
      <c r="S509" s="1"/>
      <c r="T509" s="90"/>
    </row>
    <row r="510" spans="19:20" ht="15.75" customHeight="1">
      <c r="S510" s="1"/>
      <c r="T510" s="90"/>
    </row>
    <row r="511" spans="19:20" ht="15.75" customHeight="1">
      <c r="S511" s="1"/>
      <c r="T511" s="90"/>
    </row>
    <row r="512" spans="19:20" ht="15.75" customHeight="1">
      <c r="S512" s="1"/>
      <c r="T512" s="90"/>
    </row>
    <row r="513" spans="19:20" ht="15.75" customHeight="1">
      <c r="S513" s="1"/>
      <c r="T513" s="90"/>
    </row>
    <row r="514" spans="19:20" ht="15.75" customHeight="1">
      <c r="S514" s="1"/>
      <c r="T514" s="90"/>
    </row>
    <row r="515" spans="19:20" ht="15.75" customHeight="1">
      <c r="S515" s="1"/>
      <c r="T515" s="90"/>
    </row>
    <row r="516" spans="19:20" ht="15.75" customHeight="1">
      <c r="S516" s="1"/>
      <c r="T516" s="90"/>
    </row>
    <row r="517" spans="19:20" ht="15.75" customHeight="1">
      <c r="S517" s="1"/>
      <c r="T517" s="90"/>
    </row>
    <row r="518" spans="19:20" ht="15.75" customHeight="1">
      <c r="S518" s="1"/>
      <c r="T518" s="90"/>
    </row>
    <row r="519" spans="19:20" ht="15.75" customHeight="1">
      <c r="S519" s="1"/>
      <c r="T519" s="90"/>
    </row>
    <row r="520" spans="19:20" ht="15.75" customHeight="1">
      <c r="S520" s="1"/>
      <c r="T520" s="90"/>
    </row>
    <row r="521" spans="19:20" ht="15.75" customHeight="1">
      <c r="S521" s="1"/>
      <c r="T521" s="90"/>
    </row>
    <row r="522" spans="19:20" ht="15.75" customHeight="1">
      <c r="S522" s="1"/>
      <c r="T522" s="90"/>
    </row>
    <row r="523" spans="19:20" ht="15.75" customHeight="1">
      <c r="S523" s="1"/>
      <c r="T523" s="90"/>
    </row>
    <row r="524" spans="19:20" ht="15.75" customHeight="1">
      <c r="S524" s="1"/>
      <c r="T524" s="90"/>
    </row>
    <row r="525" spans="19:20" ht="15.75" customHeight="1">
      <c r="S525" s="1"/>
      <c r="T525" s="90"/>
    </row>
    <row r="526" spans="19:20" ht="15.75" customHeight="1">
      <c r="S526" s="1"/>
      <c r="T526" s="90"/>
    </row>
    <row r="527" spans="19:20" ht="15.75" customHeight="1">
      <c r="S527" s="1"/>
      <c r="T527" s="90"/>
    </row>
    <row r="528" spans="19:20" ht="15.75" customHeight="1">
      <c r="S528" s="1"/>
      <c r="T528" s="90"/>
    </row>
    <row r="529" spans="19:20" ht="15.75" customHeight="1">
      <c r="S529" s="1"/>
      <c r="T529" s="90"/>
    </row>
    <row r="530" spans="19:20" ht="15.75" customHeight="1">
      <c r="S530" s="1"/>
      <c r="T530" s="90"/>
    </row>
    <row r="531" spans="19:20" ht="15.75" customHeight="1">
      <c r="S531" s="1"/>
      <c r="T531" s="90"/>
    </row>
    <row r="532" spans="19:20" ht="15.75" customHeight="1">
      <c r="S532" s="1"/>
      <c r="T532" s="90"/>
    </row>
    <row r="533" spans="19:20" ht="15.75" customHeight="1">
      <c r="S533" s="1"/>
      <c r="T533" s="90"/>
    </row>
    <row r="534" spans="19:20" ht="15.75" customHeight="1">
      <c r="S534" s="1"/>
      <c r="T534" s="90"/>
    </row>
    <row r="535" spans="19:20" ht="15.75" customHeight="1">
      <c r="S535" s="1"/>
      <c r="T535" s="90"/>
    </row>
    <row r="536" spans="19:20" ht="15.75" customHeight="1">
      <c r="S536" s="1"/>
      <c r="T536" s="90"/>
    </row>
    <row r="537" spans="19:20" ht="15.75" customHeight="1">
      <c r="S537" s="1"/>
      <c r="T537" s="90"/>
    </row>
    <row r="538" spans="19:20" ht="15.75" customHeight="1">
      <c r="S538" s="1"/>
      <c r="T538" s="90"/>
    </row>
    <row r="539" spans="19:20" ht="15.75" customHeight="1">
      <c r="S539" s="1"/>
      <c r="T539" s="90"/>
    </row>
    <row r="540" spans="19:20" ht="15.75" customHeight="1">
      <c r="S540" s="1"/>
      <c r="T540" s="90"/>
    </row>
    <row r="541" spans="19:20" ht="15.75" customHeight="1">
      <c r="S541" s="1"/>
      <c r="T541" s="90"/>
    </row>
    <row r="542" spans="19:20" ht="15.75" customHeight="1">
      <c r="S542" s="1"/>
      <c r="T542" s="90"/>
    </row>
    <row r="543" spans="19:20" ht="15.75" customHeight="1">
      <c r="S543" s="1"/>
      <c r="T543" s="90"/>
    </row>
    <row r="544" spans="19:20" ht="15.75" customHeight="1">
      <c r="S544" s="1"/>
      <c r="T544" s="90"/>
    </row>
    <row r="545" spans="19:20" ht="15.75" customHeight="1">
      <c r="S545" s="1"/>
      <c r="T545" s="90"/>
    </row>
    <row r="546" spans="19:20" ht="15.75" customHeight="1">
      <c r="S546" s="1"/>
      <c r="T546" s="90"/>
    </row>
    <row r="547" spans="19:20" ht="15.75" customHeight="1">
      <c r="S547" s="1"/>
      <c r="T547" s="90"/>
    </row>
    <row r="548" spans="19:20" ht="15.75" customHeight="1">
      <c r="S548" s="1"/>
      <c r="T548" s="90"/>
    </row>
    <row r="549" spans="19:20" ht="15.75" customHeight="1">
      <c r="S549" s="1"/>
      <c r="T549" s="90"/>
    </row>
    <row r="550" spans="19:20" ht="15.75" customHeight="1">
      <c r="S550" s="1"/>
      <c r="T550" s="90"/>
    </row>
    <row r="551" spans="19:20" ht="15.75" customHeight="1">
      <c r="S551" s="1"/>
      <c r="T551" s="90"/>
    </row>
    <row r="552" spans="19:20" ht="15.75" customHeight="1">
      <c r="S552" s="1"/>
      <c r="T552" s="90"/>
    </row>
    <row r="553" spans="19:20" ht="15.75" customHeight="1">
      <c r="S553" s="1"/>
      <c r="T553" s="90"/>
    </row>
    <row r="554" spans="19:20" ht="15.75" customHeight="1">
      <c r="S554" s="1"/>
      <c r="T554" s="90"/>
    </row>
    <row r="555" spans="19:20" ht="15.75" customHeight="1">
      <c r="S555" s="1"/>
      <c r="T555" s="90"/>
    </row>
    <row r="556" spans="19:20" ht="15.75" customHeight="1">
      <c r="S556" s="1"/>
      <c r="T556" s="90"/>
    </row>
    <row r="557" spans="19:20" ht="15.75" customHeight="1">
      <c r="S557" s="1"/>
      <c r="T557" s="90"/>
    </row>
    <row r="558" spans="19:20" ht="15.75" customHeight="1">
      <c r="S558" s="1"/>
      <c r="T558" s="90"/>
    </row>
    <row r="559" spans="19:20" ht="15.75" customHeight="1">
      <c r="S559" s="1"/>
      <c r="T559" s="90"/>
    </row>
    <row r="560" spans="19:20" ht="15.75" customHeight="1">
      <c r="S560" s="1"/>
      <c r="T560" s="90"/>
    </row>
    <row r="561" spans="19:20" ht="15.75" customHeight="1">
      <c r="S561" s="1"/>
      <c r="T561" s="90"/>
    </row>
    <row r="562" spans="19:20" ht="15.75" customHeight="1">
      <c r="S562" s="1"/>
      <c r="T562" s="90"/>
    </row>
    <row r="563" spans="19:20" ht="15.75" customHeight="1">
      <c r="S563" s="1"/>
      <c r="T563" s="90"/>
    </row>
    <row r="564" spans="19:20" ht="15.75" customHeight="1">
      <c r="S564" s="1"/>
      <c r="T564" s="90"/>
    </row>
    <row r="565" spans="19:20" ht="15.75" customHeight="1">
      <c r="S565" s="1"/>
      <c r="T565" s="90"/>
    </row>
    <row r="566" spans="19:20" ht="15.75" customHeight="1">
      <c r="S566" s="1"/>
      <c r="T566" s="90"/>
    </row>
    <row r="567" spans="19:20" ht="15.75" customHeight="1">
      <c r="S567" s="1"/>
      <c r="T567" s="90"/>
    </row>
    <row r="568" spans="19:20" ht="15.75" customHeight="1">
      <c r="S568" s="1"/>
      <c r="T568" s="90"/>
    </row>
    <row r="569" spans="19:20" ht="15.75" customHeight="1">
      <c r="S569" s="1"/>
      <c r="T569" s="90"/>
    </row>
    <row r="570" spans="19:20" ht="15.75" customHeight="1">
      <c r="S570" s="1"/>
      <c r="T570" s="90"/>
    </row>
    <row r="571" spans="19:20" ht="15.75" customHeight="1">
      <c r="S571" s="1"/>
      <c r="T571" s="90"/>
    </row>
    <row r="572" spans="19:20" ht="15.75" customHeight="1">
      <c r="S572" s="1"/>
      <c r="T572" s="90"/>
    </row>
    <row r="573" spans="19:20" ht="15.75" customHeight="1">
      <c r="S573" s="1"/>
      <c r="T573" s="90"/>
    </row>
    <row r="574" spans="19:20" ht="15.75" customHeight="1">
      <c r="S574" s="1"/>
      <c r="T574" s="90"/>
    </row>
    <row r="575" spans="19:20" ht="15.75" customHeight="1">
      <c r="S575" s="1"/>
      <c r="T575" s="90"/>
    </row>
    <row r="576" spans="19:20" ht="15.75" customHeight="1">
      <c r="S576" s="1"/>
      <c r="T576" s="90"/>
    </row>
    <row r="577" spans="19:20" ht="15.75" customHeight="1">
      <c r="S577" s="1"/>
      <c r="T577" s="90"/>
    </row>
    <row r="578" spans="19:20" ht="15.75" customHeight="1">
      <c r="S578" s="1"/>
      <c r="T578" s="90"/>
    </row>
    <row r="579" spans="19:20" ht="15.75" customHeight="1">
      <c r="S579" s="1"/>
      <c r="T579" s="90"/>
    </row>
    <row r="580" spans="19:20" ht="15.75" customHeight="1">
      <c r="S580" s="1"/>
      <c r="T580" s="90"/>
    </row>
    <row r="581" spans="19:20" ht="15.75" customHeight="1">
      <c r="S581" s="1"/>
      <c r="T581" s="90"/>
    </row>
    <row r="582" spans="19:20" ht="15.75" customHeight="1">
      <c r="S582" s="1"/>
      <c r="T582" s="90"/>
    </row>
    <row r="583" spans="19:20" ht="15.75" customHeight="1">
      <c r="S583" s="1"/>
      <c r="T583" s="90"/>
    </row>
    <row r="584" spans="19:20" ht="15.75" customHeight="1">
      <c r="S584" s="1"/>
      <c r="T584" s="90"/>
    </row>
    <row r="585" spans="19:20" ht="15.75" customHeight="1">
      <c r="S585" s="1"/>
      <c r="T585" s="90"/>
    </row>
    <row r="586" spans="19:20" ht="15.75" customHeight="1">
      <c r="S586" s="1"/>
      <c r="T586" s="90"/>
    </row>
    <row r="587" spans="19:20" ht="15.75" customHeight="1">
      <c r="S587" s="1"/>
      <c r="T587" s="90"/>
    </row>
    <row r="588" spans="19:20" ht="15.75" customHeight="1">
      <c r="S588" s="1"/>
      <c r="T588" s="90"/>
    </row>
    <row r="589" spans="19:20" ht="15.75" customHeight="1">
      <c r="S589" s="1"/>
      <c r="T589" s="90"/>
    </row>
    <row r="590" spans="19:20" ht="15.75" customHeight="1">
      <c r="S590" s="1"/>
      <c r="T590" s="90"/>
    </row>
    <row r="591" spans="19:20" ht="15.75" customHeight="1">
      <c r="S591" s="1"/>
      <c r="T591" s="90"/>
    </row>
    <row r="592" spans="19:20" ht="15.75" customHeight="1">
      <c r="S592" s="1"/>
      <c r="T592" s="90"/>
    </row>
    <row r="593" spans="19:20" ht="15.75" customHeight="1">
      <c r="S593" s="1"/>
      <c r="T593" s="90"/>
    </row>
    <row r="594" spans="19:20" ht="15.75" customHeight="1">
      <c r="S594" s="1"/>
      <c r="T594" s="90"/>
    </row>
    <row r="595" spans="19:20" ht="15.75" customHeight="1">
      <c r="S595" s="1"/>
      <c r="T595" s="90"/>
    </row>
    <row r="596" spans="19:20" ht="15.75" customHeight="1">
      <c r="S596" s="1"/>
      <c r="T596" s="90"/>
    </row>
    <row r="597" spans="19:20" ht="15.75" customHeight="1">
      <c r="S597" s="1"/>
      <c r="T597" s="90"/>
    </row>
    <row r="598" spans="19:20" ht="15.75" customHeight="1">
      <c r="S598" s="1"/>
      <c r="T598" s="90"/>
    </row>
    <row r="599" spans="19:20" ht="15.75" customHeight="1">
      <c r="S599" s="1"/>
      <c r="T599" s="90"/>
    </row>
    <row r="600" spans="19:20" ht="15.75" customHeight="1">
      <c r="S600" s="1"/>
      <c r="T600" s="90"/>
    </row>
    <row r="601" spans="19:20" ht="15.75" customHeight="1">
      <c r="S601" s="1"/>
      <c r="T601" s="90"/>
    </row>
    <row r="602" spans="19:20" ht="15.75" customHeight="1">
      <c r="S602" s="1"/>
      <c r="T602" s="90"/>
    </row>
    <row r="603" spans="19:20" ht="15.75" customHeight="1">
      <c r="S603" s="1"/>
      <c r="T603" s="90"/>
    </row>
    <row r="604" spans="19:20" ht="15.75" customHeight="1">
      <c r="S604" s="1"/>
      <c r="T604" s="90"/>
    </row>
    <row r="605" spans="19:20" ht="15.75" customHeight="1">
      <c r="S605" s="1"/>
      <c r="T605" s="90"/>
    </row>
    <row r="606" spans="19:20" ht="15.75" customHeight="1">
      <c r="S606" s="1"/>
      <c r="T606" s="90"/>
    </row>
    <row r="607" spans="19:20" ht="15.75" customHeight="1">
      <c r="S607" s="1"/>
      <c r="T607" s="90"/>
    </row>
    <row r="608" spans="19:20" ht="15.75" customHeight="1">
      <c r="S608" s="1"/>
      <c r="T608" s="90"/>
    </row>
    <row r="609" spans="19:20" ht="15.75" customHeight="1">
      <c r="S609" s="1"/>
      <c r="T609" s="90"/>
    </row>
    <row r="610" spans="19:20" ht="15.75" customHeight="1">
      <c r="S610" s="1"/>
      <c r="T610" s="90"/>
    </row>
    <row r="611" spans="19:20" ht="15.75" customHeight="1">
      <c r="S611" s="1"/>
      <c r="T611" s="90"/>
    </row>
    <row r="612" spans="19:20" ht="15.75" customHeight="1">
      <c r="S612" s="1"/>
      <c r="T612" s="90"/>
    </row>
    <row r="613" spans="19:20" ht="15.75" customHeight="1">
      <c r="S613" s="1"/>
      <c r="T613" s="90"/>
    </row>
    <row r="614" spans="19:20" ht="15.75" customHeight="1">
      <c r="S614" s="1"/>
      <c r="T614" s="90"/>
    </row>
    <row r="615" spans="19:20" ht="15.75" customHeight="1">
      <c r="S615" s="1"/>
      <c r="T615" s="90"/>
    </row>
    <row r="616" spans="19:20" ht="15.75" customHeight="1">
      <c r="S616" s="1"/>
      <c r="T616" s="90"/>
    </row>
    <row r="617" spans="19:20" ht="15.75" customHeight="1">
      <c r="S617" s="1"/>
      <c r="T617" s="90"/>
    </row>
    <row r="618" spans="19:20" ht="15.75" customHeight="1">
      <c r="S618" s="1"/>
      <c r="T618" s="90"/>
    </row>
    <row r="619" spans="19:20" ht="15.75" customHeight="1">
      <c r="S619" s="1"/>
      <c r="T619" s="90"/>
    </row>
    <row r="620" spans="19:20" ht="15.75" customHeight="1">
      <c r="S620" s="1"/>
      <c r="T620" s="90"/>
    </row>
    <row r="621" spans="19:20" ht="15.75" customHeight="1">
      <c r="S621" s="1"/>
      <c r="T621" s="90"/>
    </row>
    <row r="622" spans="19:20" ht="15.75" customHeight="1">
      <c r="S622" s="1"/>
      <c r="T622" s="90"/>
    </row>
    <row r="623" spans="19:20" ht="15.75" customHeight="1">
      <c r="S623" s="1"/>
      <c r="T623" s="90"/>
    </row>
    <row r="624" spans="19:20" ht="15.75" customHeight="1">
      <c r="S624" s="1"/>
      <c r="T624" s="90"/>
    </row>
    <row r="625" spans="19:20" ht="15.75" customHeight="1">
      <c r="S625" s="1"/>
      <c r="T625" s="90"/>
    </row>
    <row r="626" spans="19:20" ht="15.75" customHeight="1">
      <c r="S626" s="1"/>
      <c r="T626" s="90"/>
    </row>
    <row r="627" spans="19:20" ht="15.75" customHeight="1">
      <c r="S627" s="1"/>
      <c r="T627" s="90"/>
    </row>
    <row r="628" spans="19:20" ht="15.75" customHeight="1">
      <c r="S628" s="1"/>
      <c r="T628" s="90"/>
    </row>
    <row r="629" spans="19:20" ht="15.75" customHeight="1">
      <c r="S629" s="1"/>
      <c r="T629" s="90"/>
    </row>
    <row r="630" spans="19:20" ht="15.75" customHeight="1">
      <c r="S630" s="1"/>
      <c r="T630" s="90"/>
    </row>
    <row r="631" spans="19:20" ht="15.75" customHeight="1">
      <c r="S631" s="1"/>
      <c r="T631" s="90"/>
    </row>
    <row r="632" spans="19:20" ht="15.75" customHeight="1">
      <c r="S632" s="1"/>
      <c r="T632" s="90"/>
    </row>
    <row r="633" spans="19:20" ht="15.75" customHeight="1">
      <c r="S633" s="1"/>
      <c r="T633" s="90"/>
    </row>
    <row r="634" spans="19:20" ht="15.75" customHeight="1">
      <c r="S634" s="1"/>
      <c r="T634" s="90"/>
    </row>
    <row r="635" spans="19:20" ht="15.75" customHeight="1">
      <c r="S635" s="1"/>
      <c r="T635" s="90"/>
    </row>
    <row r="636" spans="19:20" ht="15.75" customHeight="1">
      <c r="S636" s="1"/>
      <c r="T636" s="90"/>
    </row>
    <row r="637" spans="19:20" ht="15.75" customHeight="1">
      <c r="S637" s="1"/>
      <c r="T637" s="90"/>
    </row>
    <row r="638" spans="19:20" ht="15.75" customHeight="1">
      <c r="S638" s="1"/>
      <c r="T638" s="90"/>
    </row>
    <row r="639" spans="19:20" ht="15.75" customHeight="1">
      <c r="S639" s="1"/>
      <c r="T639" s="90"/>
    </row>
    <row r="640" spans="19:20" ht="15.75" customHeight="1">
      <c r="S640" s="1"/>
      <c r="T640" s="90"/>
    </row>
    <row r="641" spans="19:20" ht="15.75" customHeight="1">
      <c r="S641" s="1"/>
      <c r="T641" s="90"/>
    </row>
    <row r="642" spans="19:20" ht="15.75" customHeight="1">
      <c r="S642" s="1"/>
      <c r="T642" s="90"/>
    </row>
    <row r="643" spans="19:20" ht="15.75" customHeight="1">
      <c r="S643" s="1"/>
      <c r="T643" s="90"/>
    </row>
    <row r="644" spans="19:20" ht="15.75" customHeight="1">
      <c r="S644" s="1"/>
      <c r="T644" s="90"/>
    </row>
    <row r="645" spans="19:20" ht="15.75" customHeight="1">
      <c r="S645" s="1"/>
      <c r="T645" s="90"/>
    </row>
    <row r="646" spans="19:20" ht="15.75" customHeight="1">
      <c r="S646" s="1"/>
      <c r="T646" s="90"/>
    </row>
    <row r="647" spans="19:20" ht="15.75" customHeight="1">
      <c r="S647" s="1"/>
      <c r="T647" s="90"/>
    </row>
    <row r="648" spans="19:20" ht="15.75" customHeight="1">
      <c r="S648" s="1"/>
      <c r="T648" s="90"/>
    </row>
    <row r="649" spans="19:20" ht="15.75" customHeight="1">
      <c r="S649" s="1"/>
      <c r="T649" s="90"/>
    </row>
    <row r="650" spans="19:20" ht="15.75" customHeight="1">
      <c r="S650" s="1"/>
      <c r="T650" s="90"/>
    </row>
    <row r="651" spans="19:20" ht="15.75" customHeight="1">
      <c r="S651" s="1"/>
      <c r="T651" s="90"/>
    </row>
    <row r="652" spans="19:20" ht="15.75" customHeight="1">
      <c r="S652" s="1"/>
      <c r="T652" s="90"/>
    </row>
    <row r="653" spans="19:20" ht="15.75" customHeight="1">
      <c r="S653" s="1"/>
      <c r="T653" s="90"/>
    </row>
    <row r="654" spans="19:20" ht="15.75" customHeight="1">
      <c r="S654" s="1"/>
      <c r="T654" s="90"/>
    </row>
    <row r="655" spans="19:20" ht="15.75" customHeight="1">
      <c r="S655" s="1"/>
      <c r="T655" s="90"/>
    </row>
    <row r="656" spans="19:20" ht="15.75" customHeight="1">
      <c r="S656" s="1"/>
      <c r="T656" s="90"/>
    </row>
    <row r="657" spans="19:20" ht="15.75" customHeight="1">
      <c r="S657" s="1"/>
      <c r="T657" s="90"/>
    </row>
    <row r="658" spans="19:20" ht="15.75" customHeight="1">
      <c r="S658" s="1"/>
      <c r="T658" s="90"/>
    </row>
    <row r="659" spans="19:20" ht="15.75" customHeight="1">
      <c r="S659" s="1"/>
      <c r="T659" s="90"/>
    </row>
    <row r="660" spans="19:20" ht="15.75" customHeight="1">
      <c r="S660" s="1"/>
      <c r="T660" s="90"/>
    </row>
    <row r="661" spans="19:20" ht="15.75" customHeight="1">
      <c r="S661" s="1"/>
      <c r="T661" s="90"/>
    </row>
    <row r="662" spans="19:20" ht="15.75" customHeight="1">
      <c r="S662" s="1"/>
      <c r="T662" s="90"/>
    </row>
    <row r="663" spans="19:20" ht="15.75" customHeight="1">
      <c r="S663" s="1"/>
      <c r="T663" s="90"/>
    </row>
    <row r="664" spans="19:20" ht="15.75" customHeight="1">
      <c r="S664" s="1"/>
      <c r="T664" s="90"/>
    </row>
    <row r="665" spans="19:20" ht="15.75" customHeight="1">
      <c r="S665" s="1"/>
      <c r="T665" s="90"/>
    </row>
    <row r="666" spans="19:20" ht="15.75" customHeight="1">
      <c r="S666" s="1"/>
      <c r="T666" s="90"/>
    </row>
    <row r="667" spans="19:20" ht="15.75" customHeight="1">
      <c r="S667" s="1"/>
      <c r="T667" s="90"/>
    </row>
    <row r="668" spans="19:20" ht="15.75" customHeight="1">
      <c r="S668" s="1"/>
      <c r="T668" s="90"/>
    </row>
    <row r="669" spans="19:20" ht="15.75" customHeight="1">
      <c r="S669" s="1"/>
      <c r="T669" s="90"/>
    </row>
    <row r="670" spans="19:20" ht="15.75" customHeight="1">
      <c r="S670" s="1"/>
      <c r="T670" s="90"/>
    </row>
    <row r="671" spans="19:20" ht="15.75" customHeight="1">
      <c r="S671" s="1"/>
      <c r="T671" s="90"/>
    </row>
    <row r="672" spans="19:20" ht="15.75" customHeight="1">
      <c r="S672" s="1"/>
      <c r="T672" s="90"/>
    </row>
    <row r="673" spans="19:20" ht="15.75" customHeight="1">
      <c r="S673" s="1"/>
      <c r="T673" s="90"/>
    </row>
    <row r="674" spans="19:20" ht="15.75" customHeight="1">
      <c r="S674" s="1"/>
      <c r="T674" s="90"/>
    </row>
    <row r="675" spans="19:20" ht="15.75" customHeight="1">
      <c r="S675" s="1"/>
      <c r="T675" s="90"/>
    </row>
    <row r="676" spans="19:20" ht="15.75" customHeight="1">
      <c r="S676" s="1"/>
      <c r="T676" s="90"/>
    </row>
    <row r="677" spans="19:20" ht="15.75" customHeight="1">
      <c r="S677" s="1"/>
      <c r="T677" s="90"/>
    </row>
    <row r="678" spans="19:20" ht="15.75" customHeight="1">
      <c r="S678" s="1"/>
      <c r="T678" s="90"/>
    </row>
    <row r="679" spans="19:20" ht="15.75" customHeight="1">
      <c r="S679" s="1"/>
      <c r="T679" s="90"/>
    </row>
    <row r="680" spans="19:20" ht="15.75" customHeight="1">
      <c r="S680" s="1"/>
      <c r="T680" s="90"/>
    </row>
    <row r="681" spans="19:20" ht="15.75" customHeight="1">
      <c r="S681" s="1"/>
      <c r="T681" s="90"/>
    </row>
    <row r="682" spans="19:20" ht="15.75" customHeight="1">
      <c r="S682" s="1"/>
      <c r="T682" s="90"/>
    </row>
    <row r="683" spans="19:20" ht="15.75" customHeight="1">
      <c r="S683" s="1"/>
      <c r="T683" s="90"/>
    </row>
    <row r="684" spans="19:20" ht="15.75" customHeight="1">
      <c r="S684" s="1"/>
      <c r="T684" s="90"/>
    </row>
    <row r="685" spans="19:20" ht="15.75" customHeight="1">
      <c r="S685" s="1"/>
      <c r="T685" s="90"/>
    </row>
    <row r="686" spans="19:20" ht="15.75" customHeight="1">
      <c r="S686" s="1"/>
      <c r="T686" s="90"/>
    </row>
    <row r="687" spans="19:20" ht="15.75" customHeight="1">
      <c r="S687" s="1"/>
      <c r="T687" s="90"/>
    </row>
    <row r="688" spans="19:20" ht="15.75" customHeight="1">
      <c r="S688" s="1"/>
      <c r="T688" s="90"/>
    </row>
    <row r="689" spans="19:20" ht="15.75" customHeight="1">
      <c r="S689" s="1"/>
      <c r="T689" s="90"/>
    </row>
    <row r="690" spans="19:20" ht="15.75" customHeight="1">
      <c r="S690" s="1"/>
      <c r="T690" s="90"/>
    </row>
    <row r="691" spans="19:20" ht="15.75" customHeight="1">
      <c r="S691" s="1"/>
      <c r="T691" s="90"/>
    </row>
    <row r="692" spans="19:20" ht="15.75" customHeight="1">
      <c r="S692" s="1"/>
      <c r="T692" s="90"/>
    </row>
    <row r="693" spans="19:20" ht="15.75" customHeight="1">
      <c r="S693" s="1"/>
      <c r="T693" s="90"/>
    </row>
    <row r="694" spans="19:20" ht="15.75" customHeight="1">
      <c r="S694" s="1"/>
      <c r="T694" s="90"/>
    </row>
    <row r="695" spans="19:20" ht="15.75" customHeight="1">
      <c r="S695" s="1"/>
      <c r="T695" s="90"/>
    </row>
    <row r="696" spans="19:20" ht="15.75" customHeight="1">
      <c r="S696" s="1"/>
      <c r="T696" s="90"/>
    </row>
    <row r="697" spans="19:20" ht="15.75" customHeight="1">
      <c r="S697" s="1"/>
      <c r="T697" s="90"/>
    </row>
    <row r="698" spans="19:20" ht="15.75" customHeight="1">
      <c r="S698" s="1"/>
      <c r="T698" s="90"/>
    </row>
    <row r="699" spans="19:20" ht="15.75" customHeight="1">
      <c r="S699" s="1"/>
      <c r="T699" s="90"/>
    </row>
    <row r="700" spans="19:20" ht="15.75" customHeight="1">
      <c r="S700" s="1"/>
      <c r="T700" s="90"/>
    </row>
    <row r="701" spans="19:20" ht="15.75" customHeight="1">
      <c r="S701" s="1"/>
      <c r="T701" s="90"/>
    </row>
    <row r="702" spans="19:20" ht="15.75" customHeight="1">
      <c r="S702" s="1"/>
      <c r="T702" s="90"/>
    </row>
    <row r="703" spans="19:20" ht="15.75" customHeight="1">
      <c r="S703" s="1"/>
      <c r="T703" s="90"/>
    </row>
    <row r="704" spans="19:20" ht="15.75" customHeight="1">
      <c r="S704" s="1"/>
      <c r="T704" s="90"/>
    </row>
    <row r="705" spans="19:20" ht="15.75" customHeight="1">
      <c r="S705" s="1"/>
      <c r="T705" s="90"/>
    </row>
    <row r="706" spans="19:20" ht="15.75" customHeight="1">
      <c r="S706" s="1"/>
      <c r="T706" s="90"/>
    </row>
    <row r="707" spans="19:20" ht="15.75" customHeight="1">
      <c r="S707" s="1"/>
      <c r="T707" s="90"/>
    </row>
    <row r="708" spans="19:20" ht="15.75" customHeight="1">
      <c r="S708" s="1"/>
      <c r="T708" s="90"/>
    </row>
    <row r="709" spans="19:20" ht="15.75" customHeight="1">
      <c r="S709" s="1"/>
      <c r="T709" s="90"/>
    </row>
    <row r="710" spans="19:20" ht="15.75" customHeight="1">
      <c r="S710" s="1"/>
      <c r="T710" s="90"/>
    </row>
    <row r="711" spans="19:20" ht="15.75" customHeight="1">
      <c r="S711" s="1"/>
      <c r="T711" s="90"/>
    </row>
    <row r="712" spans="19:20" ht="15.75" customHeight="1">
      <c r="S712" s="1"/>
      <c r="T712" s="90"/>
    </row>
    <row r="713" spans="19:20" ht="15.75" customHeight="1">
      <c r="S713" s="1"/>
      <c r="T713" s="90"/>
    </row>
    <row r="714" spans="19:20" ht="15.75" customHeight="1">
      <c r="S714" s="1"/>
      <c r="T714" s="90"/>
    </row>
    <row r="715" spans="19:20" ht="15.75" customHeight="1">
      <c r="S715" s="1"/>
      <c r="T715" s="90"/>
    </row>
    <row r="716" spans="19:20" ht="15.75" customHeight="1">
      <c r="S716" s="1"/>
      <c r="T716" s="90"/>
    </row>
    <row r="717" spans="19:20" ht="15.75" customHeight="1">
      <c r="S717" s="1"/>
      <c r="T717" s="90"/>
    </row>
    <row r="718" spans="19:20" ht="15.75" customHeight="1">
      <c r="S718" s="1"/>
      <c r="T718" s="90"/>
    </row>
    <row r="719" spans="19:20" ht="15.75" customHeight="1">
      <c r="S719" s="1"/>
      <c r="T719" s="90"/>
    </row>
    <row r="720" spans="19:20" ht="15.75" customHeight="1">
      <c r="S720" s="1"/>
      <c r="T720" s="90"/>
    </row>
    <row r="721" spans="19:20" ht="15.75" customHeight="1">
      <c r="S721" s="1"/>
      <c r="T721" s="90"/>
    </row>
    <row r="722" spans="19:20" ht="15.75" customHeight="1">
      <c r="S722" s="1"/>
      <c r="T722" s="90"/>
    </row>
    <row r="723" spans="19:20" ht="15.75" customHeight="1">
      <c r="S723" s="1"/>
      <c r="T723" s="90"/>
    </row>
    <row r="724" spans="19:20" ht="15.75" customHeight="1">
      <c r="S724" s="1"/>
      <c r="T724" s="90"/>
    </row>
    <row r="725" spans="19:20" ht="15.75" customHeight="1">
      <c r="S725" s="1"/>
      <c r="T725" s="90"/>
    </row>
    <row r="726" spans="19:20" ht="15.75" customHeight="1">
      <c r="S726" s="1"/>
      <c r="T726" s="90"/>
    </row>
    <row r="727" spans="19:20" ht="15.75" customHeight="1">
      <c r="S727" s="1"/>
      <c r="T727" s="90"/>
    </row>
    <row r="728" spans="19:20" ht="15.75" customHeight="1">
      <c r="S728" s="1"/>
      <c r="T728" s="90"/>
    </row>
    <row r="729" spans="19:20" ht="15.75" customHeight="1">
      <c r="S729" s="1"/>
      <c r="T729" s="90"/>
    </row>
    <row r="730" spans="19:20" ht="15.75" customHeight="1">
      <c r="S730" s="1"/>
      <c r="T730" s="90"/>
    </row>
    <row r="731" spans="19:20" ht="15.75" customHeight="1">
      <c r="S731" s="1"/>
      <c r="T731" s="90"/>
    </row>
    <row r="732" spans="19:20" ht="15.75" customHeight="1">
      <c r="S732" s="1"/>
      <c r="T732" s="90"/>
    </row>
    <row r="733" spans="19:20" ht="15.75" customHeight="1">
      <c r="S733" s="1"/>
      <c r="T733" s="90"/>
    </row>
    <row r="734" spans="19:20" ht="15.75" customHeight="1">
      <c r="S734" s="1"/>
      <c r="T734" s="90"/>
    </row>
    <row r="735" spans="19:20" ht="15.75" customHeight="1">
      <c r="S735" s="1"/>
      <c r="T735" s="90"/>
    </row>
    <row r="736" spans="19:20" ht="15.75" customHeight="1">
      <c r="S736" s="1"/>
      <c r="T736" s="90"/>
    </row>
    <row r="737" spans="19:20" ht="15.75" customHeight="1">
      <c r="S737" s="1"/>
      <c r="T737" s="90"/>
    </row>
    <row r="738" spans="19:20" ht="15.75" customHeight="1">
      <c r="S738" s="1"/>
      <c r="T738" s="90"/>
    </row>
    <row r="739" spans="19:20" ht="15.75" customHeight="1">
      <c r="S739" s="1"/>
      <c r="T739" s="90"/>
    </row>
    <row r="740" spans="19:20" ht="15.75" customHeight="1">
      <c r="S740" s="1"/>
      <c r="T740" s="90"/>
    </row>
    <row r="741" spans="19:20" ht="15.75" customHeight="1">
      <c r="S741" s="1"/>
      <c r="T741" s="90"/>
    </row>
    <row r="742" spans="19:20" ht="15.75" customHeight="1">
      <c r="S742" s="1"/>
      <c r="T742" s="90"/>
    </row>
    <row r="743" spans="19:20" ht="15.75" customHeight="1">
      <c r="S743" s="1"/>
      <c r="T743" s="90"/>
    </row>
    <row r="744" spans="19:20" ht="15.75" customHeight="1">
      <c r="S744" s="1"/>
      <c r="T744" s="90"/>
    </row>
    <row r="745" spans="19:20" ht="15.75" customHeight="1">
      <c r="S745" s="1"/>
      <c r="T745" s="90"/>
    </row>
    <row r="746" spans="19:20" ht="15.75" customHeight="1">
      <c r="S746" s="1"/>
      <c r="T746" s="90"/>
    </row>
    <row r="747" spans="19:20" ht="15.75" customHeight="1">
      <c r="S747" s="1"/>
      <c r="T747" s="90"/>
    </row>
    <row r="748" spans="19:20" ht="15.75" customHeight="1">
      <c r="S748" s="1"/>
      <c r="T748" s="90"/>
    </row>
    <row r="749" spans="19:20" ht="15.75" customHeight="1">
      <c r="S749" s="1"/>
      <c r="T749" s="90"/>
    </row>
    <row r="750" spans="19:20" ht="15.75" customHeight="1">
      <c r="S750" s="1"/>
      <c r="T750" s="90"/>
    </row>
    <row r="751" spans="19:20" ht="15.75" customHeight="1">
      <c r="S751" s="1"/>
      <c r="T751" s="90"/>
    </row>
    <row r="752" spans="19:20" ht="15.75" customHeight="1">
      <c r="S752" s="1"/>
      <c r="T752" s="90"/>
    </row>
    <row r="753" spans="19:20" ht="15.75" customHeight="1">
      <c r="S753" s="1"/>
      <c r="T753" s="90"/>
    </row>
    <row r="754" spans="19:20" ht="15.75" customHeight="1">
      <c r="S754" s="1"/>
      <c r="T754" s="90"/>
    </row>
    <row r="755" spans="19:20" ht="15.75" customHeight="1">
      <c r="S755" s="1"/>
      <c r="T755" s="90"/>
    </row>
    <row r="756" spans="19:20" ht="15.75" customHeight="1">
      <c r="S756" s="1"/>
      <c r="T756" s="90"/>
    </row>
    <row r="757" spans="19:20" ht="15.75" customHeight="1">
      <c r="S757" s="1"/>
      <c r="T757" s="90"/>
    </row>
    <row r="758" spans="19:20" ht="15.75" customHeight="1">
      <c r="S758" s="1"/>
      <c r="T758" s="90"/>
    </row>
    <row r="759" spans="19:20" ht="15.75" customHeight="1">
      <c r="S759" s="1"/>
      <c r="T759" s="90"/>
    </row>
    <row r="760" spans="19:20" ht="15.75" customHeight="1">
      <c r="S760" s="1"/>
      <c r="T760" s="90"/>
    </row>
    <row r="761" spans="19:20" ht="15.75" customHeight="1">
      <c r="S761" s="1"/>
      <c r="T761" s="90"/>
    </row>
    <row r="762" spans="19:20" ht="15.75" customHeight="1">
      <c r="S762" s="1"/>
      <c r="T762" s="90"/>
    </row>
    <row r="763" spans="19:20" ht="15.75" customHeight="1">
      <c r="S763" s="1"/>
      <c r="T763" s="90"/>
    </row>
    <row r="764" spans="19:20" ht="15.75" customHeight="1">
      <c r="S764" s="1"/>
      <c r="T764" s="90"/>
    </row>
    <row r="765" spans="19:20" ht="15.75" customHeight="1">
      <c r="S765" s="1"/>
      <c r="T765" s="90"/>
    </row>
    <row r="766" spans="19:20" ht="15.75" customHeight="1">
      <c r="S766" s="1"/>
      <c r="T766" s="90"/>
    </row>
    <row r="767" spans="19:20" ht="15.75" customHeight="1">
      <c r="S767" s="1"/>
      <c r="T767" s="90"/>
    </row>
    <row r="768" spans="19:20" ht="15.75" customHeight="1">
      <c r="S768" s="1"/>
      <c r="T768" s="90"/>
    </row>
    <row r="769" spans="19:20" ht="15.75" customHeight="1">
      <c r="S769" s="1"/>
      <c r="T769" s="90"/>
    </row>
    <row r="770" spans="19:20" ht="15.75" customHeight="1">
      <c r="S770" s="1"/>
      <c r="T770" s="90"/>
    </row>
    <row r="771" spans="19:20" ht="15.75" customHeight="1">
      <c r="S771" s="1"/>
      <c r="T771" s="90"/>
    </row>
    <row r="772" spans="19:20" ht="15.75" customHeight="1">
      <c r="S772" s="1"/>
      <c r="T772" s="90"/>
    </row>
    <row r="773" spans="19:20" ht="15.75" customHeight="1">
      <c r="S773" s="1"/>
      <c r="T773" s="90"/>
    </row>
    <row r="774" spans="19:20" ht="15.75" customHeight="1">
      <c r="S774" s="1"/>
      <c r="T774" s="90"/>
    </row>
    <row r="775" spans="19:20" ht="15.75" customHeight="1">
      <c r="S775" s="1"/>
      <c r="T775" s="90"/>
    </row>
    <row r="776" spans="19:20" ht="15.75" customHeight="1">
      <c r="S776" s="1"/>
      <c r="T776" s="90"/>
    </row>
    <row r="777" spans="19:20" ht="15.75" customHeight="1">
      <c r="S777" s="1"/>
      <c r="T777" s="90"/>
    </row>
    <row r="778" spans="19:20" ht="15.75" customHeight="1">
      <c r="S778" s="1"/>
      <c r="T778" s="90"/>
    </row>
    <row r="779" spans="19:20" ht="15.75" customHeight="1">
      <c r="S779" s="1"/>
      <c r="T779" s="90"/>
    </row>
    <row r="780" spans="19:20" ht="15.75" customHeight="1">
      <c r="S780" s="1"/>
      <c r="T780" s="90"/>
    </row>
    <row r="781" spans="19:20" ht="15.75" customHeight="1">
      <c r="S781" s="1"/>
      <c r="T781" s="90"/>
    </row>
    <row r="782" spans="19:20" ht="15.75" customHeight="1">
      <c r="S782" s="1"/>
      <c r="T782" s="90"/>
    </row>
    <row r="783" spans="19:20" ht="15.75" customHeight="1">
      <c r="S783" s="1"/>
      <c r="T783" s="90"/>
    </row>
    <row r="784" spans="19:20" ht="15.75" customHeight="1">
      <c r="S784" s="1"/>
      <c r="T784" s="90"/>
    </row>
    <row r="785" spans="19:20" ht="15.75" customHeight="1">
      <c r="S785" s="1"/>
      <c r="T785" s="90"/>
    </row>
    <row r="786" spans="19:20" ht="15.75" customHeight="1">
      <c r="S786" s="1"/>
      <c r="T786" s="90"/>
    </row>
    <row r="787" spans="19:20" ht="15.75" customHeight="1">
      <c r="S787" s="1"/>
      <c r="T787" s="90"/>
    </row>
    <row r="788" spans="19:20" ht="15.75" customHeight="1">
      <c r="S788" s="1"/>
      <c r="T788" s="90"/>
    </row>
    <row r="789" spans="19:20" ht="15.75" customHeight="1">
      <c r="S789" s="1"/>
      <c r="T789" s="90"/>
    </row>
    <row r="790" spans="19:20" ht="15.75" customHeight="1">
      <c r="S790" s="1"/>
      <c r="T790" s="90"/>
    </row>
    <row r="791" spans="19:20" ht="15.75" customHeight="1">
      <c r="S791" s="1"/>
      <c r="T791" s="90"/>
    </row>
    <row r="792" spans="19:20" ht="15.75" customHeight="1">
      <c r="S792" s="1"/>
      <c r="T792" s="90"/>
    </row>
    <row r="793" spans="19:20" ht="15.75" customHeight="1">
      <c r="S793" s="1"/>
      <c r="T793" s="90"/>
    </row>
    <row r="794" spans="19:20" ht="15.75" customHeight="1">
      <c r="S794" s="1"/>
      <c r="T794" s="90"/>
    </row>
    <row r="795" spans="19:20" ht="15.75" customHeight="1">
      <c r="S795" s="1"/>
      <c r="T795" s="90"/>
    </row>
    <row r="796" spans="19:20" ht="15.75" customHeight="1">
      <c r="S796" s="1"/>
      <c r="T796" s="90"/>
    </row>
    <row r="797" spans="19:20" ht="15.75" customHeight="1">
      <c r="S797" s="1"/>
      <c r="T797" s="90"/>
    </row>
    <row r="798" spans="19:20" ht="15.75" customHeight="1">
      <c r="S798" s="1"/>
      <c r="T798" s="90"/>
    </row>
    <row r="799" spans="19:20" ht="15.75" customHeight="1">
      <c r="S799" s="1"/>
      <c r="T799" s="90"/>
    </row>
    <row r="800" spans="19:20" ht="15.75" customHeight="1">
      <c r="S800" s="1"/>
      <c r="T800" s="90"/>
    </row>
    <row r="801" spans="19:20" ht="15.75" customHeight="1">
      <c r="S801" s="1"/>
      <c r="T801" s="90"/>
    </row>
    <row r="802" spans="19:20" ht="15.75" customHeight="1">
      <c r="S802" s="1"/>
      <c r="T802" s="90"/>
    </row>
    <row r="803" spans="19:20" ht="15.75" customHeight="1">
      <c r="S803" s="1"/>
      <c r="T803" s="90"/>
    </row>
    <row r="804" spans="19:20" ht="15.75" customHeight="1">
      <c r="S804" s="1"/>
      <c r="T804" s="90"/>
    </row>
    <row r="805" spans="19:20" ht="15.75" customHeight="1">
      <c r="S805" s="1"/>
      <c r="T805" s="90"/>
    </row>
    <row r="806" spans="19:20" ht="15.75" customHeight="1">
      <c r="S806" s="1"/>
      <c r="T806" s="90"/>
    </row>
    <row r="807" spans="19:20" ht="15.75" customHeight="1">
      <c r="S807" s="1"/>
      <c r="T807" s="90"/>
    </row>
    <row r="808" spans="19:20" ht="15.75" customHeight="1">
      <c r="S808" s="1"/>
      <c r="T808" s="90"/>
    </row>
    <row r="809" spans="19:20" ht="15.75" customHeight="1">
      <c r="S809" s="1"/>
      <c r="T809" s="90"/>
    </row>
    <row r="810" spans="19:20" ht="15.75" customHeight="1">
      <c r="S810" s="1"/>
      <c r="T810" s="90"/>
    </row>
    <row r="811" spans="19:20" ht="15.75" customHeight="1">
      <c r="S811" s="1"/>
      <c r="T811" s="90"/>
    </row>
    <row r="812" spans="19:20" ht="15.75" customHeight="1">
      <c r="S812" s="1"/>
      <c r="T812" s="90"/>
    </row>
    <row r="813" spans="19:20" ht="15.75" customHeight="1">
      <c r="S813" s="1"/>
      <c r="T813" s="90"/>
    </row>
    <row r="814" spans="19:20" ht="15.75" customHeight="1">
      <c r="S814" s="1"/>
      <c r="T814" s="90"/>
    </row>
    <row r="815" spans="19:20" ht="15.75" customHeight="1">
      <c r="S815" s="1"/>
      <c r="T815" s="90"/>
    </row>
    <row r="816" spans="19:20" ht="15.75" customHeight="1">
      <c r="S816" s="1"/>
      <c r="T816" s="90"/>
    </row>
    <row r="817" spans="19:20" ht="15.75" customHeight="1">
      <c r="S817" s="1"/>
      <c r="T817" s="90"/>
    </row>
    <row r="818" spans="19:20" ht="15.75" customHeight="1">
      <c r="S818" s="1"/>
      <c r="T818" s="90"/>
    </row>
    <row r="819" spans="19:20" ht="15.75" customHeight="1">
      <c r="S819" s="1"/>
      <c r="T819" s="90"/>
    </row>
    <row r="820" spans="19:20" ht="15.75" customHeight="1">
      <c r="S820" s="1"/>
      <c r="T820" s="90"/>
    </row>
    <row r="821" spans="19:20" ht="15.75" customHeight="1">
      <c r="S821" s="1"/>
      <c r="T821" s="90"/>
    </row>
    <row r="822" spans="19:20" ht="15.75" customHeight="1">
      <c r="S822" s="1"/>
      <c r="T822" s="90"/>
    </row>
    <row r="823" spans="19:20" ht="15.75" customHeight="1">
      <c r="S823" s="1"/>
      <c r="T823" s="90"/>
    </row>
    <row r="824" spans="19:20" ht="15.75" customHeight="1">
      <c r="S824" s="1"/>
      <c r="T824" s="90"/>
    </row>
    <row r="825" spans="19:20" ht="15.75" customHeight="1">
      <c r="S825" s="1"/>
      <c r="T825" s="90"/>
    </row>
    <row r="826" spans="19:20" ht="15.75" customHeight="1">
      <c r="S826" s="1"/>
      <c r="T826" s="90"/>
    </row>
    <row r="827" spans="19:20" ht="15.75" customHeight="1">
      <c r="S827" s="1"/>
      <c r="T827" s="90"/>
    </row>
    <row r="828" spans="19:20" ht="15.75" customHeight="1">
      <c r="S828" s="1"/>
      <c r="T828" s="90"/>
    </row>
    <row r="829" spans="19:20" ht="15.75" customHeight="1">
      <c r="S829" s="1"/>
      <c r="T829" s="90"/>
    </row>
    <row r="830" spans="19:20" ht="15.75" customHeight="1">
      <c r="S830" s="1"/>
      <c r="T830" s="90"/>
    </row>
    <row r="831" spans="19:20" ht="15.75" customHeight="1">
      <c r="S831" s="1"/>
      <c r="T831" s="90"/>
    </row>
    <row r="832" spans="19:20" ht="15.75" customHeight="1">
      <c r="S832" s="1"/>
      <c r="T832" s="90"/>
    </row>
    <row r="833" spans="19:20" ht="15.75" customHeight="1">
      <c r="S833" s="1"/>
      <c r="T833" s="90"/>
    </row>
    <row r="834" spans="19:20" ht="15.75" customHeight="1">
      <c r="S834" s="1"/>
      <c r="T834" s="90"/>
    </row>
    <row r="835" spans="19:20" ht="15.75" customHeight="1">
      <c r="S835" s="1"/>
      <c r="T835" s="90"/>
    </row>
    <row r="836" spans="19:20" ht="15.75" customHeight="1">
      <c r="S836" s="1"/>
      <c r="T836" s="90"/>
    </row>
    <row r="837" spans="19:20" ht="15.75" customHeight="1">
      <c r="S837" s="1"/>
      <c r="T837" s="90"/>
    </row>
    <row r="838" spans="19:20" ht="15.75" customHeight="1">
      <c r="S838" s="1"/>
      <c r="T838" s="90"/>
    </row>
    <row r="839" spans="19:20" ht="15.75" customHeight="1">
      <c r="S839" s="1"/>
      <c r="T839" s="90"/>
    </row>
    <row r="840" spans="19:20" ht="15.75" customHeight="1">
      <c r="S840" s="1"/>
      <c r="T840" s="90"/>
    </row>
    <row r="841" spans="19:20" ht="15.75" customHeight="1">
      <c r="S841" s="1"/>
      <c r="T841" s="90"/>
    </row>
    <row r="842" spans="19:20" ht="15.75" customHeight="1">
      <c r="S842" s="1"/>
      <c r="T842" s="90"/>
    </row>
    <row r="843" spans="19:20" ht="15.75" customHeight="1">
      <c r="S843" s="1"/>
      <c r="T843" s="90"/>
    </row>
    <row r="844" spans="19:20" ht="15.75" customHeight="1">
      <c r="S844" s="1"/>
      <c r="T844" s="90"/>
    </row>
    <row r="845" spans="19:20" ht="15.75" customHeight="1">
      <c r="S845" s="1"/>
      <c r="T845" s="90"/>
    </row>
    <row r="846" spans="19:20" ht="15.75" customHeight="1">
      <c r="S846" s="1"/>
      <c r="T846" s="90"/>
    </row>
    <row r="847" spans="19:20" ht="15.75" customHeight="1">
      <c r="S847" s="1"/>
      <c r="T847" s="90"/>
    </row>
    <row r="848" spans="19:20" ht="15.75" customHeight="1">
      <c r="S848" s="1"/>
      <c r="T848" s="90"/>
    </row>
    <row r="849" spans="19:20" ht="15.75" customHeight="1">
      <c r="S849" s="1"/>
      <c r="T849" s="90"/>
    </row>
    <row r="850" spans="19:20" ht="15.75" customHeight="1">
      <c r="S850" s="1"/>
      <c r="T850" s="90"/>
    </row>
    <row r="851" spans="19:20" ht="15.75" customHeight="1">
      <c r="S851" s="1"/>
      <c r="T851" s="90"/>
    </row>
    <row r="852" spans="19:20" ht="15.75" customHeight="1">
      <c r="S852" s="1"/>
      <c r="T852" s="90"/>
    </row>
    <row r="853" spans="19:20" ht="15.75" customHeight="1">
      <c r="S853" s="1"/>
      <c r="T853" s="90"/>
    </row>
    <row r="854" spans="19:20" ht="15.75" customHeight="1">
      <c r="S854" s="1"/>
      <c r="T854" s="90"/>
    </row>
    <row r="855" spans="19:20" ht="15.75" customHeight="1">
      <c r="S855" s="1"/>
      <c r="T855" s="90"/>
    </row>
    <row r="856" spans="19:20" ht="15.75" customHeight="1">
      <c r="S856" s="1"/>
      <c r="T856" s="90"/>
    </row>
    <row r="857" spans="19:20" ht="15.75" customHeight="1">
      <c r="S857" s="1"/>
      <c r="T857" s="90"/>
    </row>
    <row r="858" spans="19:20" ht="15.75" customHeight="1">
      <c r="S858" s="1"/>
      <c r="T858" s="90"/>
    </row>
    <row r="859" spans="19:20" ht="15.75" customHeight="1">
      <c r="S859" s="1"/>
      <c r="T859" s="90"/>
    </row>
    <row r="860" spans="19:20" ht="15.75" customHeight="1">
      <c r="S860" s="1"/>
      <c r="T860" s="90"/>
    </row>
    <row r="861" spans="19:20" ht="15.75" customHeight="1">
      <c r="S861" s="1"/>
      <c r="T861" s="90"/>
    </row>
    <row r="862" spans="19:20" ht="15.75" customHeight="1">
      <c r="S862" s="1"/>
      <c r="T862" s="90"/>
    </row>
    <row r="863" spans="19:20" ht="15.75" customHeight="1">
      <c r="S863" s="1"/>
      <c r="T863" s="90"/>
    </row>
    <row r="864" spans="19:20" ht="15.75" customHeight="1">
      <c r="S864" s="1"/>
      <c r="T864" s="90"/>
    </row>
    <row r="865" spans="19:20" ht="15.75" customHeight="1">
      <c r="S865" s="1"/>
      <c r="T865" s="90"/>
    </row>
    <row r="866" spans="19:20" ht="15.75" customHeight="1">
      <c r="S866" s="1"/>
      <c r="T866" s="90"/>
    </row>
    <row r="867" spans="19:20" ht="15.75" customHeight="1">
      <c r="S867" s="1"/>
      <c r="T867" s="90"/>
    </row>
    <row r="868" spans="19:20" ht="15.75" customHeight="1">
      <c r="S868" s="1"/>
      <c r="T868" s="90"/>
    </row>
    <row r="869" spans="19:20" ht="15.75" customHeight="1">
      <c r="S869" s="1"/>
      <c r="T869" s="90"/>
    </row>
    <row r="870" spans="19:20" ht="15.75" customHeight="1">
      <c r="S870" s="1"/>
      <c r="T870" s="90"/>
    </row>
    <row r="871" spans="19:20" ht="15.75" customHeight="1">
      <c r="S871" s="1"/>
      <c r="T871" s="90"/>
    </row>
    <row r="872" spans="19:20" ht="15.75" customHeight="1">
      <c r="S872" s="1"/>
      <c r="T872" s="90"/>
    </row>
    <row r="873" spans="19:20" ht="15.75" customHeight="1">
      <c r="S873" s="1"/>
      <c r="T873" s="90"/>
    </row>
    <row r="874" spans="19:20" ht="15.75" customHeight="1">
      <c r="S874" s="1"/>
      <c r="T874" s="90"/>
    </row>
    <row r="875" spans="19:20" ht="15.75" customHeight="1">
      <c r="S875" s="1"/>
      <c r="T875" s="90"/>
    </row>
    <row r="876" spans="19:20" ht="15.75" customHeight="1">
      <c r="S876" s="1"/>
      <c r="T876" s="90"/>
    </row>
    <row r="877" spans="19:20" ht="15.75" customHeight="1">
      <c r="S877" s="1"/>
      <c r="T877" s="90"/>
    </row>
    <row r="878" spans="19:20" ht="15.75" customHeight="1">
      <c r="S878" s="1"/>
      <c r="T878" s="90"/>
    </row>
    <row r="879" spans="19:20" ht="15.75" customHeight="1">
      <c r="S879" s="1"/>
      <c r="T879" s="90"/>
    </row>
    <row r="880" spans="19:20" ht="15.75" customHeight="1">
      <c r="S880" s="1"/>
      <c r="T880" s="90"/>
    </row>
    <row r="881" spans="19:20" ht="15.75" customHeight="1">
      <c r="S881" s="1"/>
      <c r="T881" s="90"/>
    </row>
    <row r="882" spans="19:20" ht="15.75" customHeight="1">
      <c r="S882" s="1"/>
      <c r="T882" s="90"/>
    </row>
    <row r="883" spans="19:20" ht="15.75" customHeight="1">
      <c r="S883" s="1"/>
      <c r="T883" s="90"/>
    </row>
    <row r="884" spans="19:20" ht="15.75" customHeight="1">
      <c r="S884" s="1"/>
      <c r="T884" s="90"/>
    </row>
    <row r="885" spans="19:20" ht="15.75" customHeight="1">
      <c r="S885" s="1"/>
      <c r="T885" s="90"/>
    </row>
    <row r="886" spans="19:20" ht="15.75" customHeight="1">
      <c r="S886" s="1"/>
      <c r="T886" s="90"/>
    </row>
    <row r="887" spans="19:20" ht="15.75" customHeight="1">
      <c r="S887" s="1"/>
      <c r="T887" s="90"/>
    </row>
    <row r="888" spans="19:20" ht="15.75" customHeight="1">
      <c r="S888" s="1"/>
      <c r="T888" s="90"/>
    </row>
    <row r="889" spans="19:20" ht="15.75" customHeight="1">
      <c r="S889" s="1"/>
      <c r="T889" s="90"/>
    </row>
    <row r="890" spans="19:20" ht="15.75" customHeight="1">
      <c r="S890" s="1"/>
      <c r="T890" s="90"/>
    </row>
    <row r="891" spans="19:20" ht="15.75" customHeight="1">
      <c r="S891" s="1"/>
      <c r="T891" s="90"/>
    </row>
    <row r="892" spans="19:20" ht="15.75" customHeight="1">
      <c r="S892" s="1"/>
      <c r="T892" s="90"/>
    </row>
    <row r="893" spans="19:20" ht="15.75" customHeight="1">
      <c r="S893" s="1"/>
      <c r="T893" s="90"/>
    </row>
    <row r="894" spans="19:20" ht="15.75" customHeight="1">
      <c r="S894" s="1"/>
      <c r="T894" s="90"/>
    </row>
    <row r="895" spans="19:20" ht="15.75" customHeight="1">
      <c r="S895" s="1"/>
      <c r="T895" s="90"/>
    </row>
    <row r="896" spans="19:20" ht="15.75" customHeight="1">
      <c r="S896" s="1"/>
      <c r="T896" s="90"/>
    </row>
    <row r="897" spans="19:20" ht="15.75" customHeight="1">
      <c r="S897" s="1"/>
      <c r="T897" s="90"/>
    </row>
    <row r="898" spans="19:20" ht="15.75" customHeight="1">
      <c r="S898" s="1"/>
      <c r="T898" s="90"/>
    </row>
    <row r="899" spans="19:20" ht="15.75" customHeight="1">
      <c r="S899" s="1"/>
      <c r="T899" s="90"/>
    </row>
    <row r="900" spans="19:20" ht="15.75" customHeight="1">
      <c r="S900" s="1"/>
      <c r="T900" s="90"/>
    </row>
    <row r="901" spans="19:20" ht="15.75" customHeight="1">
      <c r="S901" s="1"/>
      <c r="T901" s="90"/>
    </row>
    <row r="902" spans="19:20" ht="15.75" customHeight="1">
      <c r="S902" s="1"/>
      <c r="T902" s="90"/>
    </row>
    <row r="903" spans="19:20" ht="15.75" customHeight="1">
      <c r="S903" s="1"/>
      <c r="T903" s="90"/>
    </row>
    <row r="904" spans="19:20" ht="15.75" customHeight="1">
      <c r="S904" s="1"/>
      <c r="T904" s="90"/>
    </row>
    <row r="905" spans="19:20" ht="15.75" customHeight="1">
      <c r="S905" s="1"/>
      <c r="T905" s="90"/>
    </row>
    <row r="906" spans="19:20" ht="15.75" customHeight="1">
      <c r="S906" s="1"/>
      <c r="T906" s="90"/>
    </row>
    <row r="907" spans="19:20" ht="15.75" customHeight="1">
      <c r="S907" s="1"/>
      <c r="T907" s="90"/>
    </row>
    <row r="908" spans="19:20" ht="15.75" customHeight="1">
      <c r="S908" s="1"/>
      <c r="T908" s="90"/>
    </row>
    <row r="909" spans="19:20" ht="15.75" customHeight="1">
      <c r="S909" s="1"/>
      <c r="T909" s="90"/>
    </row>
    <row r="910" spans="19:20" ht="15.75" customHeight="1">
      <c r="S910" s="1"/>
      <c r="T910" s="90"/>
    </row>
    <row r="911" spans="19:20" ht="15.75" customHeight="1">
      <c r="S911" s="1"/>
      <c r="T911" s="90"/>
    </row>
    <row r="912" spans="19:20" ht="15.75" customHeight="1">
      <c r="S912" s="1"/>
      <c r="T912" s="90"/>
    </row>
    <row r="913" spans="19:20" ht="15.75" customHeight="1">
      <c r="S913" s="1"/>
      <c r="T913" s="90"/>
    </row>
    <row r="914" spans="19:20" ht="15.75" customHeight="1">
      <c r="S914" s="1"/>
      <c r="T914" s="90"/>
    </row>
    <row r="915" spans="19:20" ht="15.75" customHeight="1">
      <c r="S915" s="1"/>
      <c r="T915" s="90"/>
    </row>
    <row r="916" spans="19:20" ht="15.75" customHeight="1">
      <c r="S916" s="1"/>
      <c r="T916" s="90"/>
    </row>
    <row r="917" spans="19:20" ht="15.75" customHeight="1">
      <c r="S917" s="1"/>
      <c r="T917" s="90"/>
    </row>
    <row r="918" spans="19:20" ht="15.75" customHeight="1">
      <c r="S918" s="1"/>
      <c r="T918" s="90"/>
    </row>
    <row r="919" spans="19:20" ht="15.75" customHeight="1">
      <c r="S919" s="1"/>
      <c r="T919" s="90"/>
    </row>
    <row r="920" spans="19:20" ht="15.75" customHeight="1">
      <c r="S920" s="1"/>
      <c r="T920" s="90"/>
    </row>
    <row r="921" spans="19:20" ht="15.75" customHeight="1">
      <c r="S921" s="1"/>
      <c r="T921" s="90"/>
    </row>
    <row r="922" spans="19:20" ht="15.75" customHeight="1">
      <c r="S922" s="1"/>
      <c r="T922" s="90"/>
    </row>
    <row r="923" spans="19:20" ht="15.75" customHeight="1">
      <c r="S923" s="1"/>
      <c r="T923" s="90"/>
    </row>
    <row r="924" spans="19:20" ht="15.75" customHeight="1">
      <c r="S924" s="1"/>
      <c r="T924" s="90"/>
    </row>
    <row r="925" spans="19:20" ht="15.75" customHeight="1">
      <c r="S925" s="1"/>
      <c r="T925" s="90"/>
    </row>
    <row r="926" spans="19:20" ht="15.75" customHeight="1">
      <c r="S926" s="1"/>
      <c r="T926" s="90"/>
    </row>
    <row r="927" spans="19:20" ht="15.75" customHeight="1">
      <c r="S927" s="1"/>
      <c r="T927" s="90"/>
    </row>
    <row r="928" spans="19:20" ht="15.75" customHeight="1">
      <c r="S928" s="1"/>
      <c r="T928" s="90"/>
    </row>
    <row r="929" spans="19:20" ht="15.75" customHeight="1">
      <c r="S929" s="1"/>
      <c r="T929" s="90"/>
    </row>
    <row r="930" spans="19:20" ht="15.75" customHeight="1">
      <c r="S930" s="1"/>
      <c r="T930" s="90"/>
    </row>
    <row r="931" spans="19:20" ht="15.75" customHeight="1">
      <c r="S931" s="1"/>
      <c r="T931" s="90"/>
    </row>
    <row r="932" spans="19:20" ht="15.75" customHeight="1">
      <c r="S932" s="1"/>
      <c r="T932" s="90"/>
    </row>
    <row r="933" spans="19:20" ht="15.75" customHeight="1">
      <c r="S933" s="1"/>
      <c r="T933" s="90"/>
    </row>
    <row r="934" spans="19:20" ht="15.75" customHeight="1">
      <c r="S934" s="1"/>
      <c r="T934" s="90"/>
    </row>
    <row r="935" spans="19:20" ht="15.75" customHeight="1">
      <c r="S935" s="1"/>
      <c r="T935" s="90"/>
    </row>
    <row r="936" spans="19:20" ht="15.75" customHeight="1">
      <c r="S936" s="1"/>
      <c r="T936" s="90"/>
    </row>
    <row r="937" spans="19:20" ht="15.75" customHeight="1">
      <c r="S937" s="1"/>
      <c r="T937" s="90"/>
    </row>
    <row r="938" spans="19:20" ht="15.75" customHeight="1">
      <c r="S938" s="1"/>
      <c r="T938" s="90"/>
    </row>
    <row r="939" spans="19:20" ht="15.75" customHeight="1">
      <c r="S939" s="1"/>
      <c r="T939" s="90"/>
    </row>
    <row r="940" spans="19:20" ht="15.75" customHeight="1">
      <c r="S940" s="1"/>
      <c r="T940" s="90"/>
    </row>
    <row r="941" spans="19:20" ht="15.75" customHeight="1">
      <c r="S941" s="1"/>
      <c r="T941" s="90"/>
    </row>
    <row r="942" spans="19:20" ht="15.75" customHeight="1">
      <c r="S942" s="1"/>
      <c r="T942" s="90"/>
    </row>
    <row r="943" spans="19:20" ht="15.75" customHeight="1">
      <c r="S943" s="1"/>
      <c r="T943" s="90"/>
    </row>
    <row r="944" spans="19:20" ht="15.75" customHeight="1">
      <c r="S944" s="1"/>
      <c r="T944" s="90"/>
    </row>
    <row r="945" spans="19:20" ht="15.75" customHeight="1">
      <c r="S945" s="1"/>
      <c r="T945" s="90"/>
    </row>
    <row r="946" spans="19:20" ht="15.75" customHeight="1">
      <c r="S946" s="1"/>
      <c r="T946" s="90"/>
    </row>
    <row r="947" spans="19:20" ht="15.75" customHeight="1">
      <c r="S947" s="1"/>
      <c r="T947" s="90"/>
    </row>
    <row r="948" spans="19:20" ht="15.75" customHeight="1">
      <c r="S948" s="1"/>
      <c r="T948" s="90"/>
    </row>
    <row r="949" spans="19:20" ht="15.75" customHeight="1">
      <c r="S949" s="1"/>
      <c r="T949" s="90"/>
    </row>
    <row r="950" spans="19:20" ht="15.75" customHeight="1">
      <c r="S950" s="1"/>
      <c r="T950" s="90"/>
    </row>
    <row r="951" spans="19:20" ht="15.75" customHeight="1">
      <c r="S951" s="1"/>
      <c r="T951" s="90"/>
    </row>
    <row r="952" spans="19:20" ht="15.75" customHeight="1">
      <c r="S952" s="1"/>
      <c r="T952" s="90"/>
    </row>
    <row r="953" spans="19:20" ht="15.75" customHeight="1">
      <c r="S953" s="1"/>
      <c r="T953" s="90"/>
    </row>
    <row r="954" spans="19:20" ht="15.75" customHeight="1">
      <c r="S954" s="1"/>
      <c r="T954" s="90"/>
    </row>
    <row r="955" spans="19:20" ht="15.75" customHeight="1">
      <c r="S955" s="1"/>
      <c r="T955" s="90"/>
    </row>
    <row r="956" spans="19:20" ht="15.75" customHeight="1">
      <c r="S956" s="1"/>
      <c r="T956" s="90"/>
    </row>
    <row r="957" spans="19:20" ht="15.75" customHeight="1">
      <c r="S957" s="1"/>
      <c r="T957" s="90"/>
    </row>
    <row r="958" spans="19:20" ht="15.75" customHeight="1">
      <c r="S958" s="1"/>
      <c r="T958" s="90"/>
    </row>
    <row r="959" spans="19:20" ht="15.75" customHeight="1">
      <c r="S959" s="1"/>
      <c r="T959" s="90"/>
    </row>
    <row r="960" spans="19:20" ht="15.75" customHeight="1">
      <c r="S960" s="1"/>
      <c r="T960" s="90"/>
    </row>
    <row r="961" spans="19:20" ht="15.75" customHeight="1">
      <c r="S961" s="1"/>
      <c r="T961" s="90"/>
    </row>
    <row r="962" spans="19:20" ht="15.75" customHeight="1">
      <c r="S962" s="1"/>
      <c r="T962" s="90"/>
    </row>
    <row r="963" spans="19:20" ht="15.75" customHeight="1">
      <c r="S963" s="1"/>
      <c r="T963" s="90"/>
    </row>
    <row r="964" spans="19:20" ht="15.75" customHeight="1">
      <c r="S964" s="1"/>
      <c r="T964" s="90"/>
    </row>
    <row r="965" spans="19:20" ht="15.75" customHeight="1">
      <c r="S965" s="1"/>
      <c r="T965" s="90"/>
    </row>
    <row r="966" spans="19:20" ht="15.75" customHeight="1">
      <c r="S966" s="1"/>
      <c r="T966" s="90"/>
    </row>
    <row r="967" spans="19:20" ht="15.75" customHeight="1">
      <c r="S967" s="1"/>
      <c r="T967" s="90"/>
    </row>
    <row r="968" spans="19:20" ht="15.75" customHeight="1">
      <c r="S968" s="1"/>
      <c r="T968" s="90"/>
    </row>
    <row r="969" spans="19:20" ht="15.75" customHeight="1">
      <c r="S969" s="1"/>
      <c r="T969" s="90"/>
    </row>
    <row r="970" spans="19:20" ht="15.75" customHeight="1">
      <c r="S970" s="1"/>
      <c r="T970" s="90"/>
    </row>
    <row r="971" spans="19:20" ht="15.75" customHeight="1">
      <c r="S971" s="1"/>
      <c r="T971" s="90"/>
    </row>
    <row r="972" spans="19:20" ht="15.75" customHeight="1">
      <c r="S972" s="1"/>
      <c r="T972" s="90"/>
    </row>
    <row r="973" spans="19:20" ht="15.75" customHeight="1">
      <c r="S973" s="1"/>
      <c r="T973" s="90"/>
    </row>
    <row r="974" spans="19:20" ht="15.75" customHeight="1">
      <c r="S974" s="1"/>
      <c r="T974" s="90"/>
    </row>
    <row r="975" spans="19:20" ht="15.75" customHeight="1">
      <c r="S975" s="1"/>
      <c r="T975" s="90"/>
    </row>
    <row r="976" spans="19:20" ht="15.75" customHeight="1">
      <c r="S976" s="1"/>
      <c r="T976" s="90"/>
    </row>
    <row r="977" spans="19:20" ht="15.75" customHeight="1">
      <c r="S977" s="1"/>
      <c r="T977" s="90"/>
    </row>
    <row r="978" spans="19:20" ht="15.75" customHeight="1">
      <c r="S978" s="1"/>
      <c r="T978" s="90"/>
    </row>
    <row r="979" spans="19:20" ht="15.75" customHeight="1">
      <c r="S979" s="1"/>
      <c r="T979" s="90"/>
    </row>
    <row r="980" spans="19:20" ht="15.75" customHeight="1">
      <c r="S980" s="1"/>
      <c r="T980" s="90"/>
    </row>
    <row r="981" spans="19:20" ht="15.75" customHeight="1">
      <c r="S981" s="1"/>
      <c r="T981" s="90"/>
    </row>
    <row r="982" spans="19:20" ht="15.75" customHeight="1">
      <c r="S982" s="1"/>
      <c r="T982" s="90"/>
    </row>
    <row r="983" spans="19:20" ht="15.75" customHeight="1">
      <c r="S983" s="1"/>
      <c r="T983" s="90"/>
    </row>
    <row r="984" spans="19:20" ht="15.75" customHeight="1">
      <c r="S984" s="1"/>
      <c r="T984" s="90"/>
    </row>
    <row r="985" spans="19:20" ht="15.75" customHeight="1">
      <c r="S985" s="1"/>
      <c r="T985" s="90"/>
    </row>
    <row r="986" spans="19:20" ht="15.75" customHeight="1">
      <c r="S986" s="1"/>
      <c r="T986" s="90"/>
    </row>
    <row r="987" spans="19:20" ht="15.75" customHeight="1">
      <c r="S987" s="1"/>
      <c r="T987" s="90"/>
    </row>
    <row r="988" spans="19:20" ht="15.75" customHeight="1">
      <c r="S988" s="1"/>
      <c r="T988" s="90"/>
    </row>
    <row r="989" spans="19:20" ht="15.75" customHeight="1">
      <c r="S989" s="1"/>
      <c r="T989" s="90"/>
    </row>
    <row r="990" spans="19:20" ht="15.75" customHeight="1">
      <c r="S990" s="1"/>
      <c r="T990" s="90"/>
    </row>
    <row r="991" spans="19:20" ht="15.75" customHeight="1">
      <c r="S991" s="1"/>
      <c r="T991" s="90"/>
    </row>
    <row r="992" spans="19:20" ht="15.75" customHeight="1">
      <c r="S992" s="1"/>
      <c r="T992" s="90"/>
    </row>
    <row r="993" spans="19:20" ht="15.75" customHeight="1">
      <c r="S993" s="1"/>
      <c r="T993" s="90"/>
    </row>
    <row r="994" spans="19:20" ht="15.75" customHeight="1">
      <c r="S994" s="1"/>
      <c r="T994" s="90"/>
    </row>
    <row r="995" spans="19:20" ht="15.75" customHeight="1">
      <c r="S995" s="1"/>
      <c r="T995" s="90"/>
    </row>
    <row r="996" spans="19:20" ht="15.75" customHeight="1">
      <c r="S996" s="1"/>
      <c r="T996" s="90"/>
    </row>
    <row r="997" spans="19:20" ht="15.75" customHeight="1">
      <c r="S997" s="1"/>
      <c r="T997" s="90"/>
    </row>
    <row r="998" spans="19:20" ht="15.75" customHeight="1">
      <c r="S998" s="1"/>
      <c r="T998" s="90"/>
    </row>
    <row r="999" spans="19:20" ht="15.75" customHeight="1">
      <c r="S999" s="1"/>
      <c r="T999" s="90"/>
    </row>
    <row r="1000" spans="19:20" ht="15.75" customHeight="1">
      <c r="S1000" s="1"/>
      <c r="T1000" s="90"/>
    </row>
  </sheetData>
  <mergeCells count="1">
    <mergeCell ref="A1:T1"/>
  </mergeCells>
  <phoneticPr fontId="21" type="noConversion"/>
  <pageMargins left="0.75" right="0.75" top="1" bottom="1" header="0" footer="0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4.28515625" customWidth="1"/>
    <col min="2" max="2" width="11.140625" customWidth="1"/>
    <col min="3" max="3" width="28.28515625" customWidth="1"/>
    <col min="4" max="4" width="11.140625" customWidth="1"/>
    <col min="5" max="5" width="15.42578125" customWidth="1"/>
    <col min="6" max="6" width="11.140625" customWidth="1"/>
    <col min="7" max="7" width="20.42578125" customWidth="1"/>
    <col min="8" max="8" width="11.140625" customWidth="1"/>
    <col min="9" max="9" width="17.7109375" customWidth="1"/>
    <col min="10" max="10" width="11.140625" customWidth="1"/>
    <col min="11" max="11" width="42" customWidth="1"/>
  </cols>
  <sheetData>
    <row r="1" spans="1:26" ht="14.25" customHeight="1">
      <c r="A1" s="91" t="s">
        <v>459</v>
      </c>
      <c r="B1" s="91" t="s">
        <v>460</v>
      </c>
      <c r="C1" s="91" t="s">
        <v>461</v>
      </c>
      <c r="D1" s="1"/>
      <c r="E1" s="91" t="s">
        <v>462</v>
      </c>
      <c r="F1" s="91" t="s">
        <v>463</v>
      </c>
      <c r="G1" s="91" t="s">
        <v>464</v>
      </c>
      <c r="H1" s="1"/>
      <c r="I1" s="91" t="s">
        <v>465</v>
      </c>
      <c r="J1" s="91" t="s">
        <v>466</v>
      </c>
      <c r="K1" s="91" t="s">
        <v>467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>
      <c r="A2" s="92">
        <v>10</v>
      </c>
      <c r="B2" s="92" t="s">
        <v>468</v>
      </c>
      <c r="C2" s="92" t="s">
        <v>469</v>
      </c>
      <c r="D2" s="1"/>
      <c r="E2" s="92">
        <v>10</v>
      </c>
      <c r="F2" s="92" t="s">
        <v>470</v>
      </c>
      <c r="G2" s="92" t="s">
        <v>471</v>
      </c>
      <c r="H2" s="1"/>
      <c r="I2" s="92">
        <v>10</v>
      </c>
      <c r="J2" s="92" t="s">
        <v>472</v>
      </c>
      <c r="K2" s="92" t="s">
        <v>473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92">
        <v>9</v>
      </c>
      <c r="B3" s="92" t="s">
        <v>474</v>
      </c>
      <c r="C3" s="92" t="s">
        <v>475</v>
      </c>
      <c r="D3" s="1"/>
      <c r="E3" s="92">
        <v>9</v>
      </c>
      <c r="F3" s="92" t="s">
        <v>476</v>
      </c>
      <c r="G3" s="92" t="s">
        <v>477</v>
      </c>
      <c r="H3" s="1"/>
      <c r="I3" s="92">
        <v>9</v>
      </c>
      <c r="J3" s="92" t="s">
        <v>478</v>
      </c>
      <c r="K3" s="92" t="s">
        <v>479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92">
        <v>8</v>
      </c>
      <c r="B4" s="92" t="s">
        <v>480</v>
      </c>
      <c r="C4" s="92" t="s">
        <v>481</v>
      </c>
      <c r="D4" s="1"/>
      <c r="E4" s="92">
        <v>8</v>
      </c>
      <c r="F4" s="92" t="s">
        <v>482</v>
      </c>
      <c r="G4" s="92" t="s">
        <v>483</v>
      </c>
      <c r="H4" s="1"/>
      <c r="I4" s="92">
        <v>8</v>
      </c>
      <c r="J4" s="92" t="s">
        <v>484</v>
      </c>
      <c r="K4" s="92" t="s">
        <v>485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92">
        <v>7</v>
      </c>
      <c r="B5" s="92" t="s">
        <v>486</v>
      </c>
      <c r="C5" s="92" t="s">
        <v>487</v>
      </c>
      <c r="D5" s="1"/>
      <c r="E5" s="92">
        <v>7</v>
      </c>
      <c r="F5" s="92" t="s">
        <v>488</v>
      </c>
      <c r="G5" s="92" t="s">
        <v>489</v>
      </c>
      <c r="H5" s="1"/>
      <c r="I5" s="92">
        <v>7</v>
      </c>
      <c r="J5" s="92" t="s">
        <v>490</v>
      </c>
      <c r="K5" s="92" t="s">
        <v>491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92">
        <v>6</v>
      </c>
      <c r="B6" s="92" t="s">
        <v>492</v>
      </c>
      <c r="C6" s="92" t="s">
        <v>493</v>
      </c>
      <c r="D6" s="1"/>
      <c r="E6" s="92">
        <v>6</v>
      </c>
      <c r="F6" s="92" t="s">
        <v>494</v>
      </c>
      <c r="G6" s="92" t="s">
        <v>495</v>
      </c>
      <c r="H6" s="1"/>
      <c r="I6" s="92">
        <v>6</v>
      </c>
      <c r="J6" s="92" t="s">
        <v>494</v>
      </c>
      <c r="K6" s="92" t="s">
        <v>496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92">
        <v>5</v>
      </c>
      <c r="B7" s="92" t="s">
        <v>497</v>
      </c>
      <c r="C7" s="92" t="s">
        <v>498</v>
      </c>
      <c r="D7" s="1"/>
      <c r="E7" s="92">
        <v>5</v>
      </c>
      <c r="F7" s="92" t="s">
        <v>499</v>
      </c>
      <c r="G7" s="92" t="s">
        <v>500</v>
      </c>
      <c r="H7" s="1"/>
      <c r="I7" s="92">
        <v>5</v>
      </c>
      <c r="J7" s="92" t="s">
        <v>501</v>
      </c>
      <c r="K7" s="92" t="s">
        <v>502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92">
        <v>4</v>
      </c>
      <c r="B8" s="92" t="s">
        <v>503</v>
      </c>
      <c r="C8" s="92" t="s">
        <v>504</v>
      </c>
      <c r="D8" s="1"/>
      <c r="E8" s="92">
        <v>4</v>
      </c>
      <c r="F8" s="92" t="s">
        <v>505</v>
      </c>
      <c r="G8" s="92" t="s">
        <v>506</v>
      </c>
      <c r="H8" s="1"/>
      <c r="I8" s="92">
        <v>4</v>
      </c>
      <c r="J8" s="92" t="s">
        <v>507</v>
      </c>
      <c r="K8" s="92" t="s">
        <v>508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92">
        <v>3</v>
      </c>
      <c r="B9" s="92" t="s">
        <v>509</v>
      </c>
      <c r="C9" s="92" t="s">
        <v>510</v>
      </c>
      <c r="D9" s="1"/>
      <c r="E9" s="92">
        <v>3</v>
      </c>
      <c r="F9" s="92" t="s">
        <v>511</v>
      </c>
      <c r="G9" s="92" t="s">
        <v>512</v>
      </c>
      <c r="H9" s="1"/>
      <c r="I9" s="92">
        <v>3</v>
      </c>
      <c r="J9" s="92" t="s">
        <v>513</v>
      </c>
      <c r="K9" s="92" t="s">
        <v>514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92">
        <v>2</v>
      </c>
      <c r="B10" s="92" t="s">
        <v>515</v>
      </c>
      <c r="C10" s="92" t="s">
        <v>516</v>
      </c>
      <c r="D10" s="1"/>
      <c r="E10" s="92">
        <v>2</v>
      </c>
      <c r="F10" s="92" t="s">
        <v>517</v>
      </c>
      <c r="G10" s="92" t="s">
        <v>518</v>
      </c>
      <c r="H10" s="1"/>
      <c r="I10" s="92">
        <v>2</v>
      </c>
      <c r="J10" s="92" t="s">
        <v>519</v>
      </c>
      <c r="K10" s="92" t="s">
        <v>520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92">
        <v>1</v>
      </c>
      <c r="B11" s="92" t="s">
        <v>521</v>
      </c>
      <c r="C11" s="92" t="s">
        <v>522</v>
      </c>
      <c r="D11" s="1"/>
      <c r="E11" s="92">
        <v>1</v>
      </c>
      <c r="F11" s="92" t="s">
        <v>523</v>
      </c>
      <c r="G11" s="92" t="s">
        <v>524</v>
      </c>
      <c r="H11" s="1"/>
      <c r="I11" s="92">
        <v>1</v>
      </c>
      <c r="J11" s="92" t="s">
        <v>525</v>
      </c>
      <c r="K11" s="92" t="s">
        <v>526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93"/>
      <c r="F12" s="93"/>
      <c r="G12" s="9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PFMEA封面</vt:lpstr>
      <vt:lpstr>PFMEA</vt:lpstr>
      <vt:lpstr>SOD定義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2025-11-28T02:55:11Z</dcterms:created>
  <dcterms:modified xsi:type="dcterms:W3CDTF">2025-12-30T02:22:12Z</dcterms:modified>
</cp:coreProperties>
</file>